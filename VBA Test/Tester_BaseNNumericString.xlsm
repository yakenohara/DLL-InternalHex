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56AE03A9-75B1-4265-9E28-BDFD796331AD}" xr6:coauthVersionLast="32" xr6:coauthVersionMax="32" xr10:uidLastSave="{00000000-0000-0000-0000-000000000000}"/>
  <bookViews>
    <workbookView xWindow="0" yWindow="189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9" i="1" l="1"/>
  <c r="I55" i="1"/>
  <c r="I51" i="1"/>
  <c r="I47" i="1"/>
  <c r="I43" i="1"/>
  <c r="I39" i="1"/>
  <c r="I35" i="1"/>
  <c r="I49" i="1"/>
  <c r="I45" i="1"/>
  <c r="I37" i="1"/>
  <c r="I56" i="1"/>
  <c r="I52" i="1"/>
  <c r="I44" i="1"/>
  <c r="I36" i="1"/>
  <c r="I58" i="1"/>
  <c r="I54" i="1"/>
  <c r="I50" i="1"/>
  <c r="I46" i="1"/>
  <c r="I42" i="1"/>
  <c r="I38" i="1"/>
  <c r="I34" i="1"/>
  <c r="I57" i="1"/>
  <c r="I53" i="1"/>
  <c r="I41" i="1"/>
  <c r="I48" i="1"/>
  <c r="I40" i="1"/>
  <c r="I105" i="1"/>
  <c r="I101" i="1"/>
  <c r="I97" i="1"/>
  <c r="I93" i="1"/>
  <c r="I89" i="1"/>
  <c r="I85" i="1"/>
  <c r="I81" i="1"/>
  <c r="I77" i="1"/>
  <c r="I73" i="1"/>
  <c r="I69" i="1"/>
  <c r="I65" i="1"/>
  <c r="I61" i="1"/>
  <c r="I104" i="1"/>
  <c r="I100" i="1"/>
  <c r="I96" i="1"/>
  <c r="I92" i="1"/>
  <c r="I84" i="1"/>
  <c r="I80" i="1"/>
  <c r="I72" i="1"/>
  <c r="I64" i="1"/>
  <c r="I60" i="1"/>
  <c r="I99" i="1"/>
  <c r="I91" i="1"/>
  <c r="I87" i="1"/>
  <c r="I79" i="1"/>
  <c r="I71" i="1"/>
  <c r="I67" i="1"/>
  <c r="I102" i="1"/>
  <c r="I98" i="1"/>
  <c r="I94" i="1"/>
  <c r="I90" i="1"/>
  <c r="I86" i="1"/>
  <c r="I82" i="1"/>
  <c r="I78" i="1"/>
  <c r="I74" i="1"/>
  <c r="I70" i="1"/>
  <c r="I66" i="1"/>
  <c r="I62" i="1"/>
  <c r="I88" i="1"/>
  <c r="I76" i="1"/>
  <c r="I68" i="1"/>
  <c r="I103" i="1"/>
  <c r="I95" i="1"/>
  <c r="I83" i="1"/>
  <c r="I75" i="1"/>
  <c r="I63" i="1"/>
  <c r="I124" i="1"/>
  <c r="I120" i="1"/>
  <c r="I116" i="1"/>
  <c r="I112" i="1"/>
  <c r="I108" i="1"/>
  <c r="I119" i="1"/>
  <c r="I115" i="1"/>
  <c r="I111" i="1"/>
  <c r="I107" i="1"/>
  <c r="I118" i="1"/>
  <c r="I114" i="1"/>
  <c r="I110" i="1"/>
  <c r="I125" i="1"/>
  <c r="I117" i="1"/>
  <c r="I113" i="1"/>
  <c r="I123" i="1"/>
  <c r="I122" i="1"/>
  <c r="I106" i="1"/>
  <c r="I121" i="1"/>
  <c r="I109" i="1"/>
  <c r="I625" i="1"/>
  <c r="I621" i="1"/>
  <c r="I617" i="1"/>
  <c r="I613" i="1"/>
  <c r="I609" i="1"/>
  <c r="I605" i="1"/>
  <c r="I601" i="1"/>
  <c r="I597" i="1"/>
  <c r="I593" i="1"/>
  <c r="I589" i="1"/>
  <c r="I585" i="1"/>
  <c r="I581" i="1"/>
  <c r="I577" i="1"/>
  <c r="I573" i="1"/>
  <c r="I582" i="1"/>
  <c r="I624" i="1"/>
  <c r="I620" i="1"/>
  <c r="I616" i="1"/>
  <c r="I612" i="1"/>
  <c r="I608" i="1"/>
  <c r="I604" i="1"/>
  <c r="I600" i="1"/>
  <c r="I596" i="1"/>
  <c r="I592" i="1"/>
  <c r="I588" i="1"/>
  <c r="I584" i="1"/>
  <c r="I580" i="1"/>
  <c r="I576" i="1"/>
  <c r="I590" i="1"/>
  <c r="I574" i="1"/>
  <c r="I623" i="1"/>
  <c r="I619" i="1"/>
  <c r="I615" i="1"/>
  <c r="I611" i="1"/>
  <c r="I607" i="1"/>
  <c r="I603" i="1"/>
  <c r="I599" i="1"/>
  <c r="I595" i="1"/>
  <c r="I591" i="1"/>
  <c r="I587" i="1"/>
  <c r="I583" i="1"/>
  <c r="I579" i="1"/>
  <c r="I575" i="1"/>
  <c r="I626" i="1"/>
  <c r="I622" i="1"/>
  <c r="I618" i="1"/>
  <c r="I614" i="1"/>
  <c r="I610" i="1"/>
  <c r="I606" i="1"/>
  <c r="I602" i="1"/>
  <c r="I598" i="1"/>
  <c r="I594" i="1"/>
  <c r="I586" i="1"/>
  <c r="I578" i="1"/>
  <c r="I686" i="1"/>
  <c r="I685" i="1"/>
  <c r="I681" i="1"/>
  <c r="I677" i="1"/>
  <c r="I673" i="1"/>
  <c r="I669" i="1"/>
  <c r="I665" i="1"/>
  <c r="I661" i="1"/>
  <c r="I657" i="1"/>
  <c r="I653" i="1"/>
  <c r="I649" i="1"/>
  <c r="I645" i="1"/>
  <c r="I641" i="1"/>
  <c r="I637" i="1"/>
  <c r="I633" i="1"/>
  <c r="I629" i="1"/>
  <c r="I684" i="1"/>
  <c r="I680" i="1"/>
  <c r="I676" i="1"/>
  <c r="I672" i="1"/>
  <c r="I668" i="1"/>
  <c r="I664" i="1"/>
  <c r="I660" i="1"/>
  <c r="I656" i="1"/>
  <c r="I652" i="1"/>
  <c r="I648" i="1"/>
  <c r="I644" i="1"/>
  <c r="I640" i="1"/>
  <c r="I636" i="1"/>
  <c r="I632" i="1"/>
  <c r="I628" i="1"/>
  <c r="I683" i="1"/>
  <c r="I679" i="1"/>
  <c r="I675" i="1"/>
  <c r="I671" i="1"/>
  <c r="I667" i="1"/>
  <c r="I663" i="1"/>
  <c r="I659" i="1"/>
  <c r="I655" i="1"/>
  <c r="I651" i="1"/>
  <c r="I647" i="1"/>
  <c r="I643" i="1"/>
  <c r="I639" i="1"/>
  <c r="I635" i="1"/>
  <c r="I631" i="1"/>
  <c r="I627" i="1"/>
  <c r="I682" i="1"/>
  <c r="I678" i="1"/>
  <c r="I674" i="1"/>
  <c r="I670" i="1"/>
  <c r="I666" i="1"/>
  <c r="I662" i="1"/>
  <c r="I658" i="1"/>
  <c r="I654" i="1"/>
  <c r="I650" i="1"/>
  <c r="I646" i="1"/>
  <c r="I642" i="1"/>
  <c r="I638" i="1"/>
  <c r="I634" i="1"/>
  <c r="I630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L200" i="1"/>
  <c r="L197" i="1"/>
  <c r="L195" i="1"/>
  <c r="K245" i="1"/>
  <c r="K240" i="1"/>
  <c r="K237" i="1"/>
  <c r="K234" i="1"/>
  <c r="K232" i="1"/>
  <c r="K229" i="1"/>
  <c r="K226" i="1"/>
  <c r="K224" i="1"/>
  <c r="K221" i="1"/>
  <c r="K218" i="1"/>
  <c r="K216" i="1"/>
  <c r="K213" i="1"/>
  <c r="K211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199" i="1"/>
  <c r="L198" i="1"/>
  <c r="L196" i="1"/>
  <c r="L194" i="1"/>
  <c r="K246" i="1"/>
  <c r="K244" i="1"/>
  <c r="K243" i="1"/>
  <c r="K242" i="1"/>
  <c r="K241" i="1"/>
  <c r="K239" i="1"/>
  <c r="K238" i="1"/>
  <c r="K236" i="1"/>
  <c r="K235" i="1"/>
  <c r="K233" i="1"/>
  <c r="K231" i="1"/>
  <c r="K230" i="1"/>
  <c r="K228" i="1"/>
  <c r="K227" i="1"/>
  <c r="K225" i="1"/>
  <c r="K223" i="1"/>
  <c r="K222" i="1"/>
  <c r="K220" i="1"/>
  <c r="K219" i="1"/>
  <c r="K217" i="1"/>
  <c r="K215" i="1"/>
  <c r="K214" i="1"/>
  <c r="K212" i="1"/>
  <c r="K210" i="1"/>
  <c r="K209" i="1"/>
  <c r="K205" i="1"/>
  <c r="K201" i="1"/>
  <c r="K197" i="1"/>
  <c r="K208" i="1"/>
  <c r="K204" i="1"/>
  <c r="K200" i="1"/>
  <c r="K196" i="1"/>
  <c r="K195" i="1"/>
  <c r="K202" i="1"/>
  <c r="K198" i="1"/>
  <c r="K207" i="1"/>
  <c r="K203" i="1"/>
  <c r="K199" i="1"/>
  <c r="K206" i="1"/>
  <c r="K194" i="1"/>
  <c r="I32" i="1"/>
  <c r="I28" i="1"/>
  <c r="I24" i="1"/>
  <c r="I20" i="1"/>
  <c r="I16" i="1"/>
  <c r="I12" i="1"/>
  <c r="I8" i="1"/>
  <c r="I4" i="1"/>
  <c r="I31" i="1"/>
  <c r="I27" i="1"/>
  <c r="I23" i="1"/>
  <c r="I19" i="1"/>
  <c r="I15" i="1"/>
  <c r="I11" i="1"/>
  <c r="I7" i="1"/>
  <c r="I5" i="1"/>
  <c r="I30" i="1"/>
  <c r="I26" i="1"/>
  <c r="I22" i="1"/>
  <c r="I18" i="1"/>
  <c r="I14" i="1"/>
  <c r="I10" i="1"/>
  <c r="I6" i="1"/>
  <c r="I33" i="1"/>
  <c r="I29" i="1"/>
  <c r="I25" i="1"/>
  <c r="I21" i="1"/>
  <c r="I17" i="1"/>
  <c r="I13" i="1"/>
  <c r="I9" i="1"/>
  <c r="Q161" i="1"/>
  <c r="Q153" i="1"/>
  <c r="Q144" i="1"/>
  <c r="I137" i="1"/>
  <c r="I131" i="1"/>
  <c r="R506" i="1"/>
  <c r="J336" i="1"/>
  <c r="R315" i="1"/>
  <c r="R321" i="1"/>
  <c r="I370" i="1"/>
  <c r="I367" i="1"/>
  <c r="Q41" i="1"/>
  <c r="S245" i="1"/>
  <c r="I181" i="1"/>
  <c r="R481" i="1"/>
  <c r="I319" i="1"/>
  <c r="Q582" i="1"/>
  <c r="J496" i="1"/>
  <c r="K186" i="1"/>
  <c r="Q423" i="1"/>
  <c r="K529" i="1"/>
  <c r="R184" i="1"/>
  <c r="I155" i="1"/>
  <c r="Q150" i="1"/>
  <c r="I139" i="1"/>
  <c r="Q132" i="1"/>
  <c r="Q125" i="1"/>
  <c r="J467" i="1"/>
  <c r="S230" i="1"/>
  <c r="J181" i="1"/>
  <c r="I363" i="1"/>
  <c r="R303" i="1"/>
  <c r="J299" i="1"/>
  <c r="S513" i="1"/>
  <c r="Q522" i="1"/>
  <c r="I463" i="1"/>
  <c r="Q216" i="1"/>
  <c r="Q569" i="1"/>
  <c r="J304" i="1"/>
  <c r="K497" i="1"/>
  <c r="Q121" i="1"/>
  <c r="K182" i="1"/>
  <c r="Q428" i="1"/>
  <c r="R488" i="1"/>
  <c r="Q12" i="1"/>
  <c r="I500" i="1"/>
  <c r="Q96" i="1"/>
  <c r="S468" i="1"/>
  <c r="K190" i="1"/>
  <c r="K541" i="1"/>
  <c r="I156" i="1"/>
  <c r="Q138" i="1"/>
  <c r="I127" i="1"/>
  <c r="I415" i="1"/>
  <c r="J531" i="1"/>
  <c r="I388" i="1"/>
  <c r="I501" i="1"/>
  <c r="K512" i="1"/>
  <c r="S173" i="1"/>
  <c r="I168" i="1"/>
  <c r="I157" i="1"/>
  <c r="Q137" i="1"/>
  <c r="Q128" i="1"/>
  <c r="S184" i="1"/>
  <c r="T176" i="1"/>
  <c r="J529" i="1"/>
  <c r="R243" i="1"/>
  <c r="J324" i="1"/>
  <c r="S509" i="1"/>
  <c r="S242" i="1"/>
  <c r="Q536" i="1"/>
  <c r="R561" i="1"/>
  <c r="Q388" i="1"/>
  <c r="Q598" i="1"/>
  <c r="Q123" i="1"/>
  <c r="Q431" i="1"/>
  <c r="T223" i="1"/>
  <c r="Q325" i="1"/>
  <c r="I280" i="1"/>
  <c r="T211" i="1"/>
  <c r="S560" i="1"/>
  <c r="R350" i="1"/>
  <c r="I178" i="1"/>
  <c r="R530" i="1"/>
  <c r="S225" i="1"/>
  <c r="R467" i="1"/>
  <c r="Q372" i="1"/>
  <c r="I372" i="1"/>
  <c r="Q149" i="1"/>
  <c r="Q622" i="1"/>
  <c r="Q46" i="1"/>
  <c r="R349" i="1"/>
  <c r="R237" i="1"/>
  <c r="I322" i="1"/>
  <c r="Q508" i="1"/>
  <c r="I278" i="1"/>
  <c r="I282" i="1"/>
  <c r="Q661" i="1"/>
  <c r="S561" i="1"/>
  <c r="Q471" i="1"/>
  <c r="Q378" i="1"/>
  <c r="S167" i="1"/>
  <c r="R319" i="1"/>
  <c r="J474" i="1"/>
  <c r="I153" i="1"/>
  <c r="Q152" i="1"/>
  <c r="Q140" i="1"/>
  <c r="Q135" i="1"/>
  <c r="Q127" i="1"/>
  <c r="J536" i="1"/>
  <c r="Q384" i="1"/>
  <c r="Q50" i="1"/>
  <c r="J330" i="1"/>
  <c r="R231" i="1"/>
  <c r="R495" i="1"/>
  <c r="R539" i="1"/>
  <c r="T178" i="1"/>
  <c r="J306" i="1"/>
  <c r="J457" i="1"/>
  <c r="I180" i="1"/>
  <c r="Q418" i="1"/>
  <c r="T203" i="1"/>
  <c r="Q116" i="1"/>
  <c r="Q457" i="1"/>
  <c r="Q277" i="1"/>
  <c r="R563" i="1"/>
  <c r="I150" i="1"/>
  <c r="Q145" i="1"/>
  <c r="I145" i="1"/>
  <c r="I129" i="1"/>
  <c r="Q599" i="1"/>
  <c r="I314" i="1"/>
  <c r="K537" i="1"/>
  <c r="T177" i="1"/>
  <c r="J544" i="1"/>
  <c r="R493" i="1"/>
  <c r="Q577" i="1"/>
  <c r="T172" i="1"/>
  <c r="I475" i="1"/>
  <c r="J538" i="1"/>
  <c r="I399" i="1"/>
  <c r="Q205" i="1"/>
  <c r="Q308" i="1"/>
  <c r="Q110" i="1"/>
  <c r="I440" i="1"/>
  <c r="K533" i="1"/>
  <c r="Q373" i="1"/>
  <c r="K522" i="1"/>
  <c r="J193" i="1"/>
  <c r="T207" i="1"/>
  <c r="Q157" i="1"/>
  <c r="I141" i="1"/>
  <c r="Q112" i="1"/>
  <c r="Q659" i="1"/>
  <c r="J476" i="1"/>
  <c r="T205" i="1"/>
  <c r="K550" i="1"/>
  <c r="Q332" i="1"/>
  <c r="Q636" i="1"/>
  <c r="S217" i="1"/>
  <c r="J314" i="1"/>
  <c r="J333" i="1"/>
  <c r="R326" i="1"/>
  <c r="Q516" i="1"/>
  <c r="R229" i="1"/>
  <c r="I455" i="1"/>
  <c r="Q456" i="1"/>
  <c r="I151" i="1"/>
  <c r="I146" i="1"/>
  <c r="Q119" i="1"/>
  <c r="Q198" i="1"/>
  <c r="R242" i="1"/>
  <c r="R545" i="1"/>
  <c r="Q535" i="1"/>
  <c r="Q309" i="1"/>
  <c r="J514" i="1"/>
  <c r="J177" i="1"/>
  <c r="Q530" i="1"/>
  <c r="K489" i="1"/>
  <c r="Q105" i="1"/>
  <c r="Q191" i="1"/>
  <c r="K484" i="1"/>
  <c r="Q190" i="1"/>
  <c r="R458" i="1"/>
  <c r="R226" i="1"/>
  <c r="R465" i="1"/>
  <c r="R352" i="1"/>
  <c r="R347" i="1"/>
  <c r="I320" i="1"/>
  <c r="I398" i="1"/>
  <c r="Q640" i="1"/>
  <c r="Q607" i="1"/>
  <c r="J173" i="1"/>
  <c r="J557" i="1"/>
  <c r="S171" i="1"/>
  <c r="I148" i="1"/>
  <c r="R168" i="1"/>
  <c r="Q95" i="1"/>
  <c r="I571" i="1"/>
  <c r="T241" i="1"/>
  <c r="I177" i="1"/>
  <c r="R504" i="1"/>
  <c r="S567" i="1"/>
  <c r="R338" i="1"/>
  <c r="I537" i="1"/>
  <c r="K564" i="1"/>
  <c r="S238" i="1"/>
  <c r="I492" i="1"/>
  <c r="Q99" i="1"/>
  <c r="J551" i="1"/>
  <c r="Q604" i="1"/>
  <c r="I152" i="1"/>
  <c r="I147" i="1"/>
  <c r="I126" i="1"/>
  <c r="I316" i="1"/>
  <c r="I185" i="1"/>
  <c r="Q538" i="1"/>
  <c r="J541" i="1"/>
  <c r="I429" i="1"/>
  <c r="S559" i="1"/>
  <c r="Q164" i="1"/>
  <c r="Q160" i="1"/>
  <c r="I140" i="1"/>
  <c r="I506" i="1"/>
  <c r="I305" i="1"/>
  <c r="J549" i="1"/>
  <c r="J571" i="1"/>
  <c r="T182" i="1"/>
  <c r="J317" i="1"/>
  <c r="Q400" i="1"/>
  <c r="S454" i="1"/>
  <c r="Q586" i="1"/>
  <c r="Q631" i="1"/>
  <c r="Q678" i="1"/>
  <c r="R359" i="1"/>
  <c r="Q130" i="1"/>
  <c r="J321" i="1"/>
  <c r="I554" i="1"/>
  <c r="J472" i="1"/>
  <c r="Q82" i="1"/>
  <c r="Q614" i="1"/>
  <c r="Q136" i="1"/>
  <c r="J510" i="1"/>
  <c r="K546" i="1"/>
  <c r="Q358" i="1"/>
  <c r="I360" i="1"/>
  <c r="I541" i="1"/>
  <c r="S175" i="1"/>
  <c r="T243" i="1"/>
  <c r="Q19" i="1"/>
  <c r="I403" i="1"/>
  <c r="Q48" i="1"/>
  <c r="Q101" i="1"/>
  <c r="Q605" i="1"/>
  <c r="Q669" i="1"/>
  <c r="S215" i="1"/>
  <c r="K465" i="1"/>
  <c r="I517" i="1"/>
  <c r="R201" i="1"/>
  <c r="S457" i="1"/>
  <c r="K519" i="1"/>
  <c r="R357" i="1"/>
  <c r="Q120" i="1"/>
  <c r="I456" i="1"/>
  <c r="Q497" i="1"/>
  <c r="J186" i="1"/>
  <c r="T167" i="1"/>
  <c r="Q634" i="1"/>
  <c r="T235" i="1"/>
  <c r="S480" i="1"/>
  <c r="J323" i="1"/>
  <c r="I149" i="1"/>
  <c r="Q126" i="1"/>
  <c r="Q206" i="1"/>
  <c r="K525" i="1"/>
  <c r="J454" i="1"/>
  <c r="Q301" i="1"/>
  <c r="Q122" i="1"/>
  <c r="R492" i="1"/>
  <c r="K456" i="1"/>
  <c r="T174" i="1"/>
  <c r="J187" i="1"/>
  <c r="S223" i="1"/>
  <c r="Q579" i="1"/>
  <c r="S465" i="1"/>
  <c r="Q558" i="1"/>
  <c r="I451" i="1"/>
  <c r="R534" i="1"/>
  <c r="I293" i="1"/>
  <c r="R307" i="1"/>
  <c r="R474" i="1"/>
  <c r="Q642" i="1"/>
  <c r="K495" i="1"/>
  <c r="J500" i="1"/>
  <c r="I159" i="1"/>
  <c r="R520" i="1"/>
  <c r="Q77" i="1"/>
  <c r="J460" i="1"/>
  <c r="L165" i="1"/>
  <c r="Q9" i="1"/>
  <c r="Q386" i="1"/>
  <c r="R306" i="1"/>
  <c r="R219" i="1"/>
  <c r="Q359" i="1"/>
  <c r="Q390" i="1"/>
  <c r="K164" i="1"/>
  <c r="Q8" i="1"/>
  <c r="R246" i="1"/>
  <c r="T232" i="1"/>
  <c r="Q223" i="1"/>
  <c r="S562" i="1"/>
  <c r="I351" i="1"/>
  <c r="Q461" i="1"/>
  <c r="Q158" i="1"/>
  <c r="Q133" i="1"/>
  <c r="I301" i="1"/>
  <c r="Q383" i="1"/>
  <c r="I383" i="1"/>
  <c r="K170" i="1"/>
  <c r="Q575" i="1"/>
  <c r="Q472" i="1"/>
  <c r="R354" i="1"/>
  <c r="I296" i="1"/>
  <c r="R301" i="1"/>
  <c r="I162" i="1"/>
  <c r="Q141" i="1"/>
  <c r="I130" i="1"/>
  <c r="S493" i="1"/>
  <c r="R514" i="1"/>
  <c r="I436" i="1"/>
  <c r="T229" i="1"/>
  <c r="L193" i="1"/>
  <c r="I354" i="1"/>
  <c r="J362" i="1"/>
  <c r="J456" i="1"/>
  <c r="K570" i="1"/>
  <c r="S570" i="1"/>
  <c r="Q42" i="1"/>
  <c r="Q76" i="1"/>
  <c r="Q87" i="1"/>
  <c r="Q151" i="1"/>
  <c r="K173" i="1"/>
  <c r="Q507" i="1"/>
  <c r="S546" i="1"/>
  <c r="Q200" i="1"/>
  <c r="R298" i="1"/>
  <c r="Q317" i="1"/>
  <c r="Q630" i="1"/>
  <c r="Q156" i="1"/>
  <c r="Q542" i="1"/>
  <c r="J562" i="1"/>
  <c r="S502" i="1"/>
  <c r="Q609" i="1"/>
  <c r="L185" i="1"/>
  <c r="I373" i="1"/>
  <c r="Q83" i="1"/>
  <c r="Q208" i="1"/>
  <c r="Q184" i="1"/>
  <c r="S490" i="1"/>
  <c r="R297" i="1"/>
  <c r="Q219" i="1"/>
  <c r="I144" i="1"/>
  <c r="I341" i="1"/>
  <c r="S467" i="1"/>
  <c r="I421" i="1"/>
  <c r="J512" i="1"/>
  <c r="R206" i="1"/>
  <c r="Q93" i="1"/>
  <c r="J459" i="1"/>
  <c r="I165" i="1"/>
  <c r="I458" i="1"/>
  <c r="I413" i="1"/>
  <c r="Q86" i="1"/>
  <c r="I290" i="1"/>
  <c r="Q103" i="1"/>
  <c r="R182" i="1"/>
  <c r="I425" i="1"/>
  <c r="J327" i="1"/>
  <c r="J361" i="1"/>
  <c r="K506" i="1"/>
  <c r="Q139" i="1"/>
  <c r="S485" i="1"/>
  <c r="Q98" i="1"/>
  <c r="Q435" i="1"/>
  <c r="Q496" i="1"/>
  <c r="Q480" i="1"/>
  <c r="Q454" i="1"/>
  <c r="I394" i="1"/>
  <c r="L174" i="1"/>
  <c r="R464" i="1"/>
  <c r="I423" i="1"/>
  <c r="I277" i="1"/>
  <c r="Q541" i="1"/>
  <c r="Q330" i="1"/>
  <c r="I276" i="1"/>
  <c r="J505" i="1"/>
  <c r="Q645" i="1"/>
  <c r="J453" i="1"/>
  <c r="Q163" i="1"/>
  <c r="Q398" i="1"/>
  <c r="K187" i="1"/>
  <c r="J340" i="1"/>
  <c r="K513" i="1"/>
  <c r="J175" i="1"/>
  <c r="S172" i="1"/>
  <c r="I393" i="1"/>
  <c r="T197" i="1"/>
  <c r="Q201" i="1"/>
  <c r="R470" i="1"/>
  <c r="I361" i="1"/>
  <c r="Q94" i="1"/>
  <c r="Q69" i="1"/>
  <c r="Q236" i="1"/>
  <c r="J303" i="1"/>
  <c r="I175" i="1"/>
  <c r="R245" i="1"/>
  <c r="J517" i="1"/>
  <c r="R328" i="1"/>
  <c r="Q188" i="1"/>
  <c r="I330" i="1"/>
  <c r="J533" i="1"/>
  <c r="I158" i="1"/>
  <c r="Q118" i="1"/>
  <c r="K188" i="1"/>
  <c r="R325" i="1"/>
  <c r="Q106" i="1"/>
  <c r="Q134" i="1"/>
  <c r="K477" i="1"/>
  <c r="S198" i="1"/>
  <c r="J319" i="1"/>
  <c r="Q468" i="1"/>
  <c r="J367" i="1"/>
  <c r="Q111" i="1"/>
  <c r="Q162" i="1"/>
  <c r="R513" i="1"/>
  <c r="Q382" i="1"/>
  <c r="I449" i="1"/>
  <c r="Q667" i="1"/>
  <c r="I135" i="1"/>
  <c r="Q10" i="1"/>
  <c r="R174" i="1"/>
  <c r="K174" i="1"/>
  <c r="I454" i="1"/>
  <c r="T175" i="1"/>
  <c r="Q100" i="1"/>
  <c r="R192" i="1"/>
  <c r="Q533" i="1"/>
  <c r="J539" i="1"/>
  <c r="Q237" i="1"/>
  <c r="Q243" i="1"/>
  <c r="K567" i="1"/>
  <c r="Q672" i="1"/>
  <c r="K543" i="1"/>
  <c r="Q465" i="1"/>
  <c r="T228" i="1"/>
  <c r="J470" i="1"/>
  <c r="J165" i="1"/>
  <c r="I565" i="1"/>
  <c r="S505" i="1"/>
  <c r="S183" i="1"/>
  <c r="T212" i="1"/>
  <c r="S520" i="1"/>
  <c r="R519" i="1"/>
  <c r="S212" i="1"/>
  <c r="I291" i="1"/>
  <c r="R320" i="1"/>
  <c r="J530" i="1"/>
  <c r="Q84" i="1"/>
  <c r="Q319" i="1"/>
  <c r="I182" i="1"/>
  <c r="K494" i="1"/>
  <c r="K463" i="1"/>
  <c r="T186" i="1"/>
  <c r="S163" i="1"/>
  <c r="S234" i="1"/>
  <c r="S501" i="1"/>
  <c r="Q262" i="1"/>
  <c r="Q337" i="1"/>
  <c r="I275" i="1"/>
  <c r="K547" i="1"/>
  <c r="I327" i="1"/>
  <c r="K534" i="1"/>
  <c r="I488" i="1"/>
  <c r="I524" i="1"/>
  <c r="Q408" i="1"/>
  <c r="S478" i="1"/>
  <c r="L187" i="1"/>
  <c r="S186" i="1"/>
  <c r="I326" i="1"/>
  <c r="Q514" i="1"/>
  <c r="R457" i="1"/>
  <c r="I533" i="1"/>
  <c r="Q578" i="1"/>
  <c r="K485" i="1"/>
  <c r="S228" i="1"/>
  <c r="K180" i="1"/>
  <c r="J462" i="1"/>
  <c r="Q92" i="1"/>
  <c r="I299" i="1"/>
  <c r="Q394" i="1"/>
  <c r="Q179" i="1"/>
  <c r="R330" i="1"/>
  <c r="Q52" i="1"/>
  <c r="J548" i="1"/>
  <c r="J180" i="1"/>
  <c r="K544" i="1"/>
  <c r="Q172" i="1"/>
  <c r="I374" i="1"/>
  <c r="Q315" i="1"/>
  <c r="Q589" i="1"/>
  <c r="Q20" i="1"/>
  <c r="J353" i="1"/>
  <c r="S488" i="1"/>
  <c r="T217" i="1"/>
  <c r="I285" i="1"/>
  <c r="Q284" i="1"/>
  <c r="I306" i="1"/>
  <c r="Q389" i="1"/>
  <c r="I534" i="1"/>
  <c r="L169" i="1"/>
  <c r="K185" i="1"/>
  <c r="J342" i="1"/>
  <c r="Q166" i="1"/>
  <c r="I273" i="1"/>
  <c r="I439" i="1"/>
  <c r="K535" i="1"/>
  <c r="Q34" i="1"/>
  <c r="Q596" i="1"/>
  <c r="I535" i="1"/>
  <c r="J332" i="1"/>
  <c r="J190" i="1"/>
  <c r="T218" i="1"/>
  <c r="Q561" i="1"/>
  <c r="Q584" i="1"/>
  <c r="I512" i="1"/>
  <c r="J492" i="1"/>
  <c r="Q675" i="1"/>
  <c r="Q339" i="1"/>
  <c r="Q410" i="1"/>
  <c r="K193" i="1"/>
  <c r="K532" i="1"/>
  <c r="J337" i="1"/>
  <c r="S568" i="1"/>
  <c r="Q550" i="1"/>
  <c r="I410" i="1"/>
  <c r="I269" i="1"/>
  <c r="I154" i="1"/>
  <c r="Q91" i="1"/>
  <c r="S218" i="1"/>
  <c r="I307" i="1"/>
  <c r="Q6" i="1"/>
  <c r="I295" i="1"/>
  <c r="Q182" i="1"/>
  <c r="Q242" i="1"/>
  <c r="K192" i="1"/>
  <c r="I496" i="1"/>
  <c r="K527" i="1"/>
  <c r="I523" i="1"/>
  <c r="Q618" i="1"/>
  <c r="T214" i="1"/>
  <c r="I323" i="1"/>
  <c r="R223" i="1"/>
  <c r="K482" i="1"/>
  <c r="R221" i="1"/>
  <c r="Q617" i="1"/>
  <c r="I462" i="1"/>
  <c r="J558" i="1"/>
  <c r="I483" i="1"/>
  <c r="Q537" i="1"/>
  <c r="Q57" i="1"/>
  <c r="K458" i="1"/>
  <c r="K568" i="1"/>
  <c r="J468" i="1"/>
  <c r="K475" i="1"/>
  <c r="Q610" i="1"/>
  <c r="Q207" i="1"/>
  <c r="K510" i="1"/>
  <c r="R222" i="1"/>
  <c r="T201" i="1"/>
  <c r="I457" i="1"/>
  <c r="I407" i="1"/>
  <c r="S216" i="1"/>
  <c r="Q174" i="1"/>
  <c r="K554" i="1"/>
  <c r="L164" i="1"/>
  <c r="J183" i="1"/>
  <c r="S537" i="1"/>
  <c r="Q246" i="1"/>
  <c r="I347" i="1"/>
  <c r="Q547" i="1"/>
  <c r="R524" i="1"/>
  <c r="R550" i="1"/>
  <c r="I401" i="1"/>
  <c r="J524" i="1"/>
  <c r="T169" i="1"/>
  <c r="I470" i="1"/>
  <c r="Q187" i="1"/>
  <c r="I378" i="1"/>
  <c r="K517" i="1"/>
  <c r="J502" i="1"/>
  <c r="T196" i="1"/>
  <c r="R557" i="1"/>
  <c r="I263" i="1"/>
  <c r="S496" i="1"/>
  <c r="Q260" i="1"/>
  <c r="R164" i="1"/>
  <c r="Q364" i="1"/>
  <c r="I391" i="1"/>
  <c r="Q483" i="1"/>
  <c r="S209" i="1"/>
  <c r="Q265" i="1"/>
  <c r="Q335" i="1"/>
  <c r="R367" i="1"/>
  <c r="Q307" i="1"/>
  <c r="Q14" i="1"/>
  <c r="Q676" i="1"/>
  <c r="S239" i="1"/>
  <c r="I553" i="1"/>
  <c r="J164" i="1"/>
  <c r="R233" i="1"/>
  <c r="R305" i="1"/>
  <c r="R485" i="1"/>
  <c r="J477" i="1"/>
  <c r="R230" i="1"/>
  <c r="Q369" i="1"/>
  <c r="I264" i="1"/>
  <c r="Q546" i="1"/>
  <c r="R334" i="1"/>
  <c r="R466" i="1"/>
  <c r="K171" i="1"/>
  <c r="Q328" i="1"/>
  <c r="I142" i="1"/>
  <c r="K569" i="1"/>
  <c r="I254" i="1"/>
  <c r="I409" i="1"/>
  <c r="I332" i="1"/>
  <c r="R571" i="1"/>
  <c r="Q155" i="1"/>
  <c r="I417" i="1"/>
  <c r="S479" i="1"/>
  <c r="I133" i="1"/>
  <c r="Q256" i="1"/>
  <c r="S534" i="1"/>
  <c r="J546" i="1"/>
  <c r="I490" i="1"/>
  <c r="T242" i="1"/>
  <c r="Q28" i="1"/>
  <c r="S499" i="1"/>
  <c r="Q89" i="1"/>
  <c r="Q526" i="1"/>
  <c r="I539" i="1"/>
  <c r="I161" i="1"/>
  <c r="I390" i="1"/>
  <c r="T227" i="1"/>
  <c r="K542" i="1"/>
  <c r="R462" i="1"/>
  <c r="Q90" i="1"/>
  <c r="Q252" i="1"/>
  <c r="S556" i="1"/>
  <c r="Q88" i="1"/>
  <c r="Q684" i="1"/>
  <c r="J310" i="1"/>
  <c r="Q159" i="1"/>
  <c r="R327" i="1"/>
  <c r="Q449" i="1"/>
  <c r="I292" i="1"/>
  <c r="S193" i="1"/>
  <c r="R193" i="1"/>
  <c r="R314" i="1"/>
  <c r="S522" i="1"/>
  <c r="J473" i="1"/>
  <c r="R202" i="1"/>
  <c r="I300" i="1"/>
  <c r="Q183" i="1"/>
  <c r="K571" i="1"/>
  <c r="I143" i="1"/>
  <c r="Q124" i="1"/>
  <c r="R358" i="1"/>
  <c r="J308" i="1"/>
  <c r="Q540" i="1"/>
  <c r="Q114" i="1"/>
  <c r="S525" i="1"/>
  <c r="I167" i="1"/>
  <c r="I427" i="1"/>
  <c r="Q218" i="1"/>
  <c r="Q15" i="1"/>
  <c r="I183" i="1"/>
  <c r="K487" i="1"/>
  <c r="L173" i="1"/>
  <c r="S208" i="1"/>
  <c r="Q425" i="1"/>
  <c r="I315" i="1"/>
  <c r="J328" i="1"/>
  <c r="I257" i="1"/>
  <c r="R453" i="1"/>
  <c r="K163" i="1"/>
  <c r="K483" i="1"/>
  <c r="Q293" i="1"/>
  <c r="I267" i="1"/>
  <c r="I515" i="1"/>
  <c r="T185" i="1"/>
  <c r="J469" i="1"/>
  <c r="Q129" i="1"/>
  <c r="S460" i="1"/>
  <c r="Q511" i="1"/>
  <c r="J547" i="1"/>
  <c r="R167" i="1"/>
  <c r="Q115" i="1"/>
  <c r="R212" i="1"/>
  <c r="K501" i="1"/>
  <c r="R525" i="1"/>
  <c r="T193" i="1"/>
  <c r="Q78" i="1"/>
  <c r="Q268" i="1"/>
  <c r="S214" i="1"/>
  <c r="S170" i="1"/>
  <c r="I192" i="1"/>
  <c r="Q499" i="1"/>
  <c r="I189" i="1"/>
  <c r="I505" i="1"/>
  <c r="R209" i="1"/>
  <c r="K189" i="1"/>
  <c r="Q430" i="1"/>
  <c r="Q180" i="1"/>
  <c r="S548" i="1"/>
  <c r="Q47" i="1"/>
  <c r="R459" i="1"/>
  <c r="K453" i="1"/>
  <c r="I294" i="1"/>
  <c r="J188" i="1"/>
  <c r="K565" i="1"/>
  <c r="J357" i="1"/>
  <c r="S492" i="1"/>
  <c r="Q643" i="1"/>
  <c r="I172" i="1"/>
  <c r="Q322" i="1"/>
  <c r="I317" i="1"/>
  <c r="Q572" i="1"/>
  <c r="Q654" i="1"/>
  <c r="S564" i="1"/>
  <c r="I452" i="1"/>
  <c r="K480" i="1"/>
  <c r="K499" i="1"/>
  <c r="I555" i="1"/>
  <c r="Q170" i="1"/>
  <c r="Q285" i="1"/>
  <c r="R234" i="1"/>
  <c r="I310" i="1"/>
  <c r="K508" i="1"/>
  <c r="Q531" i="1"/>
  <c r="I453" i="1"/>
  <c r="T236" i="1"/>
  <c r="T226" i="1"/>
  <c r="I538" i="1"/>
  <c r="R228" i="1"/>
  <c r="R528" i="1"/>
  <c r="Q80" i="1"/>
  <c r="I312" i="1"/>
  <c r="R336" i="1"/>
  <c r="K466" i="1"/>
  <c r="R215" i="1"/>
  <c r="J302" i="1"/>
  <c r="I487" i="1"/>
  <c r="T225" i="1"/>
  <c r="K179" i="1"/>
  <c r="J527" i="1"/>
  <c r="I448" i="1"/>
  <c r="J309" i="1"/>
  <c r="R507" i="1"/>
  <c r="S530" i="1"/>
  <c r="R187" i="1"/>
  <c r="Q481" i="1"/>
  <c r="Q653" i="1"/>
  <c r="J520" i="1"/>
  <c r="Q350" i="1"/>
  <c r="R555" i="1"/>
  <c r="Q639" i="1"/>
  <c r="Q283" i="1"/>
  <c r="Q474" i="1"/>
  <c r="Q671" i="1"/>
  <c r="Q320" i="1"/>
  <c r="Q146" i="1"/>
  <c r="R344" i="1"/>
  <c r="S246" i="1"/>
  <c r="Q97" i="1"/>
  <c r="S177" i="1"/>
  <c r="Q43" i="1"/>
  <c r="S551" i="1"/>
  <c r="S182" i="1"/>
  <c r="R527" i="1"/>
  <c r="L176" i="1"/>
  <c r="J176" i="1"/>
  <c r="R541" i="1"/>
  <c r="I491" i="1"/>
  <c r="Q419" i="1"/>
  <c r="R544" i="1"/>
  <c r="S192" i="1"/>
  <c r="Q55" i="1"/>
  <c r="I256" i="1"/>
  <c r="K470" i="1"/>
  <c r="S181" i="1"/>
  <c r="K503" i="1"/>
  <c r="J481" i="1"/>
  <c r="T200" i="1"/>
  <c r="I529" i="1"/>
  <c r="J346" i="1"/>
  <c r="Q521" i="1"/>
  <c r="Q451" i="1"/>
  <c r="S188" i="1"/>
  <c r="R197" i="1"/>
  <c r="S176" i="1"/>
  <c r="I371" i="1"/>
  <c r="I465" i="1"/>
  <c r="K558" i="1"/>
  <c r="Q629" i="1"/>
  <c r="R483" i="1"/>
  <c r="Q666" i="1"/>
  <c r="K549" i="1"/>
  <c r="S226" i="1"/>
  <c r="S533" i="1"/>
  <c r="Q658" i="1"/>
  <c r="K555" i="1"/>
  <c r="R496" i="1"/>
  <c r="Q288" i="1"/>
  <c r="R572" i="1"/>
  <c r="Q506" i="1"/>
  <c r="Q602" i="1"/>
  <c r="Q467" i="1"/>
  <c r="S555" i="1"/>
  <c r="K548" i="1"/>
  <c r="J363" i="1"/>
  <c r="S227" i="1"/>
  <c r="I543" i="1"/>
  <c r="Q487" i="1"/>
  <c r="S527" i="1"/>
  <c r="R220" i="1"/>
  <c r="Q143" i="1"/>
  <c r="T198" i="1"/>
  <c r="S456" i="1"/>
  <c r="I160" i="1"/>
  <c r="Q603" i="1"/>
  <c r="R216" i="1"/>
  <c r="Q555" i="1"/>
  <c r="Q148" i="1"/>
  <c r="S169" i="1"/>
  <c r="R510" i="1"/>
  <c r="T187" i="1"/>
  <c r="K462" i="1"/>
  <c r="I443" i="1"/>
  <c r="S538" i="1"/>
  <c r="Q227" i="1"/>
  <c r="J545" i="1"/>
  <c r="R340" i="1"/>
  <c r="S240" i="1"/>
  <c r="R170" i="1"/>
  <c r="S165" i="1"/>
  <c r="R482" i="1"/>
  <c r="Q290" i="1"/>
  <c r="J463" i="1"/>
  <c r="Q18" i="1"/>
  <c r="J497" i="1"/>
  <c r="Q638" i="1"/>
  <c r="I190" i="1"/>
  <c r="S201" i="1"/>
  <c r="R235" i="1"/>
  <c r="S196" i="1"/>
  <c r="Q568" i="1"/>
  <c r="Q53" i="1"/>
  <c r="T220" i="1"/>
  <c r="S470" i="1"/>
  <c r="Q587" i="1"/>
  <c r="T221" i="1"/>
  <c r="Q404" i="1"/>
  <c r="I552" i="1"/>
  <c r="Q154" i="1"/>
  <c r="R540" i="1"/>
  <c r="Q509" i="1"/>
  <c r="Q571" i="1"/>
  <c r="S202" i="1"/>
  <c r="Q56" i="1"/>
  <c r="Q4" i="1"/>
  <c r="R537" i="1"/>
  <c r="S542" i="1"/>
  <c r="Q641" i="1"/>
  <c r="Q412" i="1"/>
  <c r="K531" i="1"/>
  <c r="I253" i="1"/>
  <c r="Q574" i="1"/>
  <c r="R356" i="1"/>
  <c r="Q280" i="1"/>
  <c r="Q624" i="1"/>
  <c r="Q276" i="1"/>
  <c r="J348" i="1"/>
  <c r="R508" i="1"/>
  <c r="Q470" i="1"/>
  <c r="Q239" i="1"/>
  <c r="S484" i="1"/>
  <c r="I171" i="1"/>
  <c r="I400" i="1"/>
  <c r="R476" i="1"/>
  <c r="Q217" i="1"/>
  <c r="J567" i="1"/>
  <c r="K181" i="1"/>
  <c r="K538" i="1"/>
  <c r="Q30" i="1"/>
  <c r="J189" i="1"/>
  <c r="K496" i="1"/>
  <c r="K556" i="1"/>
  <c r="Q591" i="1"/>
  <c r="Q51" i="1"/>
  <c r="I170" i="1"/>
  <c r="J318" i="1"/>
  <c r="Q681" i="1"/>
  <c r="I485" i="1"/>
  <c r="T195" i="1"/>
  <c r="I405" i="1"/>
  <c r="Q348" i="1"/>
  <c r="S185" i="1"/>
  <c r="I561" i="1"/>
  <c r="I261" i="1"/>
  <c r="J550" i="1"/>
  <c r="J542" i="1"/>
  <c r="Q230" i="1"/>
  <c r="L177" i="1"/>
  <c r="S207" i="1"/>
  <c r="I271" i="1"/>
  <c r="I540" i="1"/>
  <c r="I259" i="1"/>
  <c r="Q327" i="1"/>
  <c r="I476" i="1"/>
  <c r="K521" i="1"/>
  <c r="J495" i="1"/>
  <c r="R188" i="1"/>
  <c r="R366" i="1"/>
  <c r="Q232" i="1"/>
  <c r="Q411" i="1"/>
  <c r="Q424" i="1"/>
  <c r="Q199" i="1"/>
  <c r="I387" i="1"/>
  <c r="R562" i="1"/>
  <c r="I527" i="1"/>
  <c r="K562" i="1"/>
  <c r="Q324" i="1"/>
  <c r="Q380" i="1"/>
  <c r="I134" i="1"/>
  <c r="S472" i="1"/>
  <c r="Q142" i="1"/>
  <c r="K572" i="1"/>
  <c r="R454" i="1"/>
  <c r="Q683" i="1"/>
  <c r="S553" i="1"/>
  <c r="Q147" i="1"/>
  <c r="I557" i="1"/>
  <c r="Q49" i="1"/>
  <c r="I132" i="1"/>
  <c r="I568" i="1"/>
  <c r="Q81" i="1"/>
  <c r="I324" i="1"/>
  <c r="J507" i="1"/>
  <c r="T188" i="1"/>
  <c r="Q441" i="1"/>
  <c r="Q556" i="1"/>
  <c r="Q108" i="1"/>
  <c r="Q594" i="1"/>
  <c r="J563" i="1"/>
  <c r="T224" i="1"/>
  <c r="S180" i="1"/>
  <c r="S229" i="1"/>
  <c r="R569" i="1"/>
  <c r="J553" i="1"/>
  <c r="I248" i="1"/>
  <c r="J171" i="1"/>
  <c r="I355" i="1"/>
  <c r="R183" i="1"/>
  <c r="I337" i="1"/>
  <c r="S244" i="1"/>
  <c r="Q548" i="1"/>
  <c r="I297" i="1"/>
  <c r="I466" i="1"/>
  <c r="I570" i="1"/>
  <c r="Q264" i="1"/>
  <c r="Q272" i="1"/>
  <c r="R240" i="1"/>
  <c r="I450" i="1"/>
  <c r="Q113" i="1"/>
  <c r="R542" i="1"/>
  <c r="T233" i="1"/>
  <c r="I287" i="1"/>
  <c r="R547" i="1"/>
  <c r="J478" i="1"/>
  <c r="K523" i="1"/>
  <c r="T246" i="1"/>
  <c r="S515" i="1"/>
  <c r="Q565" i="1"/>
  <c r="R204" i="1"/>
  <c r="R498" i="1"/>
  <c r="R353" i="1"/>
  <c r="Q625" i="1"/>
  <c r="I336" i="1"/>
  <c r="I497" i="1"/>
  <c r="I402" i="1"/>
  <c r="K176" i="1"/>
  <c r="J570" i="1"/>
  <c r="T192" i="1"/>
  <c r="T208" i="1"/>
  <c r="I318" i="1"/>
  <c r="L181" i="1"/>
  <c r="Q165" i="1"/>
  <c r="Q215" i="1"/>
  <c r="T183" i="1"/>
  <c r="Q175" i="1"/>
  <c r="I510" i="1"/>
  <c r="R211" i="1"/>
  <c r="R302" i="1"/>
  <c r="R360" i="1"/>
  <c r="I507" i="1"/>
  <c r="S529" i="1"/>
  <c r="Q294" i="1"/>
  <c r="I353" i="1"/>
  <c r="Q168" i="1"/>
  <c r="R564" i="1"/>
  <c r="Q647" i="1"/>
  <c r="R163" i="1"/>
  <c r="Q255" i="1"/>
  <c r="S547" i="1"/>
  <c r="R318" i="1"/>
  <c r="Q518" i="1"/>
  <c r="I499" i="1"/>
  <c r="Q651" i="1"/>
  <c r="R179" i="1"/>
  <c r="K464" i="1"/>
  <c r="Q371" i="1"/>
  <c r="I564" i="1"/>
  <c r="J525" i="1"/>
  <c r="J461" i="1"/>
  <c r="J315" i="1"/>
  <c r="I346" i="1"/>
  <c r="Q442" i="1"/>
  <c r="I350" i="1"/>
  <c r="T238" i="1"/>
  <c r="J305" i="1"/>
  <c r="J170" i="1"/>
  <c r="R502" i="1"/>
  <c r="T179" i="1"/>
  <c r="Q195" i="1"/>
  <c r="R560" i="1"/>
  <c r="S232" i="1"/>
  <c r="S495" i="1"/>
  <c r="Q600" i="1"/>
  <c r="Q397" i="1"/>
  <c r="Q73" i="1"/>
  <c r="I459" i="1"/>
  <c r="I309" i="1"/>
  <c r="R512" i="1"/>
  <c r="I191" i="1"/>
  <c r="S498" i="1"/>
  <c r="Q109" i="1"/>
  <c r="J168" i="1"/>
  <c r="I481" i="1"/>
  <c r="Q361" i="1"/>
  <c r="I268" i="1"/>
  <c r="Q413" i="1"/>
  <c r="Q26" i="1"/>
  <c r="Q421" i="1"/>
  <c r="Q270" i="1"/>
  <c r="J355" i="1"/>
  <c r="K524" i="1"/>
  <c r="J526" i="1"/>
  <c r="Q36" i="1"/>
  <c r="Q54" i="1"/>
  <c r="Q104" i="1"/>
  <c r="R339" i="1"/>
  <c r="I193" i="1"/>
  <c r="S458" i="1"/>
  <c r="Q427" i="1"/>
  <c r="Q197" i="1"/>
  <c r="T216" i="1"/>
  <c r="Q304" i="1"/>
  <c r="I386" i="1"/>
  <c r="I460" i="1"/>
  <c r="Q478" i="1"/>
  <c r="R239" i="1"/>
  <c r="Q178" i="1"/>
  <c r="I364" i="1"/>
  <c r="Q527" i="1"/>
  <c r="J482" i="1"/>
  <c r="I509" i="1"/>
  <c r="R331" i="1"/>
  <c r="Q379" i="1"/>
  <c r="Q501" i="1"/>
  <c r="Q392" i="1"/>
  <c r="R475" i="1"/>
  <c r="Q329" i="1"/>
  <c r="R178" i="1"/>
  <c r="J475" i="1"/>
  <c r="Q321" i="1"/>
  <c r="J537" i="1"/>
  <c r="J297" i="1"/>
  <c r="S528" i="1"/>
  <c r="I176" i="1"/>
  <c r="S532" i="1"/>
  <c r="R538" i="1"/>
  <c r="S544" i="1"/>
  <c r="J521" i="1"/>
  <c r="J504" i="1"/>
  <c r="S179" i="1"/>
  <c r="I334" i="1"/>
  <c r="S475" i="1"/>
  <c r="I563" i="1"/>
  <c r="R218" i="1"/>
  <c r="I551" i="1"/>
  <c r="R565" i="1"/>
  <c r="R516" i="1"/>
  <c r="R236" i="1"/>
  <c r="Q580" i="1"/>
  <c r="I522" i="1"/>
  <c r="R361" i="1"/>
  <c r="J167" i="1"/>
  <c r="J185" i="1"/>
  <c r="I331" i="1"/>
  <c r="Q346" i="1"/>
  <c r="Q249" i="1"/>
  <c r="S481" i="1"/>
  <c r="S552" i="1"/>
  <c r="Q202" i="1"/>
  <c r="Q452" i="1"/>
  <c r="I493" i="1"/>
  <c r="J458" i="1"/>
  <c r="Q670" i="1"/>
  <c r="R567" i="1"/>
  <c r="R480" i="1"/>
  <c r="S518" i="1"/>
  <c r="J513" i="1"/>
  <c r="K492" i="1"/>
  <c r="Q289" i="1"/>
  <c r="R191" i="1"/>
  <c r="R509" i="1"/>
  <c r="S233" i="1"/>
  <c r="R505" i="1"/>
  <c r="T237" i="1"/>
  <c r="R322" i="1"/>
  <c r="Q635" i="1"/>
  <c r="T189" i="1"/>
  <c r="K479" i="1"/>
  <c r="R214" i="1"/>
  <c r="Q245" i="1"/>
  <c r="I265" i="1"/>
  <c r="R365" i="1"/>
  <c r="Q33" i="1"/>
  <c r="R551" i="1"/>
  <c r="R329" i="1"/>
  <c r="I366" i="1"/>
  <c r="Q266" i="1"/>
  <c r="Q415" i="1"/>
  <c r="Q185" i="1"/>
  <c r="T230" i="1"/>
  <c r="R484" i="1"/>
  <c r="I255" i="1"/>
  <c r="S210" i="1"/>
  <c r="S191" i="1"/>
  <c r="Q406" i="1"/>
  <c r="R224" i="1"/>
  <c r="Q62" i="1"/>
  <c r="Q648" i="1"/>
  <c r="K184" i="1"/>
  <c r="S540" i="1"/>
  <c r="R311" i="1"/>
  <c r="R189" i="1"/>
  <c r="R335" i="1"/>
  <c r="Q299" i="1"/>
  <c r="J485" i="1"/>
  <c r="T202" i="1"/>
  <c r="Q22" i="1"/>
  <c r="I375" i="1"/>
  <c r="I518" i="1"/>
  <c r="Q416" i="1"/>
  <c r="S535" i="1"/>
  <c r="K540" i="1"/>
  <c r="Q453" i="1"/>
  <c r="S241" i="1"/>
  <c r="I480" i="1"/>
  <c r="Q331" i="1"/>
  <c r="Q235" i="1"/>
  <c r="Q248" i="1"/>
  <c r="I420" i="1"/>
  <c r="Q107" i="1"/>
  <c r="Q459" i="1"/>
  <c r="R499" i="1"/>
  <c r="Q24" i="1"/>
  <c r="R217" i="1"/>
  <c r="J532" i="1"/>
  <c r="I302" i="1"/>
  <c r="Q167" i="1"/>
  <c r="K455" i="1"/>
  <c r="T173" i="1"/>
  <c r="Q263" i="1"/>
  <c r="I556" i="1"/>
  <c r="S494" i="1"/>
  <c r="L184" i="1"/>
  <c r="R341" i="1"/>
  <c r="R309" i="1"/>
  <c r="Q193" i="1"/>
  <c r="Q226" i="1"/>
  <c r="T170" i="1"/>
  <c r="L183" i="1"/>
  <c r="Q37" i="1"/>
  <c r="S486" i="1"/>
  <c r="L172" i="1"/>
  <c r="R526" i="1"/>
  <c r="Q458" i="1"/>
  <c r="Q32" i="1"/>
  <c r="T245" i="1"/>
  <c r="S565" i="1"/>
  <c r="Q310" i="1"/>
  <c r="R515" i="1"/>
  <c r="J499" i="1"/>
  <c r="I474" i="1"/>
  <c r="Q213" i="1"/>
  <c r="S474" i="1"/>
  <c r="I532" i="1"/>
  <c r="L192" i="1"/>
  <c r="Q275" i="1"/>
  <c r="K500" i="1"/>
  <c r="I289" i="1"/>
  <c r="I284" i="1"/>
  <c r="I558" i="1"/>
  <c r="Q221" i="1"/>
  <c r="Q686" i="1"/>
  <c r="R171" i="1"/>
  <c r="Q649" i="1"/>
  <c r="J516" i="1"/>
  <c r="Q554" i="1"/>
  <c r="Q279" i="1"/>
  <c r="S572" i="1"/>
  <c r="Q393" i="1"/>
  <c r="S508" i="1"/>
  <c r="I274" i="1"/>
  <c r="R532" i="1"/>
  <c r="Q192" i="1"/>
  <c r="R333" i="1"/>
  <c r="I283" i="1"/>
  <c r="Q486" i="1"/>
  <c r="T244" i="1"/>
  <c r="J471" i="1"/>
  <c r="J192" i="1"/>
  <c r="I395" i="1"/>
  <c r="Q204" i="1"/>
  <c r="T234" i="1"/>
  <c r="Q612" i="1"/>
  <c r="R304" i="1"/>
  <c r="S236" i="1"/>
  <c r="Q349" i="1"/>
  <c r="I308" i="1"/>
  <c r="K563" i="1"/>
  <c r="K493" i="1"/>
  <c r="Q45" i="1"/>
  <c r="Q278" i="1"/>
  <c r="S459" i="1"/>
  <c r="R558" i="1"/>
  <c r="L190" i="1"/>
  <c r="I441" i="1"/>
  <c r="T181" i="1"/>
  <c r="S519" i="1"/>
  <c r="I567" i="1"/>
  <c r="J511" i="1"/>
  <c r="Q366" i="1"/>
  <c r="Q241" i="1"/>
  <c r="I377" i="1"/>
  <c r="S178" i="1"/>
  <c r="Q401" i="1"/>
  <c r="I469" i="1"/>
  <c r="R332" i="1"/>
  <c r="Q131" i="1"/>
  <c r="J559" i="1"/>
  <c r="R200" i="1"/>
  <c r="Q439" i="1"/>
  <c r="K505" i="1"/>
  <c r="I298" i="1"/>
  <c r="I477" i="1"/>
  <c r="J351" i="1"/>
  <c r="Q338" i="1"/>
  <c r="Q500" i="1"/>
  <c r="Q287" i="1"/>
  <c r="J565" i="1"/>
  <c r="R521" i="1"/>
  <c r="Q203" i="1"/>
  <c r="Q356" i="1"/>
  <c r="I430" i="1"/>
  <c r="L175" i="1"/>
  <c r="Q25" i="1"/>
  <c r="Q562" i="1"/>
  <c r="Q674" i="1"/>
  <c r="Q576" i="1"/>
  <c r="J455" i="1"/>
  <c r="Q233" i="1"/>
  <c r="J466" i="1"/>
  <c r="R529" i="1"/>
  <c r="J508" i="1"/>
  <c r="J523" i="1"/>
  <c r="S506" i="1"/>
  <c r="Q633" i="1"/>
  <c r="J166" i="1"/>
  <c r="Q448" i="1"/>
  <c r="I357" i="1"/>
  <c r="Q592" i="1"/>
  <c r="I356" i="1"/>
  <c r="Q370" i="1"/>
  <c r="S558" i="1"/>
  <c r="I184" i="1"/>
  <c r="R455" i="1"/>
  <c r="Q564" i="1"/>
  <c r="J322" i="1"/>
  <c r="T222" i="1"/>
  <c r="Q426" i="1"/>
  <c r="K491" i="1"/>
  <c r="T239" i="1"/>
  <c r="Q271" i="1"/>
  <c r="J552" i="1"/>
  <c r="S466" i="1"/>
  <c r="Q74" i="1"/>
  <c r="I422" i="1"/>
  <c r="S221" i="1"/>
  <c r="K461" i="1"/>
  <c r="Q63" i="1"/>
  <c r="Q314" i="1"/>
  <c r="S549" i="1"/>
  <c r="Q601" i="1"/>
  <c r="T209" i="1"/>
  <c r="S471" i="1"/>
  <c r="T231" i="1"/>
  <c r="I169" i="1"/>
  <c r="I281" i="1"/>
  <c r="K514" i="1"/>
  <c r="Q258" i="1"/>
  <c r="R175" i="1"/>
  <c r="I382" i="1"/>
  <c r="K178" i="1"/>
  <c r="Q525" i="1"/>
  <c r="S194" i="1"/>
  <c r="Q657" i="1"/>
  <c r="R364" i="1"/>
  <c r="R194" i="1"/>
  <c r="Q194" i="1"/>
  <c r="I379" i="1"/>
  <c r="S489" i="1"/>
  <c r="Q534" i="1"/>
  <c r="R468" i="1"/>
  <c r="S204" i="1"/>
  <c r="I467" i="1"/>
  <c r="I559" i="1"/>
  <c r="S569" i="1"/>
  <c r="S197" i="1"/>
  <c r="R489" i="1"/>
  <c r="Q336" i="1"/>
  <c r="Q620" i="1"/>
  <c r="J561" i="1"/>
  <c r="I486" i="1"/>
  <c r="Q437" i="1"/>
  <c r="T213" i="1"/>
  <c r="S526" i="1"/>
  <c r="Q70" i="1"/>
  <c r="Q234" i="1"/>
  <c r="I503" i="1"/>
  <c r="J519" i="1"/>
  <c r="Q570" i="1"/>
  <c r="Q512" i="1"/>
  <c r="Q615" i="1"/>
  <c r="K168" i="1"/>
  <c r="Q505" i="1"/>
  <c r="I473" i="1"/>
  <c r="I536" i="1"/>
  <c r="Q608" i="1"/>
  <c r="J486" i="1"/>
  <c r="Q443" i="1"/>
  <c r="Q274" i="1"/>
  <c r="I313" i="1"/>
  <c r="K469" i="1"/>
  <c r="S524" i="1"/>
  <c r="R479" i="1"/>
  <c r="K488" i="1"/>
  <c r="K467" i="1"/>
  <c r="Q374" i="1"/>
  <c r="R469" i="1"/>
  <c r="R324" i="1"/>
  <c r="T163" i="1"/>
  <c r="Q485" i="1"/>
  <c r="J560" i="1"/>
  <c r="J488" i="1"/>
  <c r="I531" i="1"/>
  <c r="K551" i="1"/>
  <c r="I560" i="1"/>
  <c r="R173" i="1"/>
  <c r="Q528" i="1"/>
  <c r="R232" i="1"/>
  <c r="R491" i="1"/>
  <c r="S463" i="1"/>
  <c r="S205" i="1"/>
  <c r="S557" i="1"/>
  <c r="J172" i="1"/>
  <c r="R169" i="1"/>
  <c r="Q414" i="1"/>
  <c r="I252" i="1"/>
  <c r="I179" i="1"/>
  <c r="R165" i="1"/>
  <c r="I188" i="1"/>
  <c r="J493" i="1"/>
  <c r="Q214" i="1"/>
  <c r="S199" i="1"/>
  <c r="S541" i="1"/>
  <c r="Q209" i="1"/>
  <c r="K504" i="1"/>
  <c r="Q11" i="1"/>
  <c r="Q479" i="1"/>
  <c r="R177" i="1"/>
  <c r="S189" i="1"/>
  <c r="K516" i="1"/>
  <c r="R190" i="1"/>
  <c r="T199" i="1"/>
  <c r="Q409" i="1"/>
  <c r="I349" i="1"/>
  <c r="Q326" i="1"/>
  <c r="Q176" i="1"/>
  <c r="Q524" i="1"/>
  <c r="I495" i="1"/>
  <c r="R362" i="1"/>
  <c r="K566" i="1"/>
  <c r="R535" i="1"/>
  <c r="R460" i="1"/>
  <c r="Q491" i="1"/>
  <c r="L191" i="1"/>
  <c r="J338" i="1"/>
  <c r="Q573" i="1"/>
  <c r="Q590" i="1"/>
  <c r="L182" i="1"/>
  <c r="Q345" i="1"/>
  <c r="R166" i="1"/>
  <c r="S487" i="1"/>
  <c r="J359" i="1"/>
  <c r="I163" i="1"/>
  <c r="Q611" i="1"/>
  <c r="J489" i="1"/>
  <c r="T166" i="1"/>
  <c r="I471" i="1"/>
  <c r="S477" i="1"/>
  <c r="Q532" i="1"/>
  <c r="R497" i="1"/>
  <c r="J169" i="1"/>
  <c r="J365" i="1"/>
  <c r="Q376" i="1"/>
  <c r="Q381" i="1"/>
  <c r="J313" i="1"/>
  <c r="L171" i="1"/>
  <c r="Q402" i="1"/>
  <c r="I381" i="1"/>
  <c r="I562" i="1"/>
  <c r="I468" i="1"/>
  <c r="Q295" i="1"/>
  <c r="Q477" i="1"/>
  <c r="J568" i="1"/>
  <c r="Q58" i="1"/>
  <c r="J349" i="1"/>
  <c r="K472" i="1"/>
  <c r="J179" i="1"/>
  <c r="S566" i="1"/>
  <c r="R478" i="1"/>
  <c r="I484" i="1"/>
  <c r="J569" i="1"/>
  <c r="I258" i="1"/>
  <c r="Q616" i="1"/>
  <c r="I173" i="1"/>
  <c r="S211" i="1"/>
  <c r="Q466" i="1"/>
  <c r="Q102" i="1"/>
  <c r="Q581" i="1"/>
  <c r="I286" i="1"/>
  <c r="Q489" i="1"/>
  <c r="T164" i="1"/>
  <c r="R511" i="1"/>
  <c r="R501" i="1"/>
  <c r="R546" i="1"/>
  <c r="Q360" i="1"/>
  <c r="R312" i="1"/>
  <c r="Q342" i="1"/>
  <c r="K183" i="1"/>
  <c r="Q623" i="1"/>
  <c r="I442" i="1"/>
  <c r="I260" i="1"/>
  <c r="Q222" i="1"/>
  <c r="Q38" i="1"/>
  <c r="Q673" i="1"/>
  <c r="R471" i="1"/>
  <c r="S543" i="1"/>
  <c r="I138" i="1"/>
  <c r="Q637" i="1"/>
  <c r="J344" i="1"/>
  <c r="Q267" i="1"/>
  <c r="Q552" i="1"/>
  <c r="Q65" i="1"/>
  <c r="S512" i="1"/>
  <c r="S500" i="1"/>
  <c r="Q628" i="1"/>
  <c r="J534" i="1"/>
  <c r="Q212" i="1"/>
  <c r="Q169" i="1"/>
  <c r="R313" i="1"/>
  <c r="S166" i="1"/>
  <c r="Q482" i="1"/>
  <c r="Q484" i="1"/>
  <c r="Q438" i="1"/>
  <c r="J483" i="1"/>
  <c r="I424" i="1"/>
  <c r="Q343" i="1"/>
  <c r="J564" i="1"/>
  <c r="I303" i="1"/>
  <c r="I489" i="1"/>
  <c r="I411" i="1"/>
  <c r="I528" i="1"/>
  <c r="K561" i="1"/>
  <c r="R554" i="1"/>
  <c r="S503" i="1"/>
  <c r="Q375" i="1"/>
  <c r="T190" i="1"/>
  <c r="J479" i="1"/>
  <c r="Q520" i="1"/>
  <c r="J356" i="1"/>
  <c r="Q291" i="1"/>
  <c r="Q405" i="1"/>
  <c r="Q71" i="1"/>
  <c r="Q447" i="1"/>
  <c r="Q503" i="1"/>
  <c r="Q606" i="1"/>
  <c r="R205" i="1"/>
  <c r="I340" i="1"/>
  <c r="S461" i="1"/>
  <c r="K481" i="1"/>
  <c r="R348" i="1"/>
  <c r="I338" i="1"/>
  <c r="Q429" i="1"/>
  <c r="J498" i="1"/>
  <c r="K165" i="1"/>
  <c r="Q626" i="1"/>
  <c r="Q292" i="1"/>
  <c r="I546" i="1"/>
  <c r="R536" i="1"/>
  <c r="Q515" i="1"/>
  <c r="K539" i="1"/>
  <c r="I368" i="1"/>
  <c r="Q553" i="1"/>
  <c r="I250" i="1"/>
  <c r="S523" i="1"/>
  <c r="K528" i="1"/>
  <c r="R300" i="1"/>
  <c r="K476" i="1"/>
  <c r="Q60" i="1"/>
  <c r="R198" i="1"/>
  <c r="S563" i="1"/>
  <c r="R227" i="1"/>
  <c r="Q244" i="1"/>
  <c r="J307" i="1"/>
  <c r="J300" i="1"/>
  <c r="I365" i="1"/>
  <c r="S517" i="1"/>
  <c r="S219" i="1"/>
  <c r="Q597" i="1"/>
  <c r="Q523" i="1"/>
  <c r="Q72" i="1"/>
  <c r="I380" i="1"/>
  <c r="I447" i="1"/>
  <c r="I530" i="1"/>
  <c r="L170" i="1"/>
  <c r="R518" i="1"/>
  <c r="R345" i="1"/>
  <c r="K177" i="1"/>
  <c r="I262" i="1"/>
  <c r="I369" i="1"/>
  <c r="I494" i="1"/>
  <c r="Q502" i="1"/>
  <c r="S545" i="1"/>
  <c r="J329" i="1"/>
  <c r="Q377" i="1"/>
  <c r="S514" i="1"/>
  <c r="R299" i="1"/>
  <c r="I348" i="1"/>
  <c r="J174" i="1"/>
  <c r="J184" i="1"/>
  <c r="Q650" i="1"/>
  <c r="J178" i="1"/>
  <c r="Q463" i="1"/>
  <c r="Q17" i="1"/>
  <c r="J528" i="1"/>
  <c r="R503" i="1"/>
  <c r="K454" i="1"/>
  <c r="J487" i="1"/>
  <c r="R355" i="1"/>
  <c r="I548" i="1"/>
  <c r="Q619" i="1"/>
  <c r="I266" i="1"/>
  <c r="T210" i="1"/>
  <c r="I426" i="1"/>
  <c r="Q286" i="1"/>
  <c r="Q344" i="1"/>
  <c r="Q341" i="1"/>
  <c r="K536" i="1"/>
  <c r="Q357" i="1"/>
  <c r="K166" i="1"/>
  <c r="J490" i="1"/>
  <c r="S511" i="1"/>
  <c r="I396" i="1"/>
  <c r="Q473" i="1"/>
  <c r="R461" i="1"/>
  <c r="Q75" i="1"/>
  <c r="R549" i="1"/>
  <c r="J543" i="1"/>
  <c r="Q44" i="1"/>
  <c r="L163" i="1"/>
  <c r="S507" i="1"/>
  <c r="I520" i="1"/>
  <c r="J506" i="1"/>
  <c r="Q395" i="1"/>
  <c r="K459" i="1"/>
  <c r="Q677" i="1"/>
  <c r="J566" i="1"/>
  <c r="R199" i="1"/>
  <c r="Q300" i="1"/>
  <c r="I321" i="1"/>
  <c r="K526" i="1"/>
  <c r="Q475" i="1"/>
  <c r="Q189" i="1"/>
  <c r="S482" i="1"/>
  <c r="Q519" i="1"/>
  <c r="I362" i="1"/>
  <c r="L168" i="1"/>
  <c r="J347" i="1"/>
  <c r="I412" i="1"/>
  <c r="K545" i="1"/>
  <c r="Q551" i="1"/>
  <c r="I392" i="1"/>
  <c r="Q254" i="1"/>
  <c r="R477" i="1"/>
  <c r="Q281" i="1"/>
  <c r="I437" i="1"/>
  <c r="Q316" i="1"/>
  <c r="J316" i="1"/>
  <c r="J354" i="1"/>
  <c r="I352" i="1"/>
  <c r="R500" i="1"/>
  <c r="Q354" i="1"/>
  <c r="K474" i="1"/>
  <c r="S203" i="1"/>
  <c r="S462" i="1"/>
  <c r="Q68" i="1"/>
  <c r="T204" i="1"/>
  <c r="I438" i="1"/>
  <c r="T240" i="1"/>
  <c r="S190" i="1"/>
  <c r="J554" i="1"/>
  <c r="Q543" i="1"/>
  <c r="I342" i="1"/>
  <c r="J366" i="1"/>
  <c r="I359" i="1"/>
  <c r="T219" i="1"/>
  <c r="Q665" i="1"/>
  <c r="R238" i="1"/>
  <c r="K511" i="1"/>
  <c r="Q668" i="1"/>
  <c r="K460" i="1"/>
  <c r="Q181" i="1"/>
  <c r="Q583" i="1"/>
  <c r="I389" i="1"/>
  <c r="J555" i="1"/>
  <c r="R472" i="1"/>
  <c r="S483" i="1"/>
  <c r="L180" i="1"/>
  <c r="Q652" i="1"/>
  <c r="J360" i="1"/>
  <c r="Q469" i="1"/>
  <c r="I478" i="1"/>
  <c r="J358" i="1"/>
  <c r="Q490" i="1"/>
  <c r="Q407" i="1"/>
  <c r="Q251" i="1"/>
  <c r="S455" i="1"/>
  <c r="J484" i="1"/>
  <c r="Q273" i="1"/>
  <c r="I358" i="1"/>
  <c r="R241" i="1"/>
  <c r="I186" i="1"/>
  <c r="Q298" i="1"/>
  <c r="Q29" i="1"/>
  <c r="K486" i="1"/>
  <c r="Q646" i="1"/>
  <c r="S243" i="1"/>
  <c r="Q64" i="1"/>
  <c r="Q539" i="1"/>
  <c r="Q566" i="1"/>
  <c r="Q417" i="1"/>
  <c r="Q7" i="1"/>
  <c r="I572" i="1"/>
  <c r="R568" i="1"/>
  <c r="Q353" i="1"/>
  <c r="S206" i="1"/>
  <c r="I311" i="1"/>
  <c r="J494" i="1"/>
  <c r="J515" i="1"/>
  <c r="I435" i="1"/>
  <c r="Q455" i="1"/>
  <c r="J191" i="1"/>
  <c r="Q462" i="1"/>
  <c r="Q333" i="1"/>
  <c r="Q385" i="1"/>
  <c r="I482" i="1"/>
  <c r="K169" i="1"/>
  <c r="Q679" i="1"/>
  <c r="J339" i="1"/>
  <c r="R494" i="1"/>
  <c r="I343" i="1"/>
  <c r="Q228" i="1"/>
  <c r="Q282" i="1"/>
  <c r="J320" i="1"/>
  <c r="S222" i="1"/>
  <c r="J518" i="1"/>
  <c r="K559" i="1"/>
  <c r="I288" i="1"/>
  <c r="J352" i="1"/>
  <c r="Q621" i="1"/>
  <c r="R543" i="1"/>
  <c r="J572" i="1"/>
  <c r="T194" i="1"/>
  <c r="I164" i="1"/>
  <c r="J522" i="1"/>
  <c r="R323" i="1"/>
  <c r="T165" i="1"/>
  <c r="J298" i="1"/>
  <c r="T215" i="1"/>
  <c r="I339" i="1"/>
  <c r="J301" i="1"/>
  <c r="Q171" i="1"/>
  <c r="Q231" i="1"/>
  <c r="S237" i="1"/>
  <c r="R210" i="1"/>
  <c r="Q40" i="1"/>
  <c r="J341" i="1"/>
  <c r="Q261" i="1"/>
  <c r="Q297" i="1"/>
  <c r="J465" i="1"/>
  <c r="J480" i="1"/>
  <c r="Q352" i="1"/>
  <c r="R487" i="1"/>
  <c r="K520" i="1"/>
  <c r="J312" i="1"/>
  <c r="Q355" i="1"/>
  <c r="Q323" i="1"/>
  <c r="I384" i="1"/>
  <c r="S453" i="1"/>
  <c r="R342" i="1"/>
  <c r="I498" i="1"/>
  <c r="I328" i="1"/>
  <c r="I408" i="1"/>
  <c r="S469" i="1"/>
  <c r="Q238" i="1"/>
  <c r="Q557" i="1"/>
  <c r="J503" i="1"/>
  <c r="Q544" i="1"/>
  <c r="S174" i="1"/>
  <c r="Q13" i="1"/>
  <c r="I431" i="1"/>
  <c r="Q488" i="1"/>
  <c r="R486" i="1"/>
  <c r="S164" i="1"/>
  <c r="Q210" i="1"/>
  <c r="Q253" i="1"/>
  <c r="S187" i="1"/>
  <c r="Q403" i="1"/>
  <c r="Q664" i="1"/>
  <c r="K167" i="1"/>
  <c r="S531" i="1"/>
  <c r="Q460" i="1"/>
  <c r="S491" i="1"/>
  <c r="R244" i="1"/>
  <c r="Q365" i="1"/>
  <c r="Q59" i="1"/>
  <c r="R533" i="1"/>
  <c r="Q560" i="1"/>
  <c r="J491" i="1"/>
  <c r="Q513" i="1"/>
  <c r="J182" i="1"/>
  <c r="Q644" i="1"/>
  <c r="J331" i="1"/>
  <c r="Q35" i="1"/>
  <c r="J343" i="1"/>
  <c r="R180" i="1"/>
  <c r="S231" i="1"/>
  <c r="Q306" i="1"/>
  <c r="Q450" i="1"/>
  <c r="I174" i="1"/>
  <c r="R531" i="1"/>
  <c r="R548" i="1"/>
  <c r="K498" i="1"/>
  <c r="Q16" i="1"/>
  <c r="J334" i="1"/>
  <c r="Q173" i="1"/>
  <c r="R316" i="1"/>
  <c r="R207" i="1"/>
  <c r="Q655" i="1"/>
  <c r="T168" i="1"/>
  <c r="I566" i="1"/>
  <c r="I461" i="1"/>
  <c r="I521" i="1"/>
  <c r="Q66" i="1"/>
  <c r="I333" i="1"/>
  <c r="Q396" i="1"/>
  <c r="K502" i="1"/>
  <c r="Q247" i="1"/>
  <c r="R196" i="1"/>
  <c r="R522" i="1"/>
  <c r="I247" i="1"/>
  <c r="Q494" i="1"/>
  <c r="Q177" i="1"/>
  <c r="S504" i="1"/>
  <c r="L188" i="1"/>
  <c r="Q476" i="1"/>
  <c r="K557" i="1"/>
  <c r="L179" i="1"/>
  <c r="J540" i="1"/>
  <c r="K468" i="1"/>
  <c r="R556" i="1"/>
  <c r="Q662" i="1"/>
  <c r="R463" i="1"/>
  <c r="I549" i="1"/>
  <c r="Q340" i="1"/>
  <c r="Q334" i="1"/>
  <c r="Q85" i="1"/>
  <c r="Q559" i="1"/>
  <c r="J325" i="1"/>
  <c r="I136" i="1"/>
  <c r="Q351" i="1"/>
  <c r="K560" i="1"/>
  <c r="S536" i="1"/>
  <c r="K457" i="1"/>
  <c r="I325" i="1"/>
  <c r="R181" i="1"/>
  <c r="R310" i="1"/>
  <c r="R473" i="1"/>
  <c r="R570" i="1"/>
  <c r="Q545" i="1"/>
  <c r="J364" i="1"/>
  <c r="R203" i="1"/>
  <c r="T180" i="1"/>
  <c r="S213" i="1"/>
  <c r="Q493" i="1"/>
  <c r="J350" i="1"/>
  <c r="R363" i="1"/>
  <c r="Q186" i="1"/>
  <c r="R346" i="1"/>
  <c r="I519" i="1"/>
  <c r="Q549" i="1"/>
  <c r="Q663" i="1"/>
  <c r="R343" i="1"/>
  <c r="R186" i="1"/>
  <c r="Q67" i="1"/>
  <c r="I251" i="1"/>
  <c r="K515" i="1"/>
  <c r="Q31" i="1"/>
  <c r="S235" i="1"/>
  <c r="Q387" i="1"/>
  <c r="K553" i="1"/>
  <c r="Q117" i="1"/>
  <c r="K509" i="1"/>
  <c r="R523" i="1"/>
  <c r="K530" i="1"/>
  <c r="I513" i="1"/>
  <c r="R337" i="1"/>
  <c r="I345" i="1"/>
  <c r="I406" i="1"/>
  <c r="Q593" i="1"/>
  <c r="I508" i="1"/>
  <c r="Q436" i="1"/>
  <c r="J345" i="1"/>
  <c r="S554" i="1"/>
  <c r="I504" i="1"/>
  <c r="Q225" i="1"/>
  <c r="I419" i="1"/>
  <c r="J509" i="1"/>
  <c r="K478" i="1"/>
  <c r="I344" i="1"/>
  <c r="R185" i="1"/>
  <c r="S539" i="1"/>
  <c r="I279" i="1"/>
  <c r="R517" i="1"/>
  <c r="J326" i="1"/>
  <c r="R553" i="1"/>
  <c r="S464" i="1"/>
  <c r="I516" i="1"/>
  <c r="S476" i="1"/>
  <c r="L166" i="1"/>
  <c r="I128" i="1"/>
  <c r="S220" i="1"/>
  <c r="Q660" i="1"/>
  <c r="K473" i="1"/>
  <c r="I464" i="1"/>
  <c r="I526" i="1"/>
  <c r="R208" i="1"/>
  <c r="Q79" i="1"/>
  <c r="Q257" i="1"/>
  <c r="T191" i="1"/>
  <c r="Q362" i="1"/>
  <c r="S168" i="1"/>
  <c r="Q495" i="1"/>
  <c r="K175" i="1"/>
  <c r="Q347" i="1"/>
  <c r="T184" i="1"/>
  <c r="J556" i="1"/>
  <c r="Q240" i="1"/>
  <c r="Q632" i="1"/>
  <c r="I514" i="1"/>
  <c r="Q363" i="1"/>
  <c r="I502" i="1"/>
  <c r="Q39" i="1"/>
  <c r="S571" i="1"/>
  <c r="S550" i="1"/>
  <c r="K490" i="1"/>
  <c r="Q567" i="1"/>
  <c r="Q5" i="1"/>
  <c r="Q492" i="1"/>
  <c r="R225" i="1"/>
  <c r="Q318" i="1"/>
  <c r="I550" i="1"/>
  <c r="R308" i="1"/>
  <c r="I479" i="1"/>
  <c r="Q305" i="1"/>
  <c r="R552" i="1"/>
  <c r="I166" i="1"/>
  <c r="I270" i="1"/>
  <c r="Q399" i="1"/>
  <c r="I472" i="1"/>
  <c r="J501" i="1"/>
  <c r="Q685" i="1"/>
  <c r="Q595" i="1"/>
  <c r="R172" i="1"/>
  <c r="Q302" i="1"/>
  <c r="I544" i="1"/>
  <c r="Q588" i="1"/>
  <c r="Q259" i="1"/>
  <c r="S510" i="1"/>
  <c r="Q440" i="1"/>
  <c r="I416" i="1"/>
  <c r="R351" i="1"/>
  <c r="I385" i="1"/>
  <c r="Q229" i="1"/>
  <c r="Q312" i="1"/>
  <c r="J335" i="1"/>
  <c r="Q627" i="1"/>
  <c r="Q211" i="1"/>
  <c r="S521" i="1"/>
  <c r="I428" i="1"/>
  <c r="I511" i="1"/>
  <c r="Q368" i="1"/>
  <c r="R213" i="1"/>
  <c r="T206" i="1"/>
  <c r="R490" i="1"/>
  <c r="I304" i="1"/>
  <c r="Q21" i="1"/>
  <c r="R559" i="1"/>
  <c r="Q220" i="1"/>
  <c r="R317" i="1"/>
  <c r="Q420" i="1"/>
  <c r="T171" i="1"/>
  <c r="S473" i="1"/>
  <c r="Q680" i="1"/>
  <c r="I187" i="1"/>
  <c r="I542" i="1"/>
  <c r="R195" i="1"/>
  <c r="Q498" i="1"/>
  <c r="S224" i="1"/>
  <c r="Q313" i="1"/>
  <c r="Q311" i="1"/>
  <c r="Q391" i="1"/>
  <c r="Q61" i="1"/>
  <c r="K471" i="1"/>
  <c r="I404" i="1"/>
  <c r="I418" i="1"/>
  <c r="S497" i="1"/>
  <c r="K552" i="1"/>
  <c r="Q510" i="1"/>
  <c r="J163" i="1"/>
  <c r="I249" i="1"/>
  <c r="R176" i="1"/>
  <c r="Q269" i="1"/>
  <c r="L189" i="1"/>
  <c r="K191" i="1"/>
  <c r="Q529" i="1"/>
  <c r="Q563" i="1"/>
  <c r="I335" i="1"/>
  <c r="S195" i="1"/>
  <c r="Q303" i="1"/>
  <c r="S200" i="1"/>
  <c r="Q296" i="1"/>
  <c r="Q196" i="1"/>
  <c r="I376" i="1"/>
  <c r="Q224" i="1"/>
  <c r="K172" i="1"/>
  <c r="I414" i="1"/>
  <c r="Q613" i="1"/>
  <c r="I547" i="1"/>
  <c r="K518" i="1"/>
  <c r="J311" i="1"/>
  <c r="Q504" i="1"/>
  <c r="I545" i="1"/>
  <c r="R456" i="1"/>
  <c r="Q682" i="1"/>
  <c r="R566" i="1"/>
  <c r="L178" i="1"/>
  <c r="L167" i="1"/>
  <c r="S516" i="1"/>
  <c r="Q27" i="1"/>
  <c r="L186" i="1"/>
  <c r="I525" i="1"/>
  <c r="Q656" i="1"/>
  <c r="Q367" i="1"/>
  <c r="K507" i="1"/>
  <c r="Q250" i="1"/>
  <c r="I569" i="1"/>
  <c r="J535" i="1"/>
  <c r="I272" i="1"/>
  <c r="Q517" i="1"/>
  <c r="I329" i="1"/>
  <c r="Q464" i="1"/>
  <c r="Q23" i="1"/>
  <c r="Q422" i="1"/>
  <c r="Q585" i="1"/>
  <c r="I397" i="1"/>
  <c r="J464" i="1"/>
  <c r="B1" i="1" l="1"/>
</calcChain>
</file>

<file path=xl/sharedStrings.xml><?xml version="1.0" encoding="utf-8"?>
<sst xmlns="http://schemas.openxmlformats.org/spreadsheetml/2006/main" count="2474" uniqueCount="934">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</sst>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87"/>
  <sheetViews>
    <sheetView tabSelected="1" zoomScale="85" zoomScaleNormal="85" workbookViewId="0">
      <pane xSplit="4" ySplit="3" topLeftCell="E34" activePane="bottomRight" state="frozen"/>
      <selection pane="topRight" activeCell="E1" sqref="E1"/>
      <selection pane="bottomLeft" activeCell="A4" sqref="A4"/>
      <selection pane="bottomRight" activeCell="I59" sqref="I59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210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926</v>
      </c>
      <c r="B4" t="s">
        <v>927</v>
      </c>
      <c r="C4" t="s">
        <v>705</v>
      </c>
      <c r="D4" t="s">
        <v>576</v>
      </c>
      <c r="F4">
        <v>1</v>
      </c>
      <c r="G4">
        <v>10</v>
      </c>
      <c r="I4" s="1" t="e">
        <f>addBaseNNumber(E4,F4,G4)</f>
        <v>#NULL!</v>
      </c>
      <c r="M4" s="1" t="e">
        <v>#NULL!</v>
      </c>
      <c r="Q4" s="1" t="b">
        <f t="shared" ref="Q4:Q67" si="0">getText(I4)=getText(M4)</f>
        <v>1</v>
      </c>
    </row>
    <row r="5" spans="1:20" x14ac:dyDescent="0.15">
      <c r="D5" t="s">
        <v>638</v>
      </c>
      <c r="E5" s="1">
        <v>1</v>
      </c>
      <c r="F5">
        <v>1</v>
      </c>
      <c r="G5">
        <v>1</v>
      </c>
      <c r="I5" s="1" t="e">
        <f>addBaseNNumber(E5,F5,G5)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706</v>
      </c>
      <c r="D6" s="2" t="s">
        <v>576</v>
      </c>
      <c r="E6" s="3">
        <v>1</v>
      </c>
      <c r="F6" s="2"/>
      <c r="G6" s="2">
        <v>10</v>
      </c>
      <c r="H6" s="2"/>
      <c r="I6" s="3" t="e">
        <f>addBaseNNumber(E6,F6,G6)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638</v>
      </c>
      <c r="E7" s="1">
        <v>1</v>
      </c>
      <c r="F7">
        <v>1</v>
      </c>
      <c r="G7" s="7">
        <v>1</v>
      </c>
      <c r="I7" s="1" t="e">
        <f>addBaseNNumber(E7,F7,G7)</f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707</v>
      </c>
      <c r="C8" s="2" t="s">
        <v>704</v>
      </c>
      <c r="D8" s="2" t="s">
        <v>708</v>
      </c>
      <c r="E8" s="3">
        <v>0.1</v>
      </c>
      <c r="F8" s="2">
        <v>0.3</v>
      </c>
      <c r="G8" s="24">
        <v>10</v>
      </c>
      <c r="H8" s="2"/>
      <c r="I8" s="3" t="str">
        <f>addBaseNNumber(E8,F8,G8)</f>
        <v>0.4</v>
      </c>
      <c r="J8" s="2"/>
      <c r="K8" s="2"/>
      <c r="L8" s="2"/>
      <c r="M8" s="3" t="s">
        <v>711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709</v>
      </c>
      <c r="E9" s="1">
        <v>0.12</v>
      </c>
      <c r="F9" s="7">
        <v>0.3</v>
      </c>
      <c r="G9">
        <v>10</v>
      </c>
      <c r="I9" s="1" t="str">
        <f>addBaseNNumber(E9,F9,G9)</f>
        <v>0.42</v>
      </c>
      <c r="M9" s="1" t="s">
        <v>712</v>
      </c>
      <c r="Q9" s="1" t="b">
        <f t="shared" si="0"/>
        <v>1</v>
      </c>
    </row>
    <row r="10" spans="1:20" x14ac:dyDescent="0.15">
      <c r="D10" s="7" t="s">
        <v>710</v>
      </c>
      <c r="E10" s="1">
        <v>0.123</v>
      </c>
      <c r="F10" s="7">
        <v>0.4</v>
      </c>
      <c r="G10">
        <v>10</v>
      </c>
      <c r="I10" s="1" t="str">
        <f>addBaseNNumber(E10,F10,G10)</f>
        <v>0.523</v>
      </c>
      <c r="M10" s="1" t="s">
        <v>713</v>
      </c>
      <c r="Q10" s="1" t="b">
        <f t="shared" si="0"/>
        <v>1</v>
      </c>
    </row>
    <row r="11" spans="1:20" x14ac:dyDescent="0.15">
      <c r="C11" s="2" t="s">
        <v>706</v>
      </c>
      <c r="D11" s="2" t="s">
        <v>708</v>
      </c>
      <c r="E11" s="3">
        <v>0.3</v>
      </c>
      <c r="F11" s="2">
        <v>0.1</v>
      </c>
      <c r="G11" s="2">
        <v>10</v>
      </c>
      <c r="H11" s="2"/>
      <c r="I11" s="3" t="str">
        <f>addBaseNNumber(E11,F11,G11)</f>
        <v>0.4</v>
      </c>
      <c r="J11" s="2"/>
      <c r="K11" s="2"/>
      <c r="L11" s="2"/>
      <c r="M11" s="3" t="s">
        <v>711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709</v>
      </c>
      <c r="E12" s="1">
        <v>0.3</v>
      </c>
      <c r="F12">
        <v>0.12</v>
      </c>
      <c r="G12">
        <v>10</v>
      </c>
      <c r="I12" s="1" t="str">
        <f>addBaseNNumber(E12,F12,G12)</f>
        <v>0.42</v>
      </c>
      <c r="M12" s="1" t="s">
        <v>712</v>
      </c>
      <c r="Q12" s="1" t="b">
        <f t="shared" si="0"/>
        <v>1</v>
      </c>
    </row>
    <row r="13" spans="1:20" x14ac:dyDescent="0.15">
      <c r="D13" s="7" t="s">
        <v>710</v>
      </c>
      <c r="E13" s="1">
        <v>0.4</v>
      </c>
      <c r="F13">
        <v>0.123</v>
      </c>
      <c r="G13">
        <v>10</v>
      </c>
      <c r="I13" s="1" t="str">
        <f>addBaseNNumber(E13,F13,G13)</f>
        <v>0.523</v>
      </c>
      <c r="M13" s="1" t="s">
        <v>713</v>
      </c>
      <c r="Q13" s="1" t="b">
        <f t="shared" si="0"/>
        <v>1</v>
      </c>
    </row>
    <row r="14" spans="1:20" x14ac:dyDescent="0.15">
      <c r="B14" s="2" t="s">
        <v>732</v>
      </c>
      <c r="C14" s="2" t="s">
        <v>714</v>
      </c>
      <c r="D14" s="2"/>
      <c r="E14" s="3">
        <v>-5</v>
      </c>
      <c r="F14" s="2">
        <v>-5</v>
      </c>
      <c r="G14" s="2">
        <v>10</v>
      </c>
      <c r="H14" s="2"/>
      <c r="I14" s="3" t="str">
        <f>addBaseNNumber(E14,F14,G14)</f>
        <v>-10</v>
      </c>
      <c r="J14" s="2"/>
      <c r="K14" s="2"/>
      <c r="L14" s="2"/>
      <c r="M14" s="3" t="s">
        <v>719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715</v>
      </c>
      <c r="D15" s="2" t="s">
        <v>716</v>
      </c>
      <c r="E15" s="3">
        <v>-8</v>
      </c>
      <c r="F15" s="2">
        <v>9</v>
      </c>
      <c r="G15" s="2">
        <v>10</v>
      </c>
      <c r="H15" s="2"/>
      <c r="I15" s="3" t="str">
        <f>addBaseNNumber(E15,F15,G15)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717</v>
      </c>
      <c r="E16" s="1">
        <v>-9</v>
      </c>
      <c r="F16">
        <v>8</v>
      </c>
      <c r="G16">
        <v>10</v>
      </c>
      <c r="I16" s="1" t="str">
        <f>addBaseNNumber(E16,F16,G16)</f>
        <v>-1</v>
      </c>
      <c r="M16" s="1" t="s">
        <v>720</v>
      </c>
      <c r="Q16" s="1" t="b">
        <f t="shared" si="0"/>
        <v>1</v>
      </c>
    </row>
    <row r="17" spans="2:17" x14ac:dyDescent="0.15">
      <c r="D17" t="s">
        <v>718</v>
      </c>
      <c r="E17" s="1">
        <v>-9</v>
      </c>
      <c r="F17">
        <v>9</v>
      </c>
      <c r="G17">
        <v>10</v>
      </c>
      <c r="I17" s="1" t="str">
        <f>addBaseNNumber(E17,F17,G17)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721</v>
      </c>
      <c r="D18" s="2" t="s">
        <v>716</v>
      </c>
      <c r="E18" s="3">
        <v>9</v>
      </c>
      <c r="F18" s="2">
        <v>-8</v>
      </c>
      <c r="G18" s="2">
        <v>10</v>
      </c>
      <c r="H18" s="2"/>
      <c r="I18" s="3" t="str">
        <f>addBaseNNumber(E18,F18,G18)</f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717</v>
      </c>
      <c r="E19" s="1">
        <v>8</v>
      </c>
      <c r="F19">
        <v>-9</v>
      </c>
      <c r="G19">
        <v>10</v>
      </c>
      <c r="I19" s="1" t="str">
        <f>addBaseNNumber(E19,F19,G19)</f>
        <v>-1</v>
      </c>
      <c r="M19" s="1" t="s">
        <v>720</v>
      </c>
      <c r="Q19" s="1" t="b">
        <f t="shared" si="0"/>
        <v>1</v>
      </c>
    </row>
    <row r="20" spans="2:17" x14ac:dyDescent="0.15">
      <c r="D20" t="s">
        <v>718</v>
      </c>
      <c r="E20" s="1">
        <v>9</v>
      </c>
      <c r="F20">
        <v>-9</v>
      </c>
      <c r="G20">
        <v>10</v>
      </c>
      <c r="I20" s="1" t="str">
        <f>addBaseNNumber(E20,F20,G20)</f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722</v>
      </c>
      <c r="D21" s="2"/>
      <c r="E21" s="3">
        <v>5</v>
      </c>
      <c r="F21" s="2">
        <v>5</v>
      </c>
      <c r="G21" s="2">
        <v>10</v>
      </c>
      <c r="H21" s="2"/>
      <c r="I21" s="3" t="str">
        <f>addBaseNNumber(E21,F21,G21)</f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725</v>
      </c>
      <c r="C22" s="2" t="s">
        <v>723</v>
      </c>
      <c r="D22" s="2"/>
      <c r="E22" s="3">
        <v>0.1</v>
      </c>
      <c r="F22" s="2">
        <v>0.8</v>
      </c>
      <c r="G22" s="2">
        <v>10</v>
      </c>
      <c r="H22" s="2"/>
      <c r="I22" s="3" t="str">
        <f>addBaseNNumber(E22,F22,G22)</f>
        <v>0.9</v>
      </c>
      <c r="J22" s="2"/>
      <c r="K22" s="2"/>
      <c r="L22" s="2"/>
      <c r="M22" s="3" t="s">
        <v>733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724</v>
      </c>
      <c r="E23" s="1">
        <v>0.01</v>
      </c>
      <c r="F23" s="7">
        <v>0.09</v>
      </c>
      <c r="G23">
        <v>10</v>
      </c>
      <c r="I23" s="1" t="str">
        <f>addBaseNNumber(E23,F23,G23)</f>
        <v>0.1</v>
      </c>
      <c r="M23" s="1" t="s">
        <v>734</v>
      </c>
      <c r="Q23" s="1" t="b">
        <f t="shared" si="0"/>
        <v>1</v>
      </c>
    </row>
    <row r="24" spans="2:17" x14ac:dyDescent="0.15">
      <c r="C24" s="7" t="s">
        <v>726</v>
      </c>
      <c r="E24" s="1">
        <v>0.1</v>
      </c>
      <c r="F24" s="7">
        <v>0.9</v>
      </c>
      <c r="G24">
        <v>10</v>
      </c>
      <c r="I24" s="1" t="str">
        <f>addBaseNNumber(E24,F24,G24)</f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727</v>
      </c>
      <c r="C25" s="24" t="s">
        <v>728</v>
      </c>
      <c r="D25" s="2" t="s">
        <v>729</v>
      </c>
      <c r="E25" s="3">
        <v>0.09</v>
      </c>
      <c r="F25" s="24">
        <v>0.01</v>
      </c>
      <c r="G25" s="2">
        <v>10</v>
      </c>
      <c r="H25" s="2"/>
      <c r="I25" s="3" t="str">
        <f>addBaseNNumber(E25,F25,G25)</f>
        <v>0.1</v>
      </c>
      <c r="J25" s="2"/>
      <c r="K25" s="2"/>
      <c r="L25" s="2"/>
      <c r="M25" s="3" t="s">
        <v>734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730</v>
      </c>
      <c r="E26" s="1">
        <v>0.99</v>
      </c>
      <c r="F26" s="7">
        <v>0.01</v>
      </c>
      <c r="G26">
        <v>10</v>
      </c>
      <c r="I26" s="1" t="str">
        <f>addBaseNNumber(E26,F26,G26)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731</v>
      </c>
      <c r="D27" s="2" t="s">
        <v>729</v>
      </c>
      <c r="E27" s="3">
        <v>10</v>
      </c>
      <c r="F27" s="24">
        <v>-9</v>
      </c>
      <c r="G27" s="2">
        <v>10</v>
      </c>
      <c r="H27" s="2"/>
      <c r="I27" s="3" t="str">
        <f>addBaseNNumber(E27,F27,G27)</f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730</v>
      </c>
      <c r="E28" s="1">
        <v>10</v>
      </c>
      <c r="F28" s="7">
        <v>-9.9</v>
      </c>
      <c r="G28">
        <v>10</v>
      </c>
      <c r="I28" s="1" t="str">
        <f>addBaseNNumber(E28,F28,G28)</f>
        <v>0.1</v>
      </c>
      <c r="M28" s="1" t="s">
        <v>734</v>
      </c>
      <c r="Q28" s="1" t="b">
        <f t="shared" si="0"/>
        <v>1</v>
      </c>
    </row>
    <row r="29" spans="2:17" x14ac:dyDescent="0.15">
      <c r="B29" s="2" t="s">
        <v>735</v>
      </c>
      <c r="C29" s="2"/>
      <c r="D29" s="2" t="s">
        <v>738</v>
      </c>
      <c r="E29" s="3">
        <v>1</v>
      </c>
      <c r="F29" s="24">
        <v>1</v>
      </c>
      <c r="G29" s="2">
        <v>2</v>
      </c>
      <c r="H29" s="2"/>
      <c r="I29" s="3" t="str">
        <f>addBaseNNumber(E29,F29,G29)</f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739</v>
      </c>
      <c r="E30" s="1">
        <v>9</v>
      </c>
      <c r="F30" s="7">
        <v>9</v>
      </c>
      <c r="G30" s="7">
        <v>10</v>
      </c>
      <c r="I30" s="1" t="str">
        <f>addBaseNNumber(E30,F30,G30)</f>
        <v>18</v>
      </c>
      <c r="M30" s="1" t="s">
        <v>254</v>
      </c>
      <c r="Q30" s="1" t="b">
        <f t="shared" si="0"/>
        <v>1</v>
      </c>
    </row>
    <row r="31" spans="2:17" x14ac:dyDescent="0.15">
      <c r="D31" s="7" t="s">
        <v>740</v>
      </c>
      <c r="E31" s="8" t="s">
        <v>99</v>
      </c>
      <c r="F31" s="37" t="s">
        <v>99</v>
      </c>
      <c r="G31" s="7">
        <v>16</v>
      </c>
      <c r="I31" s="1" t="str">
        <f>addBaseNNumber(E31,F31,G31)</f>
        <v>1E</v>
      </c>
      <c r="M31" s="1" t="s">
        <v>255</v>
      </c>
      <c r="Q31" s="1" t="b">
        <f t="shared" si="0"/>
        <v>1</v>
      </c>
    </row>
    <row r="32" spans="2:17" x14ac:dyDescent="0.15">
      <c r="D32" s="7" t="s">
        <v>747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254</v>
      </c>
      <c r="Q32" s="1" t="b">
        <f t="shared" si="0"/>
        <v>1</v>
      </c>
    </row>
    <row r="33" spans="1:17" x14ac:dyDescent="0.15">
      <c r="D33" s="7" t="s">
        <v>748</v>
      </c>
      <c r="E33" s="8">
        <v>9</v>
      </c>
      <c r="F33" s="37" t="s">
        <v>749</v>
      </c>
      <c r="G33" s="7"/>
      <c r="I33" s="1" t="e">
        <f>addBaseNNumber(E33,F33)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933</v>
      </c>
      <c r="B34" s="2" t="s">
        <v>927</v>
      </c>
      <c r="C34" s="2" t="s">
        <v>736</v>
      </c>
      <c r="D34" s="2" t="s">
        <v>576</v>
      </c>
      <c r="E34" s="3"/>
      <c r="F34" s="24">
        <v>1</v>
      </c>
      <c r="G34" s="2">
        <v>10</v>
      </c>
      <c r="H34" s="2"/>
      <c r="I34" s="3" t="e">
        <f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638</v>
      </c>
      <c r="E35" s="1">
        <v>1</v>
      </c>
      <c r="F35" s="7">
        <v>1</v>
      </c>
      <c r="G35">
        <v>1</v>
      </c>
      <c r="I35" s="1" t="e">
        <f>multipleBaseNNumber(E35,F35,G35)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737</v>
      </c>
      <c r="D36" s="2" t="s">
        <v>576</v>
      </c>
      <c r="E36" s="3">
        <v>1</v>
      </c>
      <c r="F36" s="24"/>
      <c r="G36" s="2">
        <v>10</v>
      </c>
      <c r="H36" s="2"/>
      <c r="I36" s="3" t="e">
        <f>multipleBaseNNumber(E36,F36,G36)</f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638</v>
      </c>
      <c r="E37" s="1">
        <v>1</v>
      </c>
      <c r="F37" s="7">
        <v>1</v>
      </c>
      <c r="G37">
        <v>1</v>
      </c>
      <c r="I37" s="1" t="e">
        <f>multipleBaseNNumber(E37,F37,G37)</f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741</v>
      </c>
      <c r="C38" s="2" t="s">
        <v>743</v>
      </c>
      <c r="D38" s="2" t="s">
        <v>744</v>
      </c>
      <c r="E38" s="3">
        <v>0.1</v>
      </c>
      <c r="F38" s="24">
        <v>2</v>
      </c>
      <c r="G38" s="2">
        <v>10</v>
      </c>
      <c r="H38" s="2"/>
      <c r="I38" s="3" t="str">
        <f>multipleBaseNNumber(E38,F38,G38)</f>
        <v>0.2</v>
      </c>
      <c r="J38" s="2"/>
      <c r="K38" s="2"/>
      <c r="L38" s="2"/>
      <c r="M38" s="3" t="s">
        <v>751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745</v>
      </c>
      <c r="E39" s="1">
        <v>0.05</v>
      </c>
      <c r="F39" s="7">
        <v>2</v>
      </c>
      <c r="G39">
        <v>10</v>
      </c>
      <c r="I39" s="1" t="str">
        <f>multipleBaseNNumber(E39,F39,G39)</f>
        <v>0.1</v>
      </c>
      <c r="M39" s="1" t="s">
        <v>734</v>
      </c>
      <c r="Q39" s="1" t="b">
        <f t="shared" si="0"/>
        <v>1</v>
      </c>
    </row>
    <row r="40" spans="1:17" x14ac:dyDescent="0.15">
      <c r="D40" t="s">
        <v>746</v>
      </c>
      <c r="E40" s="1">
        <v>0.5</v>
      </c>
      <c r="F40" s="7">
        <v>2</v>
      </c>
      <c r="G40">
        <v>10</v>
      </c>
      <c r="I40" s="1" t="str">
        <f>multipleBaseNNumber(E40,F40,G40)</f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742</v>
      </c>
      <c r="D41" s="2" t="s">
        <v>744</v>
      </c>
      <c r="E41" s="3">
        <v>0.01</v>
      </c>
      <c r="F41" s="24">
        <v>0.2</v>
      </c>
      <c r="G41" s="2">
        <v>10</v>
      </c>
      <c r="H41" s="2"/>
      <c r="I41" s="3" t="str">
        <f>multipleBaseNNumber(E41,F41,G41)</f>
        <v>0.002</v>
      </c>
      <c r="J41" s="2"/>
      <c r="K41" s="2"/>
      <c r="L41" s="2"/>
      <c r="M41" s="3" t="s">
        <v>752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745</v>
      </c>
      <c r="E42" s="1">
        <v>0.05</v>
      </c>
      <c r="F42" s="7">
        <v>0.2</v>
      </c>
      <c r="G42" s="7">
        <v>10</v>
      </c>
      <c r="H42" s="6"/>
      <c r="I42" s="1" t="str">
        <f>multipleBaseNNumber(E42,F42,G42)</f>
        <v>0.01</v>
      </c>
      <c r="J42" s="6"/>
      <c r="K42" s="6"/>
      <c r="L42" s="6"/>
      <c r="M42" s="1" t="s">
        <v>753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754</v>
      </c>
      <c r="D43" s="24" t="s">
        <v>755</v>
      </c>
      <c r="E43" s="3">
        <v>234</v>
      </c>
      <c r="F43" s="24">
        <v>0.1</v>
      </c>
      <c r="G43" s="2">
        <v>10</v>
      </c>
      <c r="H43" s="2"/>
      <c r="I43" s="3" t="str">
        <f>multipleBaseNNumber(E43,F43,G43)</f>
        <v>23.4</v>
      </c>
      <c r="J43" s="2"/>
      <c r="K43" s="2"/>
      <c r="L43" s="2"/>
      <c r="M43" s="3" t="s">
        <v>759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756</v>
      </c>
      <c r="E44" s="1">
        <v>234</v>
      </c>
      <c r="F44" s="7">
        <v>0.01</v>
      </c>
      <c r="G44">
        <v>10</v>
      </c>
      <c r="I44" s="1" t="str">
        <f>multipleBaseNNumber(E44,F44,G44)</f>
        <v>2.34</v>
      </c>
      <c r="M44" s="1" t="s">
        <v>760</v>
      </c>
      <c r="Q44" s="1" t="b">
        <f t="shared" si="0"/>
        <v>1</v>
      </c>
    </row>
    <row r="45" spans="1:17" x14ac:dyDescent="0.15">
      <c r="D45" s="7" t="s">
        <v>757</v>
      </c>
      <c r="E45" s="1">
        <v>234</v>
      </c>
      <c r="F45" s="7">
        <v>1E-3</v>
      </c>
      <c r="G45">
        <v>10</v>
      </c>
      <c r="I45" s="1" t="str">
        <f>multipleBaseNNumber(E45,F45,G45)</f>
        <v>0.234</v>
      </c>
      <c r="M45" s="1" t="s">
        <v>761</v>
      </c>
      <c r="Q45" s="1" t="b">
        <f t="shared" si="0"/>
        <v>1</v>
      </c>
    </row>
    <row r="46" spans="1:17" x14ac:dyDescent="0.15">
      <c r="D46" s="7" t="s">
        <v>758</v>
      </c>
      <c r="E46" s="1">
        <v>234</v>
      </c>
      <c r="F46" s="7">
        <v>1E-4</v>
      </c>
      <c r="G46">
        <v>10</v>
      </c>
      <c r="I46" s="1" t="str">
        <f>multipleBaseNNumber(E46,F46,G46)</f>
        <v>0.0234</v>
      </c>
      <c r="M46" s="1" t="s">
        <v>762</v>
      </c>
      <c r="Q46" s="1" t="b">
        <f t="shared" si="0"/>
        <v>1</v>
      </c>
    </row>
    <row r="47" spans="1:17" x14ac:dyDescent="0.15">
      <c r="B47" s="2" t="s">
        <v>763</v>
      </c>
      <c r="C47" s="2" t="s">
        <v>764</v>
      </c>
      <c r="D47" s="24"/>
      <c r="E47" s="3">
        <v>2</v>
      </c>
      <c r="F47" s="24">
        <v>3</v>
      </c>
      <c r="G47" s="2">
        <v>10</v>
      </c>
      <c r="H47" s="2"/>
      <c r="I47" s="3" t="str">
        <f>multipleBaseNNumber(E47,F47,G47)</f>
        <v>6</v>
      </c>
      <c r="J47" s="2"/>
      <c r="K47" s="2"/>
      <c r="L47" s="2"/>
      <c r="M47" s="3" t="s">
        <v>766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715</v>
      </c>
      <c r="D48" s="2"/>
      <c r="E48" s="3">
        <v>-2</v>
      </c>
      <c r="F48" s="24">
        <v>3</v>
      </c>
      <c r="G48" s="2">
        <v>10</v>
      </c>
      <c r="H48" s="2"/>
      <c r="I48" s="3" t="str">
        <f>multipleBaseNNumber(E48,F48,G48)</f>
        <v>-6</v>
      </c>
      <c r="J48" s="2"/>
      <c r="K48" s="2"/>
      <c r="L48" s="2"/>
      <c r="M48" s="3" t="s">
        <v>767</v>
      </c>
      <c r="N48" s="2"/>
      <c r="O48" s="2"/>
      <c r="P48" s="2"/>
      <c r="Q48" s="3" t="b">
        <f t="shared" si="0"/>
        <v>1</v>
      </c>
    </row>
    <row r="49" spans="1:17" x14ac:dyDescent="0.15">
      <c r="D49" t="s">
        <v>718</v>
      </c>
      <c r="E49" s="1">
        <v>-2</v>
      </c>
      <c r="F49" s="7">
        <v>0</v>
      </c>
      <c r="G49">
        <v>10</v>
      </c>
      <c r="I49" s="1" t="str">
        <f>multipleBaseNNumber(E49,F49,G49)</f>
        <v>0</v>
      </c>
      <c r="M49" s="1" t="s">
        <v>14</v>
      </c>
      <c r="Q49" s="1" t="b">
        <f t="shared" si="0"/>
        <v>1</v>
      </c>
    </row>
    <row r="50" spans="1:17" x14ac:dyDescent="0.15">
      <c r="D50" t="s">
        <v>718</v>
      </c>
      <c r="E50" s="9" t="s">
        <v>765</v>
      </c>
      <c r="F50" s="7">
        <v>2</v>
      </c>
      <c r="G50">
        <v>10</v>
      </c>
      <c r="I50" s="1" t="str">
        <f>multipleBaseNNumber(E50,F50,G50)</f>
        <v>0</v>
      </c>
      <c r="M50" s="1" t="s">
        <v>14</v>
      </c>
      <c r="Q50" s="1" t="b">
        <f t="shared" si="0"/>
        <v>1</v>
      </c>
    </row>
    <row r="51" spans="1:17" x14ac:dyDescent="0.15">
      <c r="C51" s="2" t="s">
        <v>721</v>
      </c>
      <c r="D51" s="2"/>
      <c r="E51" s="3">
        <v>2</v>
      </c>
      <c r="F51" s="24">
        <v>-3</v>
      </c>
      <c r="G51" s="2">
        <v>10</v>
      </c>
      <c r="H51" s="2"/>
      <c r="I51" s="3" t="str">
        <f>multipleBaseNNumber(E51,F51,G51)</f>
        <v>-6</v>
      </c>
      <c r="J51" s="2"/>
      <c r="K51" s="2"/>
      <c r="L51" s="2"/>
      <c r="M51" s="3" t="s">
        <v>767</v>
      </c>
      <c r="N51" s="2"/>
      <c r="O51" s="2"/>
      <c r="P51" s="2"/>
      <c r="Q51" s="3" t="b">
        <f t="shared" si="0"/>
        <v>1</v>
      </c>
    </row>
    <row r="52" spans="1:17" x14ac:dyDescent="0.15">
      <c r="D52" t="s">
        <v>718</v>
      </c>
      <c r="E52" s="1">
        <v>2</v>
      </c>
      <c r="F52" s="7">
        <v>0</v>
      </c>
      <c r="G52">
        <v>10</v>
      </c>
      <c r="I52" s="1" t="str">
        <f>multipleBaseNNumber(E52,F52,G52)</f>
        <v>0</v>
      </c>
      <c r="M52" s="1" t="s">
        <v>14</v>
      </c>
      <c r="Q52" s="1" t="b">
        <f t="shared" si="0"/>
        <v>1</v>
      </c>
    </row>
    <row r="53" spans="1:17" x14ac:dyDescent="0.15">
      <c r="D53" t="s">
        <v>718</v>
      </c>
      <c r="E53" s="1">
        <v>0</v>
      </c>
      <c r="F53" s="7">
        <v>-2</v>
      </c>
      <c r="G53">
        <v>10</v>
      </c>
      <c r="I53" s="1" t="str">
        <f>multipleBaseNNumber(E53,F53,G53)</f>
        <v>0</v>
      </c>
      <c r="M53" s="1" t="s">
        <v>14</v>
      </c>
      <c r="Q53" s="1" t="b">
        <f t="shared" si="0"/>
        <v>1</v>
      </c>
    </row>
    <row r="54" spans="1:17" x14ac:dyDescent="0.15">
      <c r="C54" s="2" t="s">
        <v>768</v>
      </c>
      <c r="D54" s="2"/>
      <c r="E54" s="3">
        <v>-2</v>
      </c>
      <c r="F54" s="24">
        <v>-3</v>
      </c>
      <c r="G54" s="2">
        <v>10</v>
      </c>
      <c r="H54" s="2"/>
      <c r="I54" s="3" t="str">
        <f>multipleBaseNNumber(E54,F54,G54)</f>
        <v>6</v>
      </c>
      <c r="J54" s="2"/>
      <c r="K54" s="2"/>
      <c r="L54" s="2"/>
      <c r="M54" s="3" t="s">
        <v>766</v>
      </c>
      <c r="N54" s="2"/>
      <c r="O54" s="2"/>
      <c r="P54" s="2"/>
      <c r="Q54" s="3" t="b">
        <f t="shared" si="0"/>
        <v>1</v>
      </c>
    </row>
    <row r="55" spans="1:17" x14ac:dyDescent="0.15">
      <c r="B55" s="2" t="s">
        <v>750</v>
      </c>
      <c r="C55" s="2"/>
      <c r="D55" s="2" t="s">
        <v>738</v>
      </c>
      <c r="E55" s="3">
        <v>10</v>
      </c>
      <c r="F55" s="24">
        <v>10</v>
      </c>
      <c r="G55" s="2">
        <v>2</v>
      </c>
      <c r="H55" s="2"/>
      <c r="I55" s="3" t="str">
        <f>multipleBaseNNumber(E55,F55,G55)</f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17" x14ac:dyDescent="0.15">
      <c r="D56" t="s">
        <v>739</v>
      </c>
      <c r="E56" s="1">
        <v>9</v>
      </c>
      <c r="F56" s="7">
        <v>9</v>
      </c>
      <c r="G56">
        <v>10</v>
      </c>
      <c r="I56" s="1" t="str">
        <f>multipleBaseNNumber(E56,F56,G56)</f>
        <v>81</v>
      </c>
      <c r="M56" s="1" t="s">
        <v>344</v>
      </c>
      <c r="Q56" s="1" t="b">
        <f t="shared" si="0"/>
        <v>1</v>
      </c>
    </row>
    <row r="57" spans="1:17" x14ac:dyDescent="0.15">
      <c r="D57" t="s">
        <v>740</v>
      </c>
      <c r="E57" s="8" t="s">
        <v>769</v>
      </c>
      <c r="F57" s="37" t="s">
        <v>769</v>
      </c>
      <c r="G57">
        <v>16</v>
      </c>
      <c r="I57" s="1" t="str">
        <f>multipleBaseNNumber(E57,F57,G57)</f>
        <v>E1</v>
      </c>
      <c r="M57" s="1" t="s">
        <v>343</v>
      </c>
      <c r="Q57" s="1" t="b">
        <f t="shared" si="0"/>
        <v>1</v>
      </c>
    </row>
    <row r="58" spans="1:17" x14ac:dyDescent="0.15">
      <c r="D58" t="s">
        <v>747</v>
      </c>
      <c r="E58" s="1">
        <v>9</v>
      </c>
      <c r="F58" s="7">
        <v>9</v>
      </c>
      <c r="I58" s="1" t="str">
        <f>multipleBaseNNumber(E58,F58)</f>
        <v>81</v>
      </c>
      <c r="M58" s="1" t="s">
        <v>344</v>
      </c>
      <c r="Q58" s="1" t="b">
        <f t="shared" si="0"/>
        <v>1</v>
      </c>
    </row>
    <row r="59" spans="1:17" x14ac:dyDescent="0.15">
      <c r="D59" t="s">
        <v>748</v>
      </c>
      <c r="E59" s="1">
        <v>9</v>
      </c>
      <c r="F59" s="37" t="s">
        <v>749</v>
      </c>
      <c r="I59" s="1" t="e">
        <f>multipleBaseNNumber(E59,F59)</f>
        <v>#NUM!</v>
      </c>
      <c r="M59" s="1" t="e">
        <v>#NUM!</v>
      </c>
      <c r="Q59" s="1" t="b">
        <f t="shared" si="0"/>
        <v>1</v>
      </c>
    </row>
    <row r="60" spans="1:17" x14ac:dyDescent="0.15">
      <c r="A60" s="2" t="s">
        <v>932</v>
      </c>
      <c r="B60" s="2" t="s">
        <v>927</v>
      </c>
      <c r="C60" s="2" t="s">
        <v>778</v>
      </c>
      <c r="D60" s="2" t="s">
        <v>576</v>
      </c>
      <c r="E60" s="3"/>
      <c r="F60" s="38">
        <v>2</v>
      </c>
      <c r="G60" s="2">
        <v>10</v>
      </c>
      <c r="H60" s="2"/>
      <c r="I60" s="3" t="e">
        <f>divideBaseNNumber(E60,F60,G60)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0"/>
        <v>1</v>
      </c>
    </row>
    <row r="61" spans="1:17" x14ac:dyDescent="0.15">
      <c r="D61" t="s">
        <v>638</v>
      </c>
      <c r="E61" s="1">
        <v>4</v>
      </c>
      <c r="F61" s="37">
        <v>2</v>
      </c>
      <c r="G61">
        <v>1</v>
      </c>
      <c r="I61" s="1" t="e">
        <f>divideBaseNNumber(E61,F61,G61)</f>
        <v>#NUM!</v>
      </c>
      <c r="M61" s="1" t="e">
        <v>#NUM!</v>
      </c>
      <c r="Q61" s="1" t="b">
        <f t="shared" si="0"/>
        <v>1</v>
      </c>
    </row>
    <row r="62" spans="1:17" x14ac:dyDescent="0.15">
      <c r="C62" s="2" t="s">
        <v>779</v>
      </c>
      <c r="D62" s="2" t="s">
        <v>576</v>
      </c>
      <c r="E62" s="3">
        <v>4</v>
      </c>
      <c r="F62" s="38"/>
      <c r="G62" s="2">
        <v>10</v>
      </c>
      <c r="H62" s="2"/>
      <c r="I62" s="3" t="e">
        <f>divideBaseNNumber(E62,F62,G62)</f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0"/>
        <v>1</v>
      </c>
    </row>
    <row r="63" spans="1:17" x14ac:dyDescent="0.15">
      <c r="D63" t="s">
        <v>638</v>
      </c>
      <c r="E63" s="1">
        <v>4</v>
      </c>
      <c r="F63" s="37">
        <v>2</v>
      </c>
      <c r="G63">
        <v>1</v>
      </c>
      <c r="I63" s="1" t="e">
        <f>divideBaseNNumber(E63,F63,G63)</f>
        <v>#NUM!</v>
      </c>
      <c r="M63" s="1" t="e">
        <v>#NUM!</v>
      </c>
      <c r="Q63" s="1" t="b">
        <f t="shared" si="0"/>
        <v>1</v>
      </c>
    </row>
    <row r="64" spans="1:17" x14ac:dyDescent="0.15">
      <c r="B64" s="2" t="s">
        <v>770</v>
      </c>
      <c r="C64" s="2" t="s">
        <v>778</v>
      </c>
      <c r="D64" s="2" t="s">
        <v>777</v>
      </c>
      <c r="E64" s="39">
        <v>2147483648</v>
      </c>
      <c r="F64" s="38">
        <v>2147483647</v>
      </c>
      <c r="G64" s="2">
        <v>10</v>
      </c>
      <c r="H64" s="2"/>
      <c r="I64" s="3" t="e">
        <f>divideBaseNNumber(E64,F64,G64)</f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0"/>
        <v>1</v>
      </c>
    </row>
    <row r="65" spans="2:17" x14ac:dyDescent="0.15">
      <c r="D65" s="23" t="s">
        <v>794</v>
      </c>
      <c r="E65" s="1">
        <v>0</v>
      </c>
      <c r="F65" s="37">
        <v>2147483647</v>
      </c>
      <c r="G65">
        <v>10</v>
      </c>
      <c r="I65" s="1" t="str">
        <f>divideBaseNNumber(E65,F65,G65)</f>
        <v>0</v>
      </c>
      <c r="M65" s="1" t="s">
        <v>14</v>
      </c>
      <c r="Q65" s="1" t="b">
        <f t="shared" si="0"/>
        <v>1</v>
      </c>
    </row>
    <row r="66" spans="2:17" x14ac:dyDescent="0.15">
      <c r="C66" s="2" t="s">
        <v>779</v>
      </c>
      <c r="D66" s="2" t="s">
        <v>777</v>
      </c>
      <c r="E66" s="3">
        <v>2147483647</v>
      </c>
      <c r="F66" s="38">
        <v>2147483648</v>
      </c>
      <c r="G66" s="2">
        <v>10</v>
      </c>
      <c r="H66" s="2"/>
      <c r="I66" s="3" t="e">
        <f>divideBaseNNumber(E66,F66,G66)</f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0"/>
        <v>1</v>
      </c>
    </row>
    <row r="67" spans="2:17" x14ac:dyDescent="0.15">
      <c r="D67" s="23" t="s">
        <v>794</v>
      </c>
      <c r="E67" s="1">
        <v>2147483647</v>
      </c>
      <c r="F67" s="37">
        <v>0</v>
      </c>
      <c r="G67">
        <v>10</v>
      </c>
      <c r="I67" s="1" t="e">
        <f>divideBaseNNumber(E67,F67,G67)</f>
        <v>#DIV/0!</v>
      </c>
      <c r="M67" s="1" t="e">
        <v>#DIV/0!</v>
      </c>
      <c r="Q67" s="1" t="b">
        <f t="shared" si="0"/>
        <v>1</v>
      </c>
    </row>
    <row r="68" spans="2:17" x14ac:dyDescent="0.15">
      <c r="C68" s="2" t="s">
        <v>771</v>
      </c>
      <c r="D68" s="2" t="s">
        <v>776</v>
      </c>
      <c r="E68" s="3">
        <v>22</v>
      </c>
      <c r="F68" s="38">
        <v>2</v>
      </c>
      <c r="G68" s="2">
        <v>10</v>
      </c>
      <c r="H68" s="2"/>
      <c r="I68" s="3" t="str">
        <f>divideBaseNNumber(E68,F68,G68)</f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1">getText(I68)=getText(M68)</f>
        <v>1</v>
      </c>
    </row>
    <row r="69" spans="2:17" x14ac:dyDescent="0.15">
      <c r="D69" t="s">
        <v>772</v>
      </c>
      <c r="E69" s="1">
        <v>10</v>
      </c>
      <c r="F69" s="37">
        <v>2</v>
      </c>
      <c r="G69">
        <v>10</v>
      </c>
      <c r="I69" s="1" t="str">
        <f>divideBaseNNumber(E69,F69,G69)</f>
        <v>5</v>
      </c>
      <c r="M69" s="1" t="s">
        <v>82</v>
      </c>
      <c r="Q69" s="1" t="b">
        <f t="shared" si="1"/>
        <v>1</v>
      </c>
    </row>
    <row r="70" spans="2:17" x14ac:dyDescent="0.15">
      <c r="D70" t="s">
        <v>773</v>
      </c>
      <c r="E70" s="1">
        <v>1</v>
      </c>
      <c r="F70" s="37">
        <v>2</v>
      </c>
      <c r="G70">
        <v>10</v>
      </c>
      <c r="I70" s="1" t="str">
        <f>divideBaseNNumber(E70,F70,G70)</f>
        <v>0.5</v>
      </c>
      <c r="M70" s="1" t="s">
        <v>780</v>
      </c>
      <c r="Q70" s="1" t="b">
        <f t="shared" si="1"/>
        <v>1</v>
      </c>
    </row>
    <row r="71" spans="2:17" x14ac:dyDescent="0.15">
      <c r="D71" t="s">
        <v>774</v>
      </c>
      <c r="E71" s="1">
        <v>1</v>
      </c>
      <c r="F71" s="37">
        <v>20</v>
      </c>
      <c r="G71">
        <v>10</v>
      </c>
      <c r="I71" s="1" t="str">
        <f>divideBaseNNumber(E71,F71,G71)</f>
        <v>0.05</v>
      </c>
      <c r="M71" s="1" t="s">
        <v>781</v>
      </c>
      <c r="Q71" s="1" t="b">
        <f t="shared" si="1"/>
        <v>1</v>
      </c>
    </row>
    <row r="72" spans="2:17" x14ac:dyDescent="0.15">
      <c r="D72" t="s">
        <v>775</v>
      </c>
      <c r="E72" s="1">
        <v>1</v>
      </c>
      <c r="F72" s="37">
        <v>200</v>
      </c>
      <c r="G72">
        <v>10</v>
      </c>
      <c r="I72" s="1" t="str">
        <f>divideBaseNNumber(E72,F72,G72)</f>
        <v>0.005</v>
      </c>
      <c r="M72" s="1" t="s">
        <v>782</v>
      </c>
      <c r="Q72" s="1" t="b">
        <f t="shared" si="1"/>
        <v>1</v>
      </c>
    </row>
    <row r="73" spans="2:17" x14ac:dyDescent="0.15">
      <c r="C73" s="2" t="s">
        <v>783</v>
      </c>
      <c r="D73" s="2" t="s">
        <v>787</v>
      </c>
      <c r="E73" s="3">
        <v>20</v>
      </c>
      <c r="F73" s="38">
        <v>0.2</v>
      </c>
      <c r="G73" s="2">
        <v>10</v>
      </c>
      <c r="H73" s="2"/>
      <c r="I73" s="3" t="str">
        <f>divideBaseNNumber(E73,F73,G73)</f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1"/>
        <v>1</v>
      </c>
    </row>
    <row r="74" spans="2:17" x14ac:dyDescent="0.15">
      <c r="D74" t="s">
        <v>788</v>
      </c>
      <c r="E74" s="1">
        <v>20</v>
      </c>
      <c r="F74" s="37">
        <v>0.02</v>
      </c>
      <c r="G74">
        <v>10</v>
      </c>
      <c r="I74" s="1" t="str">
        <f>divideBaseNNumber(E74,F74,G74)</f>
        <v>1000</v>
      </c>
      <c r="M74" s="1" t="s">
        <v>34</v>
      </c>
      <c r="Q74" s="1" t="b">
        <f t="shared" si="1"/>
        <v>1</v>
      </c>
    </row>
    <row r="75" spans="2:17" x14ac:dyDescent="0.15">
      <c r="D75" t="s">
        <v>789</v>
      </c>
      <c r="E75" s="1">
        <v>20</v>
      </c>
      <c r="F75" s="37">
        <v>2E-3</v>
      </c>
      <c r="G75">
        <v>10</v>
      </c>
      <c r="I75" s="1" t="str">
        <f>divideBaseNNumber(E75,F75,G75)</f>
        <v>10000</v>
      </c>
      <c r="M75" s="1" t="s">
        <v>792</v>
      </c>
      <c r="Q75" s="1" t="b">
        <f t="shared" si="1"/>
        <v>1</v>
      </c>
    </row>
    <row r="76" spans="2:17" x14ac:dyDescent="0.15">
      <c r="C76" s="2" t="s">
        <v>742</v>
      </c>
      <c r="D76" s="2" t="s">
        <v>772</v>
      </c>
      <c r="E76" s="3">
        <v>2.4E-2</v>
      </c>
      <c r="F76" s="38">
        <v>0.12</v>
      </c>
      <c r="G76" s="2">
        <v>10</v>
      </c>
      <c r="H76" s="2"/>
      <c r="I76" s="3" t="str">
        <f>divideBaseNNumber(E76,F76,G76)</f>
        <v>0.2</v>
      </c>
      <c r="J76" s="2"/>
      <c r="K76" s="2"/>
      <c r="L76" s="2"/>
      <c r="M76" s="3" t="s">
        <v>751</v>
      </c>
      <c r="N76" s="2"/>
      <c r="O76" s="2"/>
      <c r="P76" s="2"/>
      <c r="Q76" s="3" t="b">
        <f t="shared" ref="Q76:Q139" si="2">getText(I76)=getText(M76)</f>
        <v>1</v>
      </c>
    </row>
    <row r="77" spans="2:17" x14ac:dyDescent="0.15">
      <c r="D77" t="s">
        <v>784</v>
      </c>
      <c r="E77" s="1">
        <v>2.4E-2</v>
      </c>
      <c r="F77" s="37">
        <v>1.2E-2</v>
      </c>
      <c r="G77">
        <v>10</v>
      </c>
      <c r="I77" s="1" t="str">
        <f>divideBaseNNumber(E77,F77,G77)</f>
        <v>2</v>
      </c>
      <c r="M77" s="1" t="s">
        <v>306</v>
      </c>
      <c r="Q77" s="1" t="b">
        <f t="shared" si="2"/>
        <v>1</v>
      </c>
    </row>
    <row r="78" spans="2:17" x14ac:dyDescent="0.15">
      <c r="D78" t="s">
        <v>785</v>
      </c>
      <c r="E78" s="1">
        <v>2.4E-2</v>
      </c>
      <c r="F78" s="37">
        <v>1.1999999999999999E-3</v>
      </c>
      <c r="G78">
        <v>10</v>
      </c>
      <c r="I78" s="1" t="str">
        <f>divideBaseNNumber(E78,F78,G78)</f>
        <v>20</v>
      </c>
      <c r="M78" s="1" t="s">
        <v>790</v>
      </c>
      <c r="Q78" s="1" t="b">
        <f t="shared" si="2"/>
        <v>1</v>
      </c>
    </row>
    <row r="79" spans="2:17" x14ac:dyDescent="0.15">
      <c r="D79" t="s">
        <v>786</v>
      </c>
      <c r="E79" s="1">
        <v>2.4E-2</v>
      </c>
      <c r="F79" s="37">
        <v>1.2E-4</v>
      </c>
      <c r="G79">
        <v>10</v>
      </c>
      <c r="I79" s="1" t="str">
        <f>divideBaseNNumber(E79,F79,G79)</f>
        <v>200</v>
      </c>
      <c r="M79" s="1" t="s">
        <v>791</v>
      </c>
      <c r="Q79" s="1" t="b">
        <f t="shared" si="2"/>
        <v>1</v>
      </c>
    </row>
    <row r="80" spans="2:17" x14ac:dyDescent="0.15">
      <c r="B80" s="2" t="s">
        <v>629</v>
      </c>
      <c r="C80" s="2" t="s">
        <v>722</v>
      </c>
      <c r="D80" s="24"/>
      <c r="E80" s="3">
        <v>24</v>
      </c>
      <c r="F80" s="38">
        <v>2</v>
      </c>
      <c r="G80" s="2">
        <v>10</v>
      </c>
      <c r="H80" s="2"/>
      <c r="I80" s="3" t="str">
        <f>divideBaseNNumber(E80,F80,G80)</f>
        <v>12</v>
      </c>
      <c r="J80" s="2"/>
      <c r="K80" s="2"/>
      <c r="L80" s="2"/>
      <c r="M80" s="3" t="s">
        <v>662</v>
      </c>
      <c r="N80" s="2"/>
      <c r="O80" s="2"/>
      <c r="P80" s="2"/>
      <c r="Q80" s="3" t="b">
        <f t="shared" si="2"/>
        <v>1</v>
      </c>
    </row>
    <row r="81" spans="2:17" x14ac:dyDescent="0.15">
      <c r="C81" s="2" t="s">
        <v>715</v>
      </c>
      <c r="D81" s="2"/>
      <c r="E81" s="3">
        <v>-24</v>
      </c>
      <c r="F81" s="38">
        <v>2</v>
      </c>
      <c r="G81" s="2">
        <v>10</v>
      </c>
      <c r="H81" s="2"/>
      <c r="I81" s="3" t="str">
        <f>divideBaseNNumber(E81,F81,G81)</f>
        <v>-12</v>
      </c>
      <c r="J81" s="2"/>
      <c r="K81" s="2"/>
      <c r="L81" s="2"/>
      <c r="M81" s="3" t="s">
        <v>793</v>
      </c>
      <c r="N81" s="2"/>
      <c r="O81" s="2"/>
      <c r="P81" s="2"/>
      <c r="Q81" s="3" t="b">
        <f t="shared" si="2"/>
        <v>1</v>
      </c>
    </row>
    <row r="82" spans="2:17" x14ac:dyDescent="0.15">
      <c r="D82" t="s">
        <v>718</v>
      </c>
      <c r="E82" s="1">
        <v>0</v>
      </c>
      <c r="F82" s="37">
        <v>2</v>
      </c>
      <c r="G82">
        <v>10</v>
      </c>
      <c r="I82" s="1" t="str">
        <f>divideBaseNNumber(E82,F82,G82)</f>
        <v>0</v>
      </c>
      <c r="M82" s="1" t="s">
        <v>14</v>
      </c>
      <c r="Q82" s="1" t="b">
        <f t="shared" si="2"/>
        <v>1</v>
      </c>
    </row>
    <row r="83" spans="2:17" x14ac:dyDescent="0.15">
      <c r="C83" s="2" t="s">
        <v>721</v>
      </c>
      <c r="D83" s="2"/>
      <c r="E83" s="3">
        <v>24</v>
      </c>
      <c r="F83" s="38">
        <v>-2</v>
      </c>
      <c r="G83" s="2">
        <v>10</v>
      </c>
      <c r="H83" s="2"/>
      <c r="I83" s="3" t="str">
        <f>divideBaseNNumber(E83,F83,G83)</f>
        <v>-12</v>
      </c>
      <c r="J83" s="2"/>
      <c r="K83" s="2"/>
      <c r="L83" s="2"/>
      <c r="M83" s="3" t="s">
        <v>793</v>
      </c>
      <c r="N83" s="2"/>
      <c r="O83" s="2"/>
      <c r="P83" s="2"/>
      <c r="Q83" s="3" t="b">
        <f t="shared" si="2"/>
        <v>1</v>
      </c>
    </row>
    <row r="84" spans="2:17" x14ac:dyDescent="0.15">
      <c r="D84" t="s">
        <v>718</v>
      </c>
      <c r="E84" s="1">
        <v>0</v>
      </c>
      <c r="F84" s="37">
        <v>-2</v>
      </c>
      <c r="G84">
        <v>10</v>
      </c>
      <c r="I84" s="1" t="str">
        <f>divideBaseNNumber(E84,F84,G84)</f>
        <v>0</v>
      </c>
      <c r="M84" s="1" t="s">
        <v>14</v>
      </c>
      <c r="Q84" s="1" t="b">
        <f t="shared" si="2"/>
        <v>1</v>
      </c>
    </row>
    <row r="85" spans="2:17" x14ac:dyDescent="0.15">
      <c r="C85" s="2" t="s">
        <v>768</v>
      </c>
      <c r="D85" s="2"/>
      <c r="E85" s="3">
        <v>-24</v>
      </c>
      <c r="F85" s="38">
        <v>-2</v>
      </c>
      <c r="G85" s="2">
        <v>10</v>
      </c>
      <c r="H85" s="2"/>
      <c r="I85" s="3" t="str">
        <f>divideBaseNNumber(E85,F85,G85)</f>
        <v>12</v>
      </c>
      <c r="J85" s="2"/>
      <c r="K85" s="2"/>
      <c r="L85" s="2"/>
      <c r="M85" s="3" t="s">
        <v>662</v>
      </c>
      <c r="N85" s="2"/>
      <c r="O85" s="2"/>
      <c r="P85" s="2"/>
      <c r="Q85" s="3" t="b">
        <f t="shared" si="2"/>
        <v>1</v>
      </c>
    </row>
    <row r="86" spans="2:17" x14ac:dyDescent="0.15">
      <c r="B86" s="2" t="s">
        <v>750</v>
      </c>
      <c r="C86" s="2"/>
      <c r="D86" s="2" t="s">
        <v>738</v>
      </c>
      <c r="E86" s="3">
        <v>100</v>
      </c>
      <c r="F86" s="38">
        <v>10</v>
      </c>
      <c r="G86" s="2">
        <v>2</v>
      </c>
      <c r="H86" s="2"/>
      <c r="I86" s="3" t="str">
        <f>divideBaseNNumber(E86,F86,G86)</f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2"/>
        <v>1</v>
      </c>
    </row>
    <row r="87" spans="2:17" x14ac:dyDescent="0.15">
      <c r="D87" t="s">
        <v>739</v>
      </c>
      <c r="E87" s="1">
        <v>990</v>
      </c>
      <c r="F87" s="37">
        <v>99</v>
      </c>
      <c r="G87" s="7">
        <v>10</v>
      </c>
      <c r="I87" s="1" t="str">
        <f>divideBaseNNumber(E87,F87,G87)</f>
        <v>10</v>
      </c>
      <c r="M87" s="1" t="s">
        <v>15</v>
      </c>
      <c r="Q87" s="1" t="b">
        <f t="shared" si="2"/>
        <v>1</v>
      </c>
    </row>
    <row r="88" spans="2:17" x14ac:dyDescent="0.15">
      <c r="D88" t="s">
        <v>740</v>
      </c>
      <c r="E88" s="8" t="s">
        <v>159</v>
      </c>
      <c r="F88" s="37" t="s">
        <v>26</v>
      </c>
      <c r="G88" s="7">
        <v>16</v>
      </c>
      <c r="I88" s="1" t="str">
        <f>divideBaseNNumber(E88,F88,G88)</f>
        <v>10</v>
      </c>
      <c r="M88" s="1" t="s">
        <v>15</v>
      </c>
      <c r="Q88" s="1" t="b">
        <f t="shared" si="2"/>
        <v>1</v>
      </c>
    </row>
    <row r="89" spans="2:17" x14ac:dyDescent="0.15">
      <c r="D89" t="s">
        <v>747</v>
      </c>
      <c r="E89" s="1">
        <v>2</v>
      </c>
      <c r="F89" s="37">
        <v>4</v>
      </c>
      <c r="I89" s="1" t="str">
        <f>divideBaseNNumber(E89,F89)</f>
        <v>0.5</v>
      </c>
      <c r="M89" s="1" t="s">
        <v>780</v>
      </c>
      <c r="Q89" s="1" t="b">
        <f t="shared" si="2"/>
        <v>1</v>
      </c>
    </row>
    <row r="90" spans="2:17" x14ac:dyDescent="0.15">
      <c r="D90" t="s">
        <v>748</v>
      </c>
      <c r="E90" s="8" t="s">
        <v>582</v>
      </c>
      <c r="F90" s="37">
        <v>5</v>
      </c>
      <c r="I90" s="1" t="e">
        <f>divideBaseNNumber(E90,F90)</f>
        <v>#NUM!</v>
      </c>
      <c r="M90" s="1" t="e">
        <v>#NUM!</v>
      </c>
      <c r="Q90" s="1" t="b">
        <f t="shared" si="2"/>
        <v>1</v>
      </c>
    </row>
    <row r="91" spans="2:17" x14ac:dyDescent="0.15">
      <c r="B91" s="2" t="s">
        <v>795</v>
      </c>
      <c r="C91" s="2" t="s">
        <v>796</v>
      </c>
      <c r="D91" s="2" t="s">
        <v>209</v>
      </c>
      <c r="E91" s="3">
        <v>1</v>
      </c>
      <c r="F91" s="38">
        <v>3</v>
      </c>
      <c r="G91" s="2">
        <v>10</v>
      </c>
      <c r="H91" s="2">
        <v>-1</v>
      </c>
      <c r="I91" s="3" t="e">
        <f>divideBaseNNumber(E91,F91,G91,H91)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3">getText(I91)=getText(M91)</f>
        <v>1</v>
      </c>
    </row>
    <row r="92" spans="2:17" x14ac:dyDescent="0.15">
      <c r="B92" s="6"/>
      <c r="C92" s="6"/>
      <c r="D92" s="6" t="s">
        <v>76</v>
      </c>
      <c r="E92" s="1">
        <v>1</v>
      </c>
      <c r="F92" s="37">
        <v>3</v>
      </c>
      <c r="G92" s="6">
        <v>10</v>
      </c>
      <c r="H92" s="6">
        <v>0</v>
      </c>
      <c r="I92" s="1" t="str">
        <f>divideBaseNNumber(E92,F92,G92,H92)</f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2"/>
        <v>1</v>
      </c>
    </row>
    <row r="93" spans="2:17" x14ac:dyDescent="0.15">
      <c r="D93" t="s">
        <v>797</v>
      </c>
      <c r="E93" s="1">
        <v>1</v>
      </c>
      <c r="F93" s="37">
        <v>3</v>
      </c>
      <c r="G93">
        <v>10</v>
      </c>
      <c r="H93">
        <v>1</v>
      </c>
      <c r="I93" s="1" t="str">
        <f>divideBaseNNumber(E93,F93,G93,H93)</f>
        <v>0.3</v>
      </c>
      <c r="M93" s="1" t="s">
        <v>801</v>
      </c>
      <c r="Q93" s="1" t="b">
        <f t="shared" si="2"/>
        <v>1</v>
      </c>
    </row>
    <row r="94" spans="2:17" x14ac:dyDescent="0.15">
      <c r="D94" t="s">
        <v>798</v>
      </c>
      <c r="E94" s="1">
        <v>1</v>
      </c>
      <c r="F94" s="37">
        <v>3</v>
      </c>
      <c r="G94">
        <v>10</v>
      </c>
      <c r="H94">
        <v>2</v>
      </c>
      <c r="I94" s="1" t="str">
        <f>divideBaseNNumber(E94,F94,G94,H94)</f>
        <v>0.33</v>
      </c>
      <c r="M94" s="1" t="s">
        <v>802</v>
      </c>
      <c r="Q94" s="1" t="b">
        <f t="shared" si="2"/>
        <v>1</v>
      </c>
    </row>
    <row r="95" spans="2:17" x14ac:dyDescent="0.15">
      <c r="D95" t="s">
        <v>803</v>
      </c>
      <c r="E95" s="1">
        <v>1</v>
      </c>
      <c r="F95" s="37">
        <v>3</v>
      </c>
      <c r="G95">
        <v>10</v>
      </c>
      <c r="H95">
        <v>255</v>
      </c>
      <c r="I95" s="1" t="str">
        <f>divideBaseNNumber(E95,F95,G95,H95)</f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804</v>
      </c>
      <c r="Q95" s="1" t="b">
        <f t="shared" si="2"/>
        <v>1</v>
      </c>
    </row>
    <row r="96" spans="2:17" x14ac:dyDescent="0.15">
      <c r="C96" s="2" t="s">
        <v>799</v>
      </c>
      <c r="D96" s="2" t="s">
        <v>209</v>
      </c>
      <c r="E96" s="3">
        <v>1</v>
      </c>
      <c r="F96" s="38">
        <v>0.3</v>
      </c>
      <c r="G96" s="2">
        <v>10</v>
      </c>
      <c r="H96" s="2">
        <v>-1</v>
      </c>
      <c r="I96" s="3" t="e">
        <f>divideBaseNNumber(E96,F96,G96,H96)</f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2"/>
        <v>1</v>
      </c>
    </row>
    <row r="97" spans="1:17" x14ac:dyDescent="0.15">
      <c r="D97" t="s">
        <v>76</v>
      </c>
      <c r="E97" s="1">
        <v>1</v>
      </c>
      <c r="F97" s="37">
        <v>0.3</v>
      </c>
      <c r="G97">
        <v>10</v>
      </c>
      <c r="H97" s="6">
        <v>0</v>
      </c>
      <c r="I97" s="1" t="str">
        <f>divideBaseNNumber(E97,F97,G97,H97)</f>
        <v>3</v>
      </c>
      <c r="M97" s="1" t="s">
        <v>80</v>
      </c>
      <c r="Q97" s="1" t="b">
        <f t="shared" si="2"/>
        <v>1</v>
      </c>
    </row>
    <row r="98" spans="1:17" x14ac:dyDescent="0.15">
      <c r="D98" t="s">
        <v>797</v>
      </c>
      <c r="E98" s="1">
        <v>1</v>
      </c>
      <c r="F98" s="37">
        <v>0.3</v>
      </c>
      <c r="G98">
        <v>10</v>
      </c>
      <c r="H98">
        <v>1</v>
      </c>
      <c r="I98" s="1" t="str">
        <f>divideBaseNNumber(E98,F98,G98,H98)</f>
        <v>3.3</v>
      </c>
      <c r="M98" s="1" t="s">
        <v>805</v>
      </c>
      <c r="Q98" s="1" t="b">
        <f t="shared" si="2"/>
        <v>1</v>
      </c>
    </row>
    <row r="99" spans="1:17" x14ac:dyDescent="0.15">
      <c r="D99" t="s">
        <v>798</v>
      </c>
      <c r="E99" s="1">
        <v>1</v>
      </c>
      <c r="F99" s="37">
        <v>0.3</v>
      </c>
      <c r="G99">
        <v>10</v>
      </c>
      <c r="H99">
        <v>2</v>
      </c>
      <c r="I99" s="1" t="str">
        <f>divideBaseNNumber(E99,F99,G99,H99)</f>
        <v>3.33</v>
      </c>
      <c r="M99" s="1" t="s">
        <v>806</v>
      </c>
      <c r="Q99" s="1" t="b">
        <f t="shared" si="2"/>
        <v>1</v>
      </c>
    </row>
    <row r="100" spans="1:17" x14ac:dyDescent="0.15">
      <c r="D100" t="s">
        <v>803</v>
      </c>
      <c r="E100" s="1">
        <v>1</v>
      </c>
      <c r="F100" s="37">
        <v>0.3</v>
      </c>
      <c r="G100">
        <v>10</v>
      </c>
      <c r="H100">
        <v>255</v>
      </c>
      <c r="I100" s="1" t="str">
        <f>divideBaseNNumber(E100,F100,G100,H100)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807</v>
      </c>
      <c r="Q100" s="1" t="b">
        <f t="shared" si="2"/>
        <v>1</v>
      </c>
    </row>
    <row r="101" spans="1:17" x14ac:dyDescent="0.15">
      <c r="C101" s="2" t="s">
        <v>800</v>
      </c>
      <c r="D101" s="2" t="s">
        <v>209</v>
      </c>
      <c r="E101" s="3">
        <v>1</v>
      </c>
      <c r="F101" s="38">
        <v>0.33</v>
      </c>
      <c r="G101" s="2">
        <v>10</v>
      </c>
      <c r="H101" s="2">
        <v>-1</v>
      </c>
      <c r="I101" s="3" t="e">
        <f>divideBaseNNumber(E101,F101,G101,H101)</f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2"/>
        <v>1</v>
      </c>
    </row>
    <row r="102" spans="1:17" x14ac:dyDescent="0.15">
      <c r="C102" s="6"/>
      <c r="D102" t="s">
        <v>76</v>
      </c>
      <c r="E102" s="1">
        <v>1</v>
      </c>
      <c r="F102" s="37">
        <v>0.33</v>
      </c>
      <c r="G102" s="6">
        <v>10</v>
      </c>
      <c r="H102" s="6">
        <v>0</v>
      </c>
      <c r="I102" s="1" t="str">
        <f>divideBaseNNumber(E102,F102,G102,H102)</f>
        <v>3</v>
      </c>
      <c r="J102" s="6"/>
      <c r="K102" s="6"/>
      <c r="L102" s="6"/>
      <c r="M102" s="1" t="s">
        <v>80</v>
      </c>
      <c r="N102" s="6"/>
      <c r="O102" s="6"/>
      <c r="P102" s="6"/>
      <c r="Q102" s="1" t="b">
        <f t="shared" si="2"/>
        <v>1</v>
      </c>
    </row>
    <row r="103" spans="1:17" x14ac:dyDescent="0.15">
      <c r="D103" t="s">
        <v>797</v>
      </c>
      <c r="E103" s="1">
        <v>1</v>
      </c>
      <c r="F103" s="37">
        <v>0.33</v>
      </c>
      <c r="G103">
        <v>10</v>
      </c>
      <c r="H103">
        <v>1</v>
      </c>
      <c r="I103" s="1" t="str">
        <f>divideBaseNNumber(E103,F103,G103,H103)</f>
        <v>3.0</v>
      </c>
      <c r="M103" s="1" t="s">
        <v>809</v>
      </c>
      <c r="Q103" s="1" t="b">
        <f t="shared" si="2"/>
        <v>1</v>
      </c>
    </row>
    <row r="104" spans="1:17" x14ac:dyDescent="0.15">
      <c r="D104" t="s">
        <v>798</v>
      </c>
      <c r="E104" s="1">
        <v>1</v>
      </c>
      <c r="F104" s="37">
        <v>0.33</v>
      </c>
      <c r="G104">
        <v>10</v>
      </c>
      <c r="H104">
        <v>2</v>
      </c>
      <c r="I104" s="1" t="str">
        <f>divideBaseNNumber(E104,F104,G104,H104)</f>
        <v>3.03</v>
      </c>
      <c r="M104" s="1" t="s">
        <v>808</v>
      </c>
      <c r="Q104" s="1" t="b">
        <f t="shared" si="2"/>
        <v>1</v>
      </c>
    </row>
    <row r="105" spans="1:17" x14ac:dyDescent="0.15">
      <c r="D105" t="s">
        <v>803</v>
      </c>
      <c r="E105" s="1">
        <v>1</v>
      </c>
      <c r="F105" s="37">
        <v>0.33</v>
      </c>
      <c r="G105">
        <v>10</v>
      </c>
      <c r="H105">
        <v>255</v>
      </c>
      <c r="I105" s="1" t="str">
        <f>divideBaseNNumber(E105,F105,G105,H105)</f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810</v>
      </c>
      <c r="Q105" s="1" t="b">
        <f t="shared" si="2"/>
        <v>1</v>
      </c>
    </row>
    <row r="106" spans="1:17" x14ac:dyDescent="0.15">
      <c r="A106" s="2" t="s">
        <v>931</v>
      </c>
      <c r="B106" s="2" t="s">
        <v>811</v>
      </c>
      <c r="C106" s="2"/>
      <c r="D106" s="2" t="s">
        <v>638</v>
      </c>
      <c r="E106" s="3">
        <v>15</v>
      </c>
      <c r="F106" s="38">
        <v>10</v>
      </c>
      <c r="G106" s="2">
        <v>1</v>
      </c>
      <c r="H106" s="2">
        <v>15</v>
      </c>
      <c r="I106" s="3" t="e">
        <f>convRadix(E106,F106,G106,H106)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2"/>
        <v>1</v>
      </c>
    </row>
    <row r="107" spans="1:17" x14ac:dyDescent="0.15">
      <c r="D107" s="7" t="s">
        <v>812</v>
      </c>
      <c r="E107" s="8" t="s">
        <v>814</v>
      </c>
      <c r="F107" s="37">
        <v>10</v>
      </c>
      <c r="G107" s="7">
        <v>16</v>
      </c>
      <c r="H107" s="7">
        <v>15</v>
      </c>
      <c r="I107" s="1" t="e">
        <f>convRadix(E107,F107,G107,H107)</f>
        <v>#NUM!</v>
      </c>
      <c r="M107" s="1" t="e">
        <v>#NUM!</v>
      </c>
      <c r="Q107" s="1" t="b">
        <f t="shared" si="2"/>
        <v>1</v>
      </c>
    </row>
    <row r="108" spans="1:17" x14ac:dyDescent="0.15">
      <c r="D108" s="7" t="s">
        <v>813</v>
      </c>
      <c r="F108" s="37">
        <v>10</v>
      </c>
      <c r="G108" s="7">
        <v>16</v>
      </c>
      <c r="H108" s="7">
        <v>15</v>
      </c>
      <c r="I108" s="1" t="e">
        <f>convRadix(E108,F108,G108,H108)</f>
        <v>#NULL!</v>
      </c>
      <c r="M108" s="1" t="e">
        <v>#NULL!</v>
      </c>
      <c r="Q108" s="1" t="b">
        <f t="shared" si="2"/>
        <v>1</v>
      </c>
    </row>
    <row r="109" spans="1:17" x14ac:dyDescent="0.15">
      <c r="B109" s="2" t="s">
        <v>815</v>
      </c>
      <c r="C109" s="2"/>
      <c r="D109" s="2" t="s">
        <v>816</v>
      </c>
      <c r="E109" s="3">
        <v>9</v>
      </c>
      <c r="F109" s="38">
        <v>10</v>
      </c>
      <c r="G109" s="2">
        <v>1</v>
      </c>
      <c r="H109" s="2">
        <v>15</v>
      </c>
      <c r="I109" s="3" t="e">
        <f>convRadix(E109,F109,G109,H109)</f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2"/>
        <v>1</v>
      </c>
    </row>
    <row r="110" spans="1:17" x14ac:dyDescent="0.15">
      <c r="D110" s="7" t="s">
        <v>817</v>
      </c>
      <c r="E110" s="1">
        <v>9</v>
      </c>
      <c r="F110" s="37">
        <v>10</v>
      </c>
      <c r="G110" s="7">
        <v>2</v>
      </c>
      <c r="H110">
        <v>15</v>
      </c>
      <c r="I110" s="1" t="str">
        <f>convRadix(E110,F110,G110,H110)</f>
        <v>1001</v>
      </c>
      <c r="M110" s="1" t="s">
        <v>400</v>
      </c>
      <c r="Q110" s="1" t="b">
        <f t="shared" si="2"/>
        <v>1</v>
      </c>
    </row>
    <row r="111" spans="1:17" x14ac:dyDescent="0.15">
      <c r="D111" s="7" t="s">
        <v>818</v>
      </c>
      <c r="E111" s="1">
        <v>9</v>
      </c>
      <c r="F111" s="37">
        <v>10</v>
      </c>
      <c r="G111" s="7">
        <v>8</v>
      </c>
      <c r="H111">
        <v>15</v>
      </c>
      <c r="I111" s="1" t="str">
        <f>convRadix(E111,F111,G111,H111)</f>
        <v>11</v>
      </c>
      <c r="M111" s="1" t="s">
        <v>18</v>
      </c>
      <c r="Q111" s="1" t="b">
        <f t="shared" si="2"/>
        <v>1</v>
      </c>
    </row>
    <row r="112" spans="1:17" x14ac:dyDescent="0.15">
      <c r="D112" s="7" t="s">
        <v>819</v>
      </c>
      <c r="E112" s="1">
        <v>9</v>
      </c>
      <c r="F112" s="37">
        <v>10</v>
      </c>
      <c r="G112" s="7">
        <v>16</v>
      </c>
      <c r="H112">
        <v>15</v>
      </c>
      <c r="I112" s="1" t="str">
        <f>convRadix(E112,F112,G112,H112)</f>
        <v>9</v>
      </c>
      <c r="M112" s="1" t="s">
        <v>100</v>
      </c>
      <c r="Q112" s="1" t="b">
        <f t="shared" si="2"/>
        <v>1</v>
      </c>
    </row>
    <row r="113" spans="1:17" x14ac:dyDescent="0.15">
      <c r="D113" s="7" t="s">
        <v>820</v>
      </c>
      <c r="E113" s="1">
        <v>9</v>
      </c>
      <c r="F113" s="37">
        <v>10</v>
      </c>
      <c r="G113" s="7">
        <v>17</v>
      </c>
      <c r="H113">
        <v>15</v>
      </c>
      <c r="I113" s="1" t="e">
        <f>convRadix(E113,F113,G113,H113)</f>
        <v>#NUM!</v>
      </c>
      <c r="M113" s="1" t="e">
        <v>#NUM!</v>
      </c>
      <c r="Q113" s="1" t="b">
        <f t="shared" si="2"/>
        <v>1</v>
      </c>
    </row>
    <row r="114" spans="1:17" x14ac:dyDescent="0.15">
      <c r="B114" s="2" t="s">
        <v>821</v>
      </c>
      <c r="C114" s="2" t="s">
        <v>824</v>
      </c>
      <c r="D114" s="2" t="s">
        <v>837</v>
      </c>
      <c r="E114" s="11" t="s">
        <v>839</v>
      </c>
      <c r="F114" s="38">
        <v>10</v>
      </c>
      <c r="G114" s="2">
        <v>16</v>
      </c>
      <c r="H114" s="2">
        <v>15</v>
      </c>
      <c r="I114" s="3" t="str">
        <f>convRadix(E114,F114,G114,H114)</f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2"/>
        <v>1</v>
      </c>
    </row>
    <row r="115" spans="1:17" x14ac:dyDescent="0.15">
      <c r="B115" s="6"/>
      <c r="C115" s="6"/>
      <c r="D115" s="27" t="s">
        <v>827</v>
      </c>
      <c r="E115" s="9" t="s">
        <v>838</v>
      </c>
      <c r="F115" s="37">
        <v>10</v>
      </c>
      <c r="G115" s="6">
        <v>16</v>
      </c>
      <c r="H115" s="6">
        <v>15</v>
      </c>
      <c r="I115" s="1" t="str">
        <f>convRadix(E115,F115,G115,H115)</f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2"/>
        <v>1</v>
      </c>
    </row>
    <row r="116" spans="1:17" x14ac:dyDescent="0.15">
      <c r="D116" s="7" t="s">
        <v>822</v>
      </c>
      <c r="E116" s="9" t="s">
        <v>833</v>
      </c>
      <c r="F116" s="37">
        <v>10</v>
      </c>
      <c r="G116">
        <v>16</v>
      </c>
      <c r="H116">
        <v>15</v>
      </c>
      <c r="I116" s="1" t="str">
        <f>convRadix(E116,F116,G116,H116)</f>
        <v>0.1</v>
      </c>
      <c r="M116" s="1" t="s">
        <v>734</v>
      </c>
      <c r="Q116" s="1" t="b">
        <f t="shared" si="2"/>
        <v>1</v>
      </c>
    </row>
    <row r="117" spans="1:17" x14ac:dyDescent="0.15">
      <c r="D117" s="7" t="s">
        <v>823</v>
      </c>
      <c r="E117" s="9" t="s">
        <v>835</v>
      </c>
      <c r="F117" s="37">
        <v>10</v>
      </c>
      <c r="G117">
        <v>16</v>
      </c>
      <c r="H117">
        <v>15</v>
      </c>
      <c r="I117" s="1" t="str">
        <f>convRadix(E117,F117,G117,H117)</f>
        <v>0.08</v>
      </c>
      <c r="M117" s="1" t="s">
        <v>836</v>
      </c>
      <c r="Q117" s="1" t="b">
        <f t="shared" si="2"/>
        <v>1</v>
      </c>
    </row>
    <row r="118" spans="1:17" x14ac:dyDescent="0.15">
      <c r="D118" s="7" t="s">
        <v>825</v>
      </c>
      <c r="E118" s="9" t="s">
        <v>834</v>
      </c>
      <c r="F118" s="37">
        <v>10</v>
      </c>
      <c r="G118">
        <v>16</v>
      </c>
      <c r="H118">
        <v>2</v>
      </c>
      <c r="I118" s="1" t="str">
        <f>convRadix(E118,F118,G118,H118)</f>
        <v>0.08</v>
      </c>
      <c r="M118" s="1" t="s">
        <v>836</v>
      </c>
      <c r="Q118" s="1" t="b">
        <f t="shared" si="2"/>
        <v>1</v>
      </c>
    </row>
    <row r="119" spans="1:17" x14ac:dyDescent="0.15">
      <c r="C119" s="2" t="s">
        <v>826</v>
      </c>
      <c r="D119" s="24" t="s">
        <v>827</v>
      </c>
      <c r="E119" s="11" t="s">
        <v>840</v>
      </c>
      <c r="F119" s="38">
        <v>10</v>
      </c>
      <c r="G119" s="2">
        <v>16</v>
      </c>
      <c r="H119" s="2">
        <v>0</v>
      </c>
      <c r="I119" s="3" t="str">
        <f>convRadix(E119,F119,G119,H119)</f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2"/>
        <v>1</v>
      </c>
    </row>
    <row r="120" spans="1:17" x14ac:dyDescent="0.15">
      <c r="D120" t="s">
        <v>828</v>
      </c>
      <c r="E120" s="9" t="s">
        <v>734</v>
      </c>
      <c r="F120" s="37">
        <v>10</v>
      </c>
      <c r="G120">
        <v>16</v>
      </c>
      <c r="H120" s="7">
        <v>1</v>
      </c>
      <c r="I120" s="1" t="str">
        <f>convRadix(E120,F120,G120,H120)</f>
        <v>0.1</v>
      </c>
      <c r="M120" s="1" t="s">
        <v>734</v>
      </c>
      <c r="Q120" s="1" t="b">
        <f t="shared" si="2"/>
        <v>1</v>
      </c>
    </row>
    <row r="121" spans="1:17" x14ac:dyDescent="0.15">
      <c r="D121" t="s">
        <v>829</v>
      </c>
      <c r="E121" s="9" t="s">
        <v>734</v>
      </c>
      <c r="F121" s="37">
        <v>10</v>
      </c>
      <c r="G121">
        <v>16</v>
      </c>
      <c r="H121" s="7">
        <v>2</v>
      </c>
      <c r="I121" s="1" t="str">
        <f>convRadix(E121,F121,G121,H121)</f>
        <v>0.19</v>
      </c>
      <c r="M121" s="1" t="s">
        <v>841</v>
      </c>
      <c r="Q121" s="1" t="b">
        <f t="shared" si="2"/>
        <v>1</v>
      </c>
    </row>
    <row r="122" spans="1:17" x14ac:dyDescent="0.15">
      <c r="D122" t="s">
        <v>803</v>
      </c>
      <c r="E122" s="9" t="s">
        <v>734</v>
      </c>
      <c r="F122" s="37">
        <v>10</v>
      </c>
      <c r="G122">
        <v>16</v>
      </c>
      <c r="H122" s="7">
        <v>255</v>
      </c>
      <c r="I122" s="1" t="str">
        <f>convRadix(E122,F122,G122,H122)</f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842</v>
      </c>
      <c r="Q122" s="1" t="b">
        <f t="shared" si="2"/>
        <v>1</v>
      </c>
    </row>
    <row r="123" spans="1:17" x14ac:dyDescent="0.15">
      <c r="D123" t="s">
        <v>843</v>
      </c>
      <c r="E123" s="9" t="s">
        <v>734</v>
      </c>
      <c r="F123" s="37">
        <v>10</v>
      </c>
      <c r="G123">
        <v>16</v>
      </c>
      <c r="H123" s="7"/>
      <c r="I123" s="1" t="str">
        <f>convRadix(E123,F123,G123)</f>
        <v>0.199999999999999999999999999999</v>
      </c>
      <c r="M123" s="1" t="s">
        <v>844</v>
      </c>
      <c r="Q123" s="1" t="b">
        <f t="shared" si="2"/>
        <v>1</v>
      </c>
    </row>
    <row r="124" spans="1:17" x14ac:dyDescent="0.15">
      <c r="B124" s="2" t="s">
        <v>830</v>
      </c>
      <c r="C124" s="2"/>
      <c r="D124" s="2" t="s">
        <v>831</v>
      </c>
      <c r="E124" s="11" t="s">
        <v>845</v>
      </c>
      <c r="F124" s="38">
        <v>10</v>
      </c>
      <c r="G124" s="2">
        <v>16</v>
      </c>
      <c r="H124" s="2">
        <v>15</v>
      </c>
      <c r="I124" s="3" t="str">
        <f>convRadix(E124,F124,G124,H124)</f>
        <v>F</v>
      </c>
      <c r="J124" s="2"/>
      <c r="K124" s="2"/>
      <c r="L124" s="2"/>
      <c r="M124" s="3" t="s">
        <v>98</v>
      </c>
      <c r="N124" s="2"/>
      <c r="O124" s="2"/>
      <c r="P124" s="2"/>
      <c r="Q124" s="3" t="b">
        <f t="shared" si="2"/>
        <v>1</v>
      </c>
    </row>
    <row r="125" spans="1:17" x14ac:dyDescent="0.15">
      <c r="D125" t="s">
        <v>832</v>
      </c>
      <c r="E125" s="9" t="s">
        <v>846</v>
      </c>
      <c r="F125" s="37">
        <v>10</v>
      </c>
      <c r="G125">
        <v>16</v>
      </c>
      <c r="H125" s="7">
        <v>15</v>
      </c>
      <c r="I125" s="1" t="str">
        <f>convRadix(E125,F125,G125,H125)</f>
        <v>-F</v>
      </c>
      <c r="M125" s="1" t="s">
        <v>847</v>
      </c>
      <c r="Q125" s="1" t="b">
        <f t="shared" si="2"/>
        <v>1</v>
      </c>
    </row>
    <row r="126" spans="1:17" x14ac:dyDescent="0.15">
      <c r="A126" s="2" t="s">
        <v>848</v>
      </c>
      <c r="B126" s="2" t="s">
        <v>811</v>
      </c>
      <c r="C126" s="2"/>
      <c r="D126" s="2" t="s">
        <v>638</v>
      </c>
      <c r="E126" s="3">
        <v>15</v>
      </c>
      <c r="F126" s="38">
        <v>1</v>
      </c>
      <c r="G126" s="2"/>
      <c r="H126" s="2"/>
      <c r="I126" s="3" t="e">
        <f>getDiminishedRadixComplement(E126,F126)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2"/>
        <v>1</v>
      </c>
    </row>
    <row r="127" spans="1:17" x14ac:dyDescent="0.15">
      <c r="D127" s="7" t="s">
        <v>812</v>
      </c>
      <c r="E127" s="8" t="s">
        <v>582</v>
      </c>
      <c r="F127" s="37">
        <v>10</v>
      </c>
      <c r="G127" s="7"/>
      <c r="H127" s="7"/>
      <c r="I127" s="1" t="e">
        <f t="shared" ref="I127:I128" si="4">getDiminishedRadixComplement(E127,F127)</f>
        <v>#NUM!</v>
      </c>
      <c r="M127" s="1" t="e">
        <v>#NUM!</v>
      </c>
      <c r="Q127" s="1" t="b">
        <f t="shared" si="2"/>
        <v>1</v>
      </c>
    </row>
    <row r="128" spans="1:17" x14ac:dyDescent="0.15">
      <c r="D128" s="7" t="s">
        <v>813</v>
      </c>
      <c r="F128" s="37">
        <v>10</v>
      </c>
      <c r="G128" s="7"/>
      <c r="H128" s="7"/>
      <c r="I128" s="1" t="e">
        <f t="shared" si="4"/>
        <v>#NULL!</v>
      </c>
      <c r="M128" s="1" t="e">
        <v>#NULL!</v>
      </c>
      <c r="Q128" s="1" t="b">
        <f t="shared" si="2"/>
        <v>1</v>
      </c>
    </row>
    <row r="129" spans="2:17" x14ac:dyDescent="0.15">
      <c r="B129" s="2" t="s">
        <v>849</v>
      </c>
      <c r="C129" s="2" t="s">
        <v>850</v>
      </c>
      <c r="D129" s="2" t="s">
        <v>851</v>
      </c>
      <c r="E129" s="11" t="s">
        <v>856</v>
      </c>
      <c r="F129" s="38">
        <v>2</v>
      </c>
      <c r="G129" s="2"/>
      <c r="H129" s="24"/>
      <c r="I129" s="3" t="str">
        <f>getDiminishedRadixComplement(E129,F129)</f>
        <v>1</v>
      </c>
      <c r="J129" s="2"/>
      <c r="K129" s="2"/>
      <c r="L129" s="2"/>
      <c r="M129" s="3" t="s">
        <v>44</v>
      </c>
      <c r="N129" s="2"/>
      <c r="O129" s="2"/>
      <c r="P129" s="2"/>
      <c r="Q129" s="3" t="b">
        <f t="shared" si="2"/>
        <v>1</v>
      </c>
    </row>
    <row r="130" spans="2:17" x14ac:dyDescent="0.15">
      <c r="D130" t="s">
        <v>852</v>
      </c>
      <c r="E130" s="9" t="s">
        <v>857</v>
      </c>
      <c r="F130" s="37">
        <v>2</v>
      </c>
      <c r="H130" s="7"/>
      <c r="I130" s="1" t="str">
        <f t="shared" ref="I130:I162" si="5">getDiminishedRadixComplement(E130,F130)</f>
        <v>0</v>
      </c>
      <c r="M130" s="1" t="s">
        <v>14</v>
      </c>
      <c r="Q130" s="1" t="b">
        <f t="shared" si="2"/>
        <v>1</v>
      </c>
    </row>
    <row r="131" spans="2:17" x14ac:dyDescent="0.15">
      <c r="D131" t="s">
        <v>853</v>
      </c>
      <c r="E131" s="9" t="s">
        <v>856</v>
      </c>
      <c r="F131" s="37">
        <v>7</v>
      </c>
      <c r="H131" s="7"/>
      <c r="I131" s="1" t="str">
        <f t="shared" si="5"/>
        <v>6</v>
      </c>
      <c r="M131" s="1" t="s">
        <v>766</v>
      </c>
      <c r="Q131" s="1" t="b">
        <f t="shared" si="2"/>
        <v>1</v>
      </c>
    </row>
    <row r="132" spans="2:17" x14ac:dyDescent="0.15">
      <c r="D132" t="s">
        <v>855</v>
      </c>
      <c r="E132" s="9" t="s">
        <v>858</v>
      </c>
      <c r="F132" s="37">
        <v>7</v>
      </c>
      <c r="H132" s="7"/>
      <c r="I132" s="1" t="str">
        <f t="shared" si="5"/>
        <v>3</v>
      </c>
      <c r="M132" s="1" t="s">
        <v>80</v>
      </c>
      <c r="Q132" s="1" t="b">
        <f t="shared" si="2"/>
        <v>1</v>
      </c>
    </row>
    <row r="133" spans="2:17" x14ac:dyDescent="0.15">
      <c r="D133" t="s">
        <v>854</v>
      </c>
      <c r="E133" s="9" t="s">
        <v>860</v>
      </c>
      <c r="F133" s="37">
        <v>7</v>
      </c>
      <c r="H133" s="7"/>
      <c r="I133" s="1" t="str">
        <f t="shared" si="5"/>
        <v>0</v>
      </c>
      <c r="M133" s="1" t="s">
        <v>14</v>
      </c>
      <c r="Q133" s="1" t="b">
        <f t="shared" si="2"/>
        <v>1</v>
      </c>
    </row>
    <row r="134" spans="2:17" x14ac:dyDescent="0.15">
      <c r="D134" t="s">
        <v>861</v>
      </c>
      <c r="E134" s="9" t="s">
        <v>856</v>
      </c>
      <c r="F134" s="37">
        <v>16</v>
      </c>
      <c r="H134" s="7"/>
      <c r="I134" s="1" t="str">
        <f t="shared" si="5"/>
        <v>F</v>
      </c>
      <c r="M134" s="1" t="s">
        <v>98</v>
      </c>
      <c r="Q134" s="1" t="b">
        <f t="shared" si="2"/>
        <v>1</v>
      </c>
    </row>
    <row r="135" spans="2:17" x14ac:dyDescent="0.15">
      <c r="D135" t="s">
        <v>862</v>
      </c>
      <c r="E135" s="9" t="s">
        <v>864</v>
      </c>
      <c r="F135" s="37">
        <v>16</v>
      </c>
      <c r="H135" s="7"/>
      <c r="I135" s="1" t="str">
        <f t="shared" si="5"/>
        <v>7</v>
      </c>
      <c r="M135" s="1" t="s">
        <v>859</v>
      </c>
      <c r="Q135" s="1" t="b">
        <f t="shared" si="2"/>
        <v>1</v>
      </c>
    </row>
    <row r="136" spans="2:17" x14ac:dyDescent="0.15">
      <c r="D136" t="s">
        <v>863</v>
      </c>
      <c r="E136" s="9" t="s">
        <v>865</v>
      </c>
      <c r="F136" s="37">
        <v>16</v>
      </c>
      <c r="H136" s="7"/>
      <c r="I136" s="1" t="str">
        <f t="shared" si="5"/>
        <v>0</v>
      </c>
      <c r="M136" s="1" t="s">
        <v>14</v>
      </c>
      <c r="Q136" s="1" t="b">
        <f t="shared" si="2"/>
        <v>1</v>
      </c>
    </row>
    <row r="137" spans="2:17" x14ac:dyDescent="0.15">
      <c r="C137" s="2" t="s">
        <v>866</v>
      </c>
      <c r="D137" s="2" t="s">
        <v>867</v>
      </c>
      <c r="E137" s="11" t="s">
        <v>868</v>
      </c>
      <c r="F137" s="38">
        <v>2</v>
      </c>
      <c r="G137" s="2"/>
      <c r="H137" s="24"/>
      <c r="I137" s="3" t="str">
        <f t="shared" si="5"/>
        <v>01</v>
      </c>
      <c r="J137" s="2"/>
      <c r="K137" s="2"/>
      <c r="L137" s="2"/>
      <c r="M137" s="3" t="s">
        <v>247</v>
      </c>
      <c r="N137" s="2"/>
      <c r="O137" s="2"/>
      <c r="P137" s="2"/>
      <c r="Q137" s="3" t="b">
        <f t="shared" si="2"/>
        <v>1</v>
      </c>
    </row>
    <row r="138" spans="2:17" x14ac:dyDescent="0.15">
      <c r="C138" s="6"/>
      <c r="D138" s="6"/>
      <c r="E138" s="9" t="s">
        <v>869</v>
      </c>
      <c r="F138" s="37">
        <v>2</v>
      </c>
      <c r="G138" s="6"/>
      <c r="H138" s="7"/>
      <c r="I138" s="1" t="str">
        <f t="shared" si="5"/>
        <v>10</v>
      </c>
      <c r="J138" s="6"/>
      <c r="K138" s="6"/>
      <c r="L138" s="6"/>
      <c r="M138" s="1" t="s">
        <v>15</v>
      </c>
      <c r="N138" s="6"/>
      <c r="O138" s="6"/>
      <c r="P138" s="6"/>
      <c r="Q138" s="1" t="b">
        <f t="shared" si="2"/>
        <v>1</v>
      </c>
    </row>
    <row r="139" spans="2:17" x14ac:dyDescent="0.15">
      <c r="C139" s="6"/>
      <c r="D139" s="7" t="s">
        <v>870</v>
      </c>
      <c r="E139" s="9" t="s">
        <v>872</v>
      </c>
      <c r="F139" s="37">
        <v>7</v>
      </c>
      <c r="G139" s="6"/>
      <c r="H139" s="7"/>
      <c r="I139" s="1" t="str">
        <f t="shared" si="5"/>
        <v>06</v>
      </c>
      <c r="J139" s="6"/>
      <c r="K139" s="6"/>
      <c r="L139" s="6"/>
      <c r="M139" s="1" t="s">
        <v>873</v>
      </c>
      <c r="N139" s="6"/>
      <c r="O139" s="6"/>
      <c r="P139" s="6"/>
      <c r="Q139" s="1" t="b">
        <f t="shared" si="2"/>
        <v>1</v>
      </c>
    </row>
    <row r="140" spans="2:17" x14ac:dyDescent="0.15">
      <c r="C140" s="6"/>
      <c r="D140" s="6"/>
      <c r="E140" s="9" t="s">
        <v>874</v>
      </c>
      <c r="F140" s="37">
        <v>7</v>
      </c>
      <c r="G140" s="6"/>
      <c r="H140" s="7"/>
      <c r="I140" s="1" t="str">
        <f t="shared" si="5"/>
        <v>60</v>
      </c>
      <c r="J140" s="6"/>
      <c r="K140" s="6"/>
      <c r="L140" s="6"/>
      <c r="M140" s="1" t="s">
        <v>871</v>
      </c>
      <c r="N140" s="6"/>
      <c r="O140" s="6"/>
      <c r="P140" s="6"/>
      <c r="Q140" s="1" t="b">
        <f t="shared" ref="Q140:Q162" si="6">getText(I140)=getText(M140)</f>
        <v>1</v>
      </c>
    </row>
    <row r="141" spans="2:17" x14ac:dyDescent="0.15">
      <c r="C141" s="6"/>
      <c r="D141" s="7" t="s">
        <v>878</v>
      </c>
      <c r="E141" s="9" t="s">
        <v>876</v>
      </c>
      <c r="F141" s="37">
        <v>16</v>
      </c>
      <c r="G141" s="6"/>
      <c r="H141" s="7"/>
      <c r="I141" s="1" t="str">
        <f t="shared" si="5"/>
        <v>0F</v>
      </c>
      <c r="J141" s="6"/>
      <c r="K141" s="6"/>
      <c r="L141" s="6"/>
      <c r="M141" s="1" t="s">
        <v>252</v>
      </c>
      <c r="N141" s="6"/>
      <c r="O141" s="6"/>
      <c r="P141" s="6"/>
      <c r="Q141" s="1" t="b">
        <f t="shared" si="6"/>
        <v>1</v>
      </c>
    </row>
    <row r="142" spans="2:17" x14ac:dyDescent="0.15">
      <c r="C142" s="6"/>
      <c r="D142" s="6"/>
      <c r="E142" s="9" t="s">
        <v>877</v>
      </c>
      <c r="F142" s="37">
        <v>16</v>
      </c>
      <c r="G142" s="6"/>
      <c r="H142" s="7"/>
      <c r="I142" s="1" t="str">
        <f t="shared" si="5"/>
        <v>F0</v>
      </c>
      <c r="J142" s="6"/>
      <c r="K142" s="6"/>
      <c r="L142" s="6"/>
      <c r="M142" s="1" t="s">
        <v>875</v>
      </c>
      <c r="N142" s="6"/>
      <c r="O142" s="6"/>
      <c r="P142" s="6"/>
      <c r="Q142" s="1" t="b">
        <f t="shared" si="6"/>
        <v>1</v>
      </c>
    </row>
    <row r="143" spans="2:17" x14ac:dyDescent="0.15">
      <c r="C143" s="2" t="s">
        <v>879</v>
      </c>
      <c r="D143" s="2" t="s">
        <v>867</v>
      </c>
      <c r="E143" s="11" t="s">
        <v>880</v>
      </c>
      <c r="F143" s="38">
        <v>2</v>
      </c>
      <c r="G143" s="2"/>
      <c r="H143" s="24"/>
      <c r="I143" s="3" t="str">
        <f t="shared" si="5"/>
        <v>001</v>
      </c>
      <c r="J143" s="2"/>
      <c r="K143" s="2"/>
      <c r="L143" s="2"/>
      <c r="M143" s="3" t="s">
        <v>81</v>
      </c>
      <c r="N143" s="2"/>
      <c r="O143" s="2"/>
      <c r="P143" s="2"/>
      <c r="Q143" s="3" t="b">
        <f t="shared" si="6"/>
        <v>1</v>
      </c>
    </row>
    <row r="144" spans="2:17" x14ac:dyDescent="0.15">
      <c r="C144" s="6"/>
      <c r="D144" s="6"/>
      <c r="E144" s="9" t="s">
        <v>881</v>
      </c>
      <c r="F144" s="37">
        <v>2</v>
      </c>
      <c r="G144" s="6"/>
      <c r="H144" s="7"/>
      <c r="I144" s="1" t="str">
        <f t="shared" si="5"/>
        <v>110</v>
      </c>
      <c r="J144" s="6"/>
      <c r="K144" s="6"/>
      <c r="L144" s="6"/>
      <c r="M144" s="1" t="s">
        <v>290</v>
      </c>
      <c r="N144" s="6"/>
      <c r="O144" s="6"/>
      <c r="P144" s="6"/>
      <c r="Q144" s="1" t="b">
        <f t="shared" si="6"/>
        <v>1</v>
      </c>
    </row>
    <row r="145" spans="2:17" x14ac:dyDescent="0.15">
      <c r="C145" s="6"/>
      <c r="D145" s="7" t="s">
        <v>870</v>
      </c>
      <c r="E145" s="9" t="s">
        <v>883</v>
      </c>
      <c r="F145" s="37">
        <v>7</v>
      </c>
      <c r="G145" s="6"/>
      <c r="H145" s="7"/>
      <c r="I145" s="1" t="str">
        <f t="shared" si="5"/>
        <v>036</v>
      </c>
      <c r="J145" s="6"/>
      <c r="K145" s="6"/>
      <c r="L145" s="6"/>
      <c r="M145" s="1" t="s">
        <v>884</v>
      </c>
      <c r="N145" s="6"/>
      <c r="O145" s="6"/>
      <c r="P145" s="6"/>
      <c r="Q145" s="1" t="b">
        <f t="shared" si="6"/>
        <v>1</v>
      </c>
    </row>
    <row r="146" spans="2:17" x14ac:dyDescent="0.15">
      <c r="C146" s="6"/>
      <c r="D146" s="6"/>
      <c r="E146" s="9" t="s">
        <v>885</v>
      </c>
      <c r="F146" s="37">
        <v>7</v>
      </c>
      <c r="G146" s="6"/>
      <c r="H146" s="7"/>
      <c r="I146" s="1" t="str">
        <f t="shared" si="5"/>
        <v>630</v>
      </c>
      <c r="J146" s="6"/>
      <c r="K146" s="6"/>
      <c r="L146" s="6"/>
      <c r="M146" s="1" t="s">
        <v>882</v>
      </c>
      <c r="N146" s="6"/>
      <c r="O146" s="6"/>
      <c r="P146" s="6"/>
      <c r="Q146" s="1" t="b">
        <f t="shared" si="6"/>
        <v>1</v>
      </c>
    </row>
    <row r="147" spans="2:17" x14ac:dyDescent="0.15">
      <c r="C147" s="6"/>
      <c r="D147" s="7" t="s">
        <v>878</v>
      </c>
      <c r="E147" s="9" t="s">
        <v>886</v>
      </c>
      <c r="F147" s="37">
        <v>16</v>
      </c>
      <c r="G147" s="6"/>
      <c r="H147" s="7"/>
      <c r="I147" s="1" t="str">
        <f t="shared" si="5"/>
        <v>07F</v>
      </c>
      <c r="J147" s="6"/>
      <c r="K147" s="6"/>
      <c r="L147" s="6"/>
      <c r="M147" s="1" t="s">
        <v>888</v>
      </c>
      <c r="N147" s="6"/>
      <c r="O147" s="6"/>
      <c r="P147" s="6"/>
      <c r="Q147" s="1" t="b">
        <f t="shared" si="6"/>
        <v>1</v>
      </c>
    </row>
    <row r="148" spans="2:17" x14ac:dyDescent="0.15">
      <c r="C148" s="6"/>
      <c r="D148" s="6"/>
      <c r="E148" s="9" t="s">
        <v>887</v>
      </c>
      <c r="F148" s="37">
        <v>16</v>
      </c>
      <c r="G148" s="6"/>
      <c r="H148" s="7"/>
      <c r="I148" s="1" t="str">
        <f t="shared" si="5"/>
        <v>F70</v>
      </c>
      <c r="J148" s="6"/>
      <c r="K148" s="6"/>
      <c r="L148" s="6"/>
      <c r="M148" s="1" t="s">
        <v>889</v>
      </c>
      <c r="N148" s="6"/>
      <c r="O148" s="6"/>
      <c r="P148" s="6"/>
      <c r="Q148" s="1" t="b">
        <f t="shared" si="6"/>
        <v>1</v>
      </c>
    </row>
    <row r="149" spans="2:17" x14ac:dyDescent="0.15">
      <c r="B149" s="2" t="s">
        <v>890</v>
      </c>
      <c r="C149" s="2" t="s">
        <v>891</v>
      </c>
      <c r="D149" s="2" t="s">
        <v>892</v>
      </c>
      <c r="E149" s="11" t="s">
        <v>856</v>
      </c>
      <c r="F149" s="38">
        <v>10</v>
      </c>
      <c r="G149" s="2"/>
      <c r="H149" s="24"/>
      <c r="I149" s="3" t="str">
        <f t="shared" si="5"/>
        <v>9</v>
      </c>
      <c r="J149" s="2"/>
      <c r="K149" s="2"/>
      <c r="L149" s="2"/>
      <c r="M149" s="3" t="s">
        <v>100</v>
      </c>
      <c r="N149" s="2"/>
      <c r="O149" s="2"/>
      <c r="P149" s="2"/>
      <c r="Q149" s="3" t="b">
        <f t="shared" si="6"/>
        <v>1</v>
      </c>
    </row>
    <row r="150" spans="2:17" x14ac:dyDescent="0.15">
      <c r="C150" s="6"/>
      <c r="D150" s="6" t="s">
        <v>893</v>
      </c>
      <c r="E150" s="9" t="s">
        <v>901</v>
      </c>
      <c r="F150" s="37">
        <v>10</v>
      </c>
      <c r="G150" s="6"/>
      <c r="H150" s="7"/>
      <c r="I150" s="1" t="str">
        <f t="shared" si="5"/>
        <v>9.0</v>
      </c>
      <c r="J150" s="6"/>
      <c r="K150" s="6"/>
      <c r="L150" s="6"/>
      <c r="M150" s="1" t="s">
        <v>898</v>
      </c>
      <c r="N150" s="6"/>
      <c r="O150" s="6"/>
      <c r="P150" s="6"/>
      <c r="Q150" s="1" t="b">
        <f t="shared" si="6"/>
        <v>1</v>
      </c>
    </row>
    <row r="151" spans="2:17" x14ac:dyDescent="0.15">
      <c r="C151" s="6"/>
      <c r="D151" s="6" t="s">
        <v>894</v>
      </c>
      <c r="E151" s="9" t="s">
        <v>902</v>
      </c>
      <c r="F151" s="37">
        <v>10</v>
      </c>
      <c r="G151" s="6"/>
      <c r="H151" s="7"/>
      <c r="I151" s="1" t="str">
        <f t="shared" si="5"/>
        <v>9.01</v>
      </c>
      <c r="J151" s="6"/>
      <c r="K151" s="6"/>
      <c r="L151" s="6"/>
      <c r="M151" s="1" t="s">
        <v>899</v>
      </c>
      <c r="N151" s="6"/>
      <c r="O151" s="6"/>
      <c r="P151" s="6"/>
      <c r="Q151" s="1" t="b">
        <f t="shared" si="6"/>
        <v>1</v>
      </c>
    </row>
    <row r="152" spans="2:17" x14ac:dyDescent="0.15">
      <c r="C152" s="6"/>
      <c r="D152" s="6" t="s">
        <v>895</v>
      </c>
      <c r="E152" s="9" t="s">
        <v>903</v>
      </c>
      <c r="F152" s="37">
        <v>10</v>
      </c>
      <c r="G152" s="6"/>
      <c r="H152" s="7"/>
      <c r="I152" s="1" t="str">
        <f t="shared" si="5"/>
        <v>9.012</v>
      </c>
      <c r="J152" s="6"/>
      <c r="K152" s="6"/>
      <c r="L152" s="6"/>
      <c r="M152" s="1" t="s">
        <v>900</v>
      </c>
      <c r="N152" s="6"/>
      <c r="O152" s="6"/>
      <c r="P152" s="6"/>
      <c r="Q152" s="1" t="b">
        <f t="shared" si="6"/>
        <v>1</v>
      </c>
    </row>
    <row r="153" spans="2:17" x14ac:dyDescent="0.15">
      <c r="C153" s="2" t="s">
        <v>896</v>
      </c>
      <c r="D153" s="2" t="s">
        <v>892</v>
      </c>
      <c r="E153" s="11" t="s">
        <v>904</v>
      </c>
      <c r="F153" s="38">
        <v>10</v>
      </c>
      <c r="G153" s="2"/>
      <c r="H153" s="24"/>
      <c r="I153" s="3" t="str">
        <f t="shared" si="5"/>
        <v>87</v>
      </c>
      <c r="J153" s="2"/>
      <c r="K153" s="2"/>
      <c r="L153" s="2"/>
      <c r="M153" s="3" t="s">
        <v>912</v>
      </c>
      <c r="N153" s="2"/>
      <c r="O153" s="2"/>
      <c r="P153" s="2"/>
      <c r="Q153" s="3" t="b">
        <f t="shared" si="6"/>
        <v>1</v>
      </c>
    </row>
    <row r="154" spans="2:17" x14ac:dyDescent="0.15">
      <c r="C154" s="6"/>
      <c r="D154" s="6" t="s">
        <v>893</v>
      </c>
      <c r="E154" s="9" t="s">
        <v>905</v>
      </c>
      <c r="F154" s="37">
        <v>10</v>
      </c>
      <c r="G154" s="6"/>
      <c r="H154" s="7"/>
      <c r="I154" s="1" t="str">
        <f t="shared" si="5"/>
        <v>87.0</v>
      </c>
      <c r="J154" s="6"/>
      <c r="K154" s="6"/>
      <c r="L154" s="6"/>
      <c r="M154" s="1" t="s">
        <v>913</v>
      </c>
      <c r="N154" s="6"/>
      <c r="O154" s="6"/>
      <c r="P154" s="6"/>
      <c r="Q154" s="1" t="b">
        <f t="shared" si="6"/>
        <v>1</v>
      </c>
    </row>
    <row r="155" spans="2:17" x14ac:dyDescent="0.15">
      <c r="C155" s="6"/>
      <c r="D155" s="6" t="s">
        <v>894</v>
      </c>
      <c r="E155" s="9" t="s">
        <v>906</v>
      </c>
      <c r="F155" s="37">
        <v>10</v>
      </c>
      <c r="G155" s="6"/>
      <c r="H155" s="7"/>
      <c r="I155" s="1" t="str">
        <f t="shared" si="5"/>
        <v>87.01</v>
      </c>
      <c r="J155" s="6"/>
      <c r="K155" s="6"/>
      <c r="L155" s="6"/>
      <c r="M155" s="1" t="s">
        <v>914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6" t="s">
        <v>895</v>
      </c>
      <c r="E156" s="9" t="s">
        <v>907</v>
      </c>
      <c r="F156" s="37">
        <v>10</v>
      </c>
      <c r="G156" s="6"/>
      <c r="H156" s="7"/>
      <c r="I156" s="1" t="str">
        <f t="shared" si="5"/>
        <v>87.012</v>
      </c>
      <c r="J156" s="6"/>
      <c r="K156" s="6"/>
      <c r="L156" s="6"/>
      <c r="M156" s="1" t="s">
        <v>915</v>
      </c>
      <c r="N156" s="6"/>
      <c r="O156" s="6"/>
      <c r="P156" s="6"/>
      <c r="Q156" s="1" t="b">
        <f t="shared" si="6"/>
        <v>1</v>
      </c>
    </row>
    <row r="157" spans="2:17" x14ac:dyDescent="0.15">
      <c r="C157" s="2" t="s">
        <v>897</v>
      </c>
      <c r="D157" s="2" t="s">
        <v>892</v>
      </c>
      <c r="E157" s="11" t="s">
        <v>908</v>
      </c>
      <c r="F157" s="38">
        <v>10</v>
      </c>
      <c r="G157" s="2"/>
      <c r="H157" s="24"/>
      <c r="I157" s="3" t="str">
        <f t="shared" si="5"/>
        <v>876</v>
      </c>
      <c r="J157" s="2"/>
      <c r="K157" s="2"/>
      <c r="L157" s="2"/>
      <c r="M157" s="3" t="s">
        <v>916</v>
      </c>
      <c r="N157" s="2"/>
      <c r="O157" s="2"/>
      <c r="P157" s="2"/>
      <c r="Q157" s="3" t="b">
        <f t="shared" si="6"/>
        <v>1</v>
      </c>
    </row>
    <row r="158" spans="2:17" x14ac:dyDescent="0.15">
      <c r="C158" s="6"/>
      <c r="D158" s="6" t="s">
        <v>893</v>
      </c>
      <c r="E158" s="9" t="s">
        <v>909</v>
      </c>
      <c r="F158" s="37">
        <v>10</v>
      </c>
      <c r="G158" s="6"/>
      <c r="H158" s="7"/>
      <c r="I158" s="1" t="str">
        <f t="shared" si="5"/>
        <v>876.0</v>
      </c>
      <c r="J158" s="6"/>
      <c r="K158" s="6"/>
      <c r="L158" s="6"/>
      <c r="M158" s="1" t="s">
        <v>917</v>
      </c>
      <c r="N158" s="6"/>
      <c r="O158" s="6"/>
      <c r="P158" s="6"/>
      <c r="Q158" s="1" t="b">
        <f t="shared" si="6"/>
        <v>1</v>
      </c>
    </row>
    <row r="159" spans="2:17" x14ac:dyDescent="0.15">
      <c r="C159" s="6"/>
      <c r="D159" s="6" t="s">
        <v>894</v>
      </c>
      <c r="E159" s="9" t="s">
        <v>910</v>
      </c>
      <c r="F159" s="37">
        <v>10</v>
      </c>
      <c r="G159" s="6"/>
      <c r="H159" s="7"/>
      <c r="I159" s="1" t="str">
        <f t="shared" si="5"/>
        <v>876.01</v>
      </c>
      <c r="J159" s="6"/>
      <c r="K159" s="6"/>
      <c r="L159" s="6"/>
      <c r="M159" s="1" t="s">
        <v>918</v>
      </c>
      <c r="N159" s="6"/>
      <c r="O159" s="6"/>
      <c r="P159" s="6"/>
      <c r="Q159" s="1" t="b">
        <f t="shared" si="6"/>
        <v>1</v>
      </c>
    </row>
    <row r="160" spans="2:17" x14ac:dyDescent="0.15">
      <c r="C160" s="6"/>
      <c r="D160" s="6" t="s">
        <v>895</v>
      </c>
      <c r="E160" s="9" t="s">
        <v>911</v>
      </c>
      <c r="F160" s="37">
        <v>10</v>
      </c>
      <c r="G160" s="6"/>
      <c r="H160" s="7"/>
      <c r="I160" s="1" t="str">
        <f t="shared" si="5"/>
        <v>876.012</v>
      </c>
      <c r="J160" s="6"/>
      <c r="K160" s="6"/>
      <c r="L160" s="6"/>
      <c r="M160" s="1" t="s">
        <v>919</v>
      </c>
      <c r="N160" s="6"/>
      <c r="O160" s="6"/>
      <c r="P160" s="6"/>
      <c r="Q160" s="1" t="b">
        <f t="shared" si="6"/>
        <v>1</v>
      </c>
    </row>
    <row r="161" spans="1:20" x14ac:dyDescent="0.15">
      <c r="B161" s="2" t="s">
        <v>920</v>
      </c>
      <c r="C161" s="2" t="s">
        <v>921</v>
      </c>
      <c r="D161" s="2"/>
      <c r="E161" s="11" t="s">
        <v>923</v>
      </c>
      <c r="F161" s="38">
        <v>10</v>
      </c>
      <c r="G161" s="2"/>
      <c r="H161" s="24"/>
      <c r="I161" s="3" t="str">
        <f t="shared" si="5"/>
        <v>5</v>
      </c>
      <c r="J161" s="2"/>
      <c r="K161" s="2"/>
      <c r="L161" s="2"/>
      <c r="M161" s="3" t="s">
        <v>82</v>
      </c>
      <c r="N161" s="2"/>
      <c r="O161" s="2"/>
      <c r="P161" s="2"/>
      <c r="Q161" s="3" t="b">
        <f t="shared" si="6"/>
        <v>1</v>
      </c>
    </row>
    <row r="162" spans="1:20" x14ac:dyDescent="0.15">
      <c r="C162" s="6" t="s">
        <v>922</v>
      </c>
      <c r="D162" s="6"/>
      <c r="E162" s="9" t="s">
        <v>924</v>
      </c>
      <c r="F162" s="37">
        <v>10</v>
      </c>
      <c r="G162" s="6"/>
      <c r="H162" s="7"/>
      <c r="I162" s="1" t="str">
        <f t="shared" si="5"/>
        <v>-5</v>
      </c>
      <c r="J162" s="6"/>
      <c r="K162" s="6"/>
      <c r="L162" s="6"/>
      <c r="M162" s="1" t="s">
        <v>925</v>
      </c>
      <c r="N162" s="6"/>
      <c r="O162" s="6"/>
      <c r="P162" s="6"/>
      <c r="Q162" s="1" t="b">
        <f t="shared" si="6"/>
        <v>1</v>
      </c>
    </row>
    <row r="163" spans="1:20" s="2" customFormat="1" x14ac:dyDescent="0.15">
      <c r="A163" s="2" t="s">
        <v>636</v>
      </c>
      <c r="B163" s="2" t="s">
        <v>927</v>
      </c>
      <c r="C163" s="2" t="s">
        <v>637</v>
      </c>
      <c r="E163" s="11"/>
      <c r="F163" s="2">
        <v>10</v>
      </c>
      <c r="G163" s="2" t="b">
        <v>0</v>
      </c>
      <c r="I163" s="3" t="e">
        <f>TESTseparateToIntAndFrc(E163,F163,G163)</f>
        <v>#NULL!</v>
      </c>
      <c r="J163" s="2" t="str">
        <f>TESTseparateToIntAndFrcByRef1(E163,F163,G163)</f>
        <v/>
      </c>
      <c r="K163" s="2" t="str">
        <f>TESTseparateToIntAndFrcByRef2(E163,F163,G163)</f>
        <v/>
      </c>
      <c r="L163" s="2" t="b">
        <f>TESTseparateToIntAndFrcByRef3(E163,F163,G163)</f>
        <v>0</v>
      </c>
      <c r="M163" s="3" t="e">
        <v>#NULL!</v>
      </c>
      <c r="N163" s="2" t="s">
        <v>45</v>
      </c>
      <c r="O163" s="2" t="s">
        <v>45</v>
      </c>
      <c r="P163" s="2" t="b">
        <v>0</v>
      </c>
      <c r="Q163" s="3" t="b">
        <f t="shared" ref="Q163:Q173" si="7">getText(I163)=getText(M163)</f>
        <v>1</v>
      </c>
      <c r="R163" s="2" t="b">
        <f t="shared" ref="R163:R173" si="8">getText(J163)=getText(N163)</f>
        <v>1</v>
      </c>
      <c r="S163" s="2" t="b">
        <f t="shared" ref="S163:S173" si="9">getText(K163)=getText(O163)</f>
        <v>1</v>
      </c>
      <c r="T163" s="2" t="b">
        <f t="shared" ref="T163:T173" si="10">getText(L163)=getText(P163)</f>
        <v>1</v>
      </c>
    </row>
    <row r="164" spans="1:20" x14ac:dyDescent="0.15">
      <c r="B164" s="6"/>
      <c r="C164" s="2" t="s">
        <v>638</v>
      </c>
      <c r="D164" s="2"/>
      <c r="E164" s="3">
        <v>1</v>
      </c>
      <c r="F164" s="2">
        <v>1</v>
      </c>
      <c r="G164" s="2" t="b">
        <v>0</v>
      </c>
      <c r="H164" s="2"/>
      <c r="I164" s="3" t="e">
        <f t="shared" ref="I164:I188" si="11">TESTseparateToIntAndFrc(E164,F164,G164)</f>
        <v>#NUM!</v>
      </c>
      <c r="J164" s="2" t="str">
        <f t="shared" ref="J164:J188" si="12">TESTseparateToIntAndFrcByRef1(E164,F164,G164)</f>
        <v/>
      </c>
      <c r="K164" s="2" t="str">
        <f t="shared" ref="K164:K188" si="13">TESTseparateToIntAndFrcByRef2(E164,F164,G164)</f>
        <v/>
      </c>
      <c r="L164" s="2" t="b">
        <f t="shared" ref="L164:L188" si="14">TESTseparateToIntAndFrcByRef3(E164,F164,G164)</f>
        <v>0</v>
      </c>
      <c r="M164" s="3" t="e">
        <v>#NUM!</v>
      </c>
      <c r="N164" s="2" t="s">
        <v>45</v>
      </c>
      <c r="O164" s="2" t="s">
        <v>45</v>
      </c>
      <c r="P164" s="2" t="b">
        <v>0</v>
      </c>
      <c r="Q164" s="3" t="b">
        <f t="shared" si="7"/>
        <v>1</v>
      </c>
      <c r="R164" s="2" t="b">
        <f t="shared" si="8"/>
        <v>1</v>
      </c>
      <c r="S164" s="2" t="b">
        <f t="shared" si="9"/>
        <v>1</v>
      </c>
      <c r="T164" s="2" t="b">
        <f t="shared" si="10"/>
        <v>1</v>
      </c>
    </row>
    <row r="165" spans="1:20" x14ac:dyDescent="0.15">
      <c r="B165" s="2" t="s">
        <v>642</v>
      </c>
      <c r="C165" s="2" t="s">
        <v>643</v>
      </c>
      <c r="D165" s="2" t="s">
        <v>639</v>
      </c>
      <c r="E165" s="11" t="s">
        <v>110</v>
      </c>
      <c r="F165" s="2">
        <v>10</v>
      </c>
      <c r="G165" s="2" t="b">
        <v>0</v>
      </c>
      <c r="H165" s="2"/>
      <c r="I165" s="3">
        <f t="shared" si="11"/>
        <v>0</v>
      </c>
      <c r="J165" s="2" t="str">
        <f t="shared" si="12"/>
        <v>1</v>
      </c>
      <c r="K165" s="2" t="str">
        <f t="shared" si="13"/>
        <v/>
      </c>
      <c r="L165" s="2" t="b">
        <f t="shared" si="14"/>
        <v>0</v>
      </c>
      <c r="M165" s="3">
        <v>0</v>
      </c>
      <c r="N165" s="2" t="s">
        <v>44</v>
      </c>
      <c r="O165" s="2" t="s">
        <v>45</v>
      </c>
      <c r="P165" s="2" t="b">
        <v>0</v>
      </c>
      <c r="Q165" s="3" t="b">
        <f t="shared" ref="Q165:Q167" si="15">getText(I165)=getText(M165)</f>
        <v>1</v>
      </c>
      <c r="R165" s="2" t="b">
        <f t="shared" ref="R165:R167" si="16">getText(J165)=getText(N165)</f>
        <v>1</v>
      </c>
      <c r="S165" s="2" t="b">
        <f t="shared" ref="S165:S167" si="17">getText(K165)=getText(O165)</f>
        <v>1</v>
      </c>
      <c r="T165" s="2" t="b">
        <f t="shared" ref="T165:T167" si="18">getText(L165)=getText(P165)</f>
        <v>1</v>
      </c>
    </row>
    <row r="166" spans="1:20" x14ac:dyDescent="0.15">
      <c r="D166" t="s">
        <v>640</v>
      </c>
      <c r="E166" s="9" t="s">
        <v>409</v>
      </c>
      <c r="F166">
        <v>10</v>
      </c>
      <c r="G166" t="b">
        <v>0</v>
      </c>
      <c r="I166" s="1">
        <f t="shared" si="11"/>
        <v>0</v>
      </c>
      <c r="J166" t="str">
        <f t="shared" si="12"/>
        <v>12</v>
      </c>
      <c r="K166" t="str">
        <f t="shared" si="13"/>
        <v/>
      </c>
      <c r="L166" t="b">
        <f t="shared" si="14"/>
        <v>0</v>
      </c>
      <c r="M166" s="1">
        <v>0</v>
      </c>
      <c r="N166" t="s">
        <v>662</v>
      </c>
      <c r="O166" t="s">
        <v>45</v>
      </c>
      <c r="P166" t="b">
        <v>0</v>
      </c>
      <c r="Q166" s="1" t="b">
        <f t="shared" si="15"/>
        <v>1</v>
      </c>
      <c r="R166" t="b">
        <f t="shared" si="16"/>
        <v>1</v>
      </c>
      <c r="S166" t="b">
        <f t="shared" si="17"/>
        <v>1</v>
      </c>
      <c r="T166" t="b">
        <f t="shared" si="18"/>
        <v>1</v>
      </c>
    </row>
    <row r="167" spans="1:20" x14ac:dyDescent="0.15">
      <c r="D167" t="s">
        <v>641</v>
      </c>
      <c r="E167" s="9" t="s">
        <v>664</v>
      </c>
      <c r="F167">
        <v>10</v>
      </c>
      <c r="G167" t="b">
        <v>0</v>
      </c>
      <c r="I167" s="1">
        <f t="shared" si="11"/>
        <v>0</v>
      </c>
      <c r="J167" t="str">
        <f t="shared" si="12"/>
        <v>123</v>
      </c>
      <c r="K167" t="str">
        <f t="shared" si="13"/>
        <v/>
      </c>
      <c r="L167" t="b">
        <f t="shared" si="14"/>
        <v>0</v>
      </c>
      <c r="M167" s="1">
        <v>0</v>
      </c>
      <c r="N167" t="s">
        <v>663</v>
      </c>
      <c r="O167" t="s">
        <v>45</v>
      </c>
      <c r="P167" t="b">
        <v>0</v>
      </c>
      <c r="Q167" s="1" t="b">
        <f t="shared" si="15"/>
        <v>1</v>
      </c>
      <c r="R167" t="b">
        <f t="shared" si="16"/>
        <v>1</v>
      </c>
      <c r="S167" t="b">
        <f t="shared" si="17"/>
        <v>1</v>
      </c>
      <c r="T167" t="b">
        <f t="shared" si="18"/>
        <v>1</v>
      </c>
    </row>
    <row r="168" spans="1:20" x14ac:dyDescent="0.15">
      <c r="C168" s="2" t="s">
        <v>644</v>
      </c>
      <c r="D168" s="2" t="s">
        <v>639</v>
      </c>
      <c r="E168" s="11" t="s">
        <v>632</v>
      </c>
      <c r="F168" s="2">
        <v>10</v>
      </c>
      <c r="G168" s="2" t="b">
        <v>0</v>
      </c>
      <c r="H168" s="2"/>
      <c r="I168" s="3">
        <f t="shared" si="11"/>
        <v>0</v>
      </c>
      <c r="J168" s="2" t="str">
        <f t="shared" si="12"/>
        <v>1</v>
      </c>
      <c r="K168" s="2" t="str">
        <f t="shared" si="13"/>
        <v/>
      </c>
      <c r="L168" s="2" t="b">
        <f t="shared" si="14"/>
        <v>1</v>
      </c>
      <c r="M168" s="3">
        <v>0</v>
      </c>
      <c r="N168" s="2" t="s">
        <v>44</v>
      </c>
      <c r="O168" s="2" t="s">
        <v>45</v>
      </c>
      <c r="P168" s="2" t="b">
        <v>1</v>
      </c>
      <c r="Q168" s="3" t="b">
        <f t="shared" si="7"/>
        <v>1</v>
      </c>
      <c r="R168" s="2" t="b">
        <f t="shared" si="8"/>
        <v>1</v>
      </c>
      <c r="S168" s="2" t="b">
        <f t="shared" si="9"/>
        <v>1</v>
      </c>
      <c r="T168" s="2" t="b">
        <f t="shared" si="10"/>
        <v>1</v>
      </c>
    </row>
    <row r="169" spans="1:20" x14ac:dyDescent="0.15">
      <c r="D169" t="s">
        <v>640</v>
      </c>
      <c r="E169" s="9" t="s">
        <v>665</v>
      </c>
      <c r="F169">
        <v>10</v>
      </c>
      <c r="G169" t="b">
        <v>0</v>
      </c>
      <c r="I169" s="1">
        <f t="shared" si="11"/>
        <v>0</v>
      </c>
      <c r="J169" t="str">
        <f t="shared" si="12"/>
        <v>12</v>
      </c>
      <c r="K169" t="str">
        <f t="shared" si="13"/>
        <v/>
      </c>
      <c r="L169" t="b">
        <f t="shared" si="14"/>
        <v>1</v>
      </c>
      <c r="M169" s="1">
        <v>0</v>
      </c>
      <c r="N169" t="s">
        <v>662</v>
      </c>
      <c r="O169" t="s">
        <v>45</v>
      </c>
      <c r="P169" t="b">
        <v>1</v>
      </c>
      <c r="Q169" s="1" t="b">
        <f t="shared" si="7"/>
        <v>1</v>
      </c>
      <c r="R169" t="b">
        <f t="shared" si="8"/>
        <v>1</v>
      </c>
      <c r="S169" t="b">
        <f t="shared" si="9"/>
        <v>1</v>
      </c>
      <c r="T169" t="b">
        <f t="shared" si="10"/>
        <v>1</v>
      </c>
    </row>
    <row r="170" spans="1:20" x14ac:dyDescent="0.15">
      <c r="D170" t="s">
        <v>641</v>
      </c>
      <c r="E170" s="9" t="s">
        <v>666</v>
      </c>
      <c r="F170">
        <v>10</v>
      </c>
      <c r="G170" t="b">
        <v>0</v>
      </c>
      <c r="I170" s="1">
        <f t="shared" si="11"/>
        <v>0</v>
      </c>
      <c r="J170" t="str">
        <f t="shared" si="12"/>
        <v>123</v>
      </c>
      <c r="K170" t="str">
        <f t="shared" si="13"/>
        <v/>
      </c>
      <c r="L170" t="b">
        <f t="shared" si="14"/>
        <v>1</v>
      </c>
      <c r="M170" s="1">
        <v>0</v>
      </c>
      <c r="N170" t="s">
        <v>663</v>
      </c>
      <c r="O170" t="s">
        <v>45</v>
      </c>
      <c r="P170" t="b">
        <v>1</v>
      </c>
      <c r="Q170" s="1" t="b">
        <f t="shared" si="7"/>
        <v>1</v>
      </c>
      <c r="R170" t="b">
        <f t="shared" si="8"/>
        <v>1</v>
      </c>
      <c r="S170" t="b">
        <f t="shared" si="9"/>
        <v>1</v>
      </c>
      <c r="T170" t="b">
        <f t="shared" si="10"/>
        <v>1</v>
      </c>
    </row>
    <row r="171" spans="1:20" x14ac:dyDescent="0.15">
      <c r="B171" s="2" t="s">
        <v>667</v>
      </c>
      <c r="C171" s="2" t="s">
        <v>643</v>
      </c>
      <c r="D171" s="2" t="s">
        <v>639</v>
      </c>
      <c r="E171" s="11" t="s">
        <v>669</v>
      </c>
      <c r="F171" s="2">
        <v>10</v>
      </c>
      <c r="G171" s="2" t="b">
        <v>0</v>
      </c>
      <c r="H171" s="2"/>
      <c r="I171" s="3">
        <f t="shared" si="11"/>
        <v>0</v>
      </c>
      <c r="J171" s="2" t="str">
        <f t="shared" si="12"/>
        <v>1</v>
      </c>
      <c r="K171" s="2" t="str">
        <f t="shared" si="13"/>
        <v>2</v>
      </c>
      <c r="L171" s="2" t="b">
        <f t="shared" si="14"/>
        <v>0</v>
      </c>
      <c r="M171" s="3">
        <v>0</v>
      </c>
      <c r="N171" s="2" t="s">
        <v>44</v>
      </c>
      <c r="O171" s="2" t="s">
        <v>306</v>
      </c>
      <c r="P171" s="2" t="b">
        <v>0</v>
      </c>
      <c r="Q171" s="3" t="b">
        <f t="shared" si="7"/>
        <v>1</v>
      </c>
      <c r="R171" s="2" t="b">
        <f t="shared" si="8"/>
        <v>1</v>
      </c>
      <c r="S171" s="2" t="b">
        <f t="shared" si="9"/>
        <v>1</v>
      </c>
      <c r="T171" s="2" t="b">
        <f t="shared" si="10"/>
        <v>1</v>
      </c>
    </row>
    <row r="172" spans="1:20" x14ac:dyDescent="0.15">
      <c r="C172" t="s">
        <v>668</v>
      </c>
      <c r="D172" t="s">
        <v>640</v>
      </c>
      <c r="E172" s="9" t="s">
        <v>670</v>
      </c>
      <c r="F172">
        <v>10</v>
      </c>
      <c r="G172" t="b">
        <v>0</v>
      </c>
      <c r="I172" s="1">
        <f t="shared" si="11"/>
        <v>0</v>
      </c>
      <c r="J172" t="str">
        <f t="shared" si="12"/>
        <v>1</v>
      </c>
      <c r="K172" t="str">
        <f t="shared" si="13"/>
        <v>23</v>
      </c>
      <c r="L172" t="b">
        <f t="shared" si="14"/>
        <v>0</v>
      </c>
      <c r="M172" s="1">
        <v>0</v>
      </c>
      <c r="N172" t="s">
        <v>44</v>
      </c>
      <c r="O172" t="s">
        <v>17</v>
      </c>
      <c r="P172" t="b">
        <v>0</v>
      </c>
      <c r="Q172" s="1" t="b">
        <f t="shared" si="7"/>
        <v>1</v>
      </c>
      <c r="R172" t="b">
        <f t="shared" si="8"/>
        <v>1</v>
      </c>
      <c r="S172" t="b">
        <f t="shared" si="9"/>
        <v>1</v>
      </c>
      <c r="T172" t="b">
        <f t="shared" si="10"/>
        <v>1</v>
      </c>
    </row>
    <row r="173" spans="1:20" x14ac:dyDescent="0.15">
      <c r="D173" t="s">
        <v>641</v>
      </c>
      <c r="E173" s="9" t="s">
        <v>671</v>
      </c>
      <c r="F173">
        <v>10</v>
      </c>
      <c r="G173" t="b">
        <v>0</v>
      </c>
      <c r="I173" s="1">
        <f t="shared" si="11"/>
        <v>0</v>
      </c>
      <c r="J173" t="str">
        <f t="shared" si="12"/>
        <v>1</v>
      </c>
      <c r="K173" t="str">
        <f t="shared" si="13"/>
        <v>234</v>
      </c>
      <c r="L173" t="b">
        <f t="shared" si="14"/>
        <v>0</v>
      </c>
      <c r="M173" s="1">
        <v>0</v>
      </c>
      <c r="N173" t="s">
        <v>44</v>
      </c>
      <c r="O173" t="s">
        <v>672</v>
      </c>
      <c r="P173" t="b">
        <v>0</v>
      </c>
      <c r="Q173" s="1" t="b">
        <f t="shared" si="7"/>
        <v>1</v>
      </c>
      <c r="R173" t="b">
        <f t="shared" si="8"/>
        <v>1</v>
      </c>
      <c r="S173" t="b">
        <f t="shared" si="9"/>
        <v>1</v>
      </c>
      <c r="T173" t="b">
        <f t="shared" si="10"/>
        <v>1</v>
      </c>
    </row>
    <row r="174" spans="1:20" x14ac:dyDescent="0.15">
      <c r="C174" s="2" t="s">
        <v>643</v>
      </c>
      <c r="D174" s="2" t="s">
        <v>639</v>
      </c>
      <c r="E174" s="11" t="s">
        <v>675</v>
      </c>
      <c r="F174" s="2">
        <v>10</v>
      </c>
      <c r="G174" s="2" t="b">
        <v>0</v>
      </c>
      <c r="H174" s="2"/>
      <c r="I174" s="3">
        <f t="shared" si="11"/>
        <v>0</v>
      </c>
      <c r="J174" s="2" t="str">
        <f t="shared" si="12"/>
        <v>12</v>
      </c>
      <c r="K174" s="2" t="str">
        <f t="shared" si="13"/>
        <v>3</v>
      </c>
      <c r="L174" s="2" t="b">
        <f t="shared" si="14"/>
        <v>0</v>
      </c>
      <c r="M174" s="3">
        <v>0</v>
      </c>
      <c r="N174" s="2" t="s">
        <v>662</v>
      </c>
      <c r="O174" s="2" t="s">
        <v>80</v>
      </c>
      <c r="P174" s="2" t="b">
        <v>0</v>
      </c>
      <c r="Q174" s="3" t="b">
        <f t="shared" ref="Q174:Q182" si="19">getText(I174)=getText(M174)</f>
        <v>1</v>
      </c>
      <c r="R174" s="2" t="b">
        <f t="shared" ref="R174:R182" si="20">getText(J174)=getText(N174)</f>
        <v>1</v>
      </c>
      <c r="S174" s="2" t="b">
        <f t="shared" ref="S174:S182" si="21">getText(K174)=getText(O174)</f>
        <v>1</v>
      </c>
      <c r="T174" s="2" t="b">
        <f t="shared" ref="T174:T182" si="22">getText(L174)=getText(P174)</f>
        <v>1</v>
      </c>
    </row>
    <row r="175" spans="1:20" x14ac:dyDescent="0.15">
      <c r="C175" t="s">
        <v>673</v>
      </c>
      <c r="D175" t="s">
        <v>640</v>
      </c>
      <c r="E175" s="9" t="s">
        <v>676</v>
      </c>
      <c r="F175">
        <v>10</v>
      </c>
      <c r="G175" t="b">
        <v>0</v>
      </c>
      <c r="I175" s="1">
        <f t="shared" si="11"/>
        <v>0</v>
      </c>
      <c r="J175" t="str">
        <f t="shared" si="12"/>
        <v>12</v>
      </c>
      <c r="K175" t="str">
        <f t="shared" si="13"/>
        <v>34</v>
      </c>
      <c r="L175" t="b">
        <f t="shared" si="14"/>
        <v>0</v>
      </c>
      <c r="M175" s="1">
        <v>0</v>
      </c>
      <c r="N175" t="s">
        <v>662</v>
      </c>
      <c r="O175" t="s">
        <v>678</v>
      </c>
      <c r="P175" t="b">
        <v>0</v>
      </c>
      <c r="Q175" s="1" t="b">
        <f t="shared" si="19"/>
        <v>1</v>
      </c>
      <c r="R175" t="b">
        <f t="shared" si="20"/>
        <v>1</v>
      </c>
      <c r="S175" t="b">
        <f t="shared" si="21"/>
        <v>1</v>
      </c>
      <c r="T175" t="b">
        <f t="shared" si="22"/>
        <v>1</v>
      </c>
    </row>
    <row r="176" spans="1:20" x14ac:dyDescent="0.15">
      <c r="D176" t="s">
        <v>641</v>
      </c>
      <c r="E176" s="9" t="s">
        <v>677</v>
      </c>
      <c r="F176">
        <v>10</v>
      </c>
      <c r="G176" t="b">
        <v>0</v>
      </c>
      <c r="I176" s="1">
        <f t="shared" si="11"/>
        <v>0</v>
      </c>
      <c r="J176" t="str">
        <f t="shared" si="12"/>
        <v>12</v>
      </c>
      <c r="K176" t="str">
        <f t="shared" si="13"/>
        <v>345</v>
      </c>
      <c r="L176" t="b">
        <f t="shared" si="14"/>
        <v>0</v>
      </c>
      <c r="M176" s="1">
        <v>0</v>
      </c>
      <c r="N176" t="s">
        <v>662</v>
      </c>
      <c r="O176" t="s">
        <v>679</v>
      </c>
      <c r="P176" t="b">
        <v>0</v>
      </c>
      <c r="Q176" s="1" t="b">
        <f t="shared" si="19"/>
        <v>1</v>
      </c>
      <c r="R176" t="b">
        <f t="shared" si="20"/>
        <v>1</v>
      </c>
      <c r="S176" t="b">
        <f t="shared" si="21"/>
        <v>1</v>
      </c>
      <c r="T176" t="b">
        <f t="shared" si="22"/>
        <v>1</v>
      </c>
    </row>
    <row r="177" spans="2:20" x14ac:dyDescent="0.15">
      <c r="C177" s="2" t="s">
        <v>643</v>
      </c>
      <c r="D177" s="2" t="s">
        <v>639</v>
      </c>
      <c r="E177" s="11" t="s">
        <v>680</v>
      </c>
      <c r="F177" s="2">
        <v>10</v>
      </c>
      <c r="G177" s="2" t="b">
        <v>0</v>
      </c>
      <c r="H177" s="2"/>
      <c r="I177" s="3">
        <f t="shared" si="11"/>
        <v>0</v>
      </c>
      <c r="J177" s="2" t="str">
        <f t="shared" si="12"/>
        <v>123</v>
      </c>
      <c r="K177" s="2" t="str">
        <f t="shared" si="13"/>
        <v>4</v>
      </c>
      <c r="L177" s="2" t="b">
        <f t="shared" si="14"/>
        <v>0</v>
      </c>
      <c r="M177" s="3">
        <v>0</v>
      </c>
      <c r="N177" s="2" t="s">
        <v>663</v>
      </c>
      <c r="O177" s="2" t="s">
        <v>313</v>
      </c>
      <c r="P177" s="2" t="b">
        <v>0</v>
      </c>
      <c r="Q177" s="3" t="b">
        <f t="shared" si="19"/>
        <v>1</v>
      </c>
      <c r="R177" s="2" t="b">
        <f t="shared" si="20"/>
        <v>1</v>
      </c>
      <c r="S177" s="2" t="b">
        <f t="shared" si="21"/>
        <v>1</v>
      </c>
      <c r="T177" s="2" t="b">
        <f t="shared" si="22"/>
        <v>1</v>
      </c>
    </row>
    <row r="178" spans="2:20" x14ac:dyDescent="0.15">
      <c r="C178" t="s">
        <v>674</v>
      </c>
      <c r="D178" t="s">
        <v>640</v>
      </c>
      <c r="E178" s="9" t="s">
        <v>681</v>
      </c>
      <c r="F178">
        <v>10</v>
      </c>
      <c r="G178" t="b">
        <v>0</v>
      </c>
      <c r="I178" s="1">
        <f t="shared" si="11"/>
        <v>0</v>
      </c>
      <c r="J178" t="str">
        <f t="shared" si="12"/>
        <v>123</v>
      </c>
      <c r="K178" t="str">
        <f t="shared" si="13"/>
        <v>45</v>
      </c>
      <c r="L178" t="b">
        <f t="shared" si="14"/>
        <v>0</v>
      </c>
      <c r="M178" s="1">
        <v>0</v>
      </c>
      <c r="N178" t="s">
        <v>663</v>
      </c>
      <c r="O178" t="s">
        <v>683</v>
      </c>
      <c r="P178" t="b">
        <v>0</v>
      </c>
      <c r="Q178" s="1" t="b">
        <f t="shared" si="19"/>
        <v>1</v>
      </c>
      <c r="R178" t="b">
        <f t="shared" si="20"/>
        <v>1</v>
      </c>
      <c r="S178" t="b">
        <f t="shared" si="21"/>
        <v>1</v>
      </c>
      <c r="T178" t="b">
        <f t="shared" si="22"/>
        <v>1</v>
      </c>
    </row>
    <row r="179" spans="2:20" x14ac:dyDescent="0.15">
      <c r="D179" t="s">
        <v>641</v>
      </c>
      <c r="E179" s="9" t="s">
        <v>682</v>
      </c>
      <c r="F179">
        <v>10</v>
      </c>
      <c r="G179" t="b">
        <v>0</v>
      </c>
      <c r="I179" s="1">
        <f t="shared" si="11"/>
        <v>0</v>
      </c>
      <c r="J179" t="str">
        <f t="shared" si="12"/>
        <v>123</v>
      </c>
      <c r="K179" t="str">
        <f t="shared" si="13"/>
        <v>456</v>
      </c>
      <c r="L179" t="b">
        <f t="shared" si="14"/>
        <v>0</v>
      </c>
      <c r="M179" s="1">
        <v>0</v>
      </c>
      <c r="N179" t="s">
        <v>663</v>
      </c>
      <c r="O179" t="s">
        <v>684</v>
      </c>
      <c r="P179" t="b">
        <v>0</v>
      </c>
      <c r="Q179" s="1" t="b">
        <f t="shared" si="19"/>
        <v>1</v>
      </c>
      <c r="R179" t="b">
        <f t="shared" si="20"/>
        <v>1</v>
      </c>
      <c r="S179" t="b">
        <f t="shared" si="21"/>
        <v>1</v>
      </c>
      <c r="T179" t="b">
        <f t="shared" si="22"/>
        <v>1</v>
      </c>
    </row>
    <row r="180" spans="2:20" x14ac:dyDescent="0.15">
      <c r="C180" s="2" t="s">
        <v>644</v>
      </c>
      <c r="D180" s="2" t="s">
        <v>639</v>
      </c>
      <c r="E180" s="11" t="s">
        <v>685</v>
      </c>
      <c r="F180" s="2">
        <v>10</v>
      </c>
      <c r="G180" s="2" t="b">
        <v>0</v>
      </c>
      <c r="H180" s="2"/>
      <c r="I180" s="3">
        <f t="shared" si="11"/>
        <v>0</v>
      </c>
      <c r="J180" s="2" t="str">
        <f t="shared" si="12"/>
        <v>1</v>
      </c>
      <c r="K180" s="2" t="str">
        <f t="shared" si="13"/>
        <v>2</v>
      </c>
      <c r="L180" s="2" t="b">
        <f t="shared" si="14"/>
        <v>1</v>
      </c>
      <c r="M180" s="3">
        <v>0</v>
      </c>
      <c r="N180" s="2" t="s">
        <v>44</v>
      </c>
      <c r="O180" s="2" t="s">
        <v>306</v>
      </c>
      <c r="P180" s="2" t="b">
        <v>1</v>
      </c>
      <c r="Q180" s="3" t="b">
        <f t="shared" si="19"/>
        <v>1</v>
      </c>
      <c r="R180" s="2" t="b">
        <f t="shared" si="20"/>
        <v>1</v>
      </c>
      <c r="S180" s="2" t="b">
        <f t="shared" si="21"/>
        <v>1</v>
      </c>
      <c r="T180" s="2" t="b">
        <f t="shared" si="22"/>
        <v>1</v>
      </c>
    </row>
    <row r="181" spans="2:20" x14ac:dyDescent="0.15">
      <c r="C181" t="s">
        <v>668</v>
      </c>
      <c r="D181" t="s">
        <v>640</v>
      </c>
      <c r="E181" s="9" t="s">
        <v>686</v>
      </c>
      <c r="F181">
        <v>10</v>
      </c>
      <c r="G181" t="b">
        <v>0</v>
      </c>
      <c r="I181" s="1">
        <f t="shared" si="11"/>
        <v>0</v>
      </c>
      <c r="J181" t="str">
        <f t="shared" si="12"/>
        <v>1</v>
      </c>
      <c r="K181" t="str">
        <f t="shared" si="13"/>
        <v>23</v>
      </c>
      <c r="L181" t="b">
        <f t="shared" si="14"/>
        <v>1</v>
      </c>
      <c r="M181" s="1">
        <v>0</v>
      </c>
      <c r="N181" t="s">
        <v>44</v>
      </c>
      <c r="O181" t="s">
        <v>17</v>
      </c>
      <c r="P181" t="b">
        <v>1</v>
      </c>
      <c r="Q181" s="1" t="b">
        <f t="shared" si="19"/>
        <v>1</v>
      </c>
      <c r="R181" t="b">
        <f t="shared" si="20"/>
        <v>1</v>
      </c>
      <c r="S181" t="b">
        <f t="shared" si="21"/>
        <v>1</v>
      </c>
      <c r="T181" t="b">
        <f t="shared" si="22"/>
        <v>1</v>
      </c>
    </row>
    <row r="182" spans="2:20" x14ac:dyDescent="0.15">
      <c r="D182" t="s">
        <v>641</v>
      </c>
      <c r="E182" s="9" t="s">
        <v>687</v>
      </c>
      <c r="F182">
        <v>10</v>
      </c>
      <c r="G182" t="b">
        <v>0</v>
      </c>
      <c r="I182" s="1">
        <f t="shared" si="11"/>
        <v>0</v>
      </c>
      <c r="J182" t="str">
        <f t="shared" si="12"/>
        <v>1</v>
      </c>
      <c r="K182" t="str">
        <f t="shared" si="13"/>
        <v>234</v>
      </c>
      <c r="L182" t="b">
        <f t="shared" si="14"/>
        <v>1</v>
      </c>
      <c r="M182" s="1">
        <v>0</v>
      </c>
      <c r="N182" t="s">
        <v>44</v>
      </c>
      <c r="O182" t="s">
        <v>672</v>
      </c>
      <c r="P182" t="b">
        <v>1</v>
      </c>
      <c r="Q182" s="1" t="b">
        <f t="shared" si="19"/>
        <v>1</v>
      </c>
      <c r="R182" t="b">
        <f t="shared" si="20"/>
        <v>1</v>
      </c>
      <c r="S182" t="b">
        <f t="shared" si="21"/>
        <v>1</v>
      </c>
      <c r="T182" t="b">
        <f t="shared" si="22"/>
        <v>1</v>
      </c>
    </row>
    <row r="183" spans="2:20" x14ac:dyDescent="0.15">
      <c r="C183" s="2" t="s">
        <v>644</v>
      </c>
      <c r="D183" s="2" t="s">
        <v>639</v>
      </c>
      <c r="E183" s="11" t="s">
        <v>688</v>
      </c>
      <c r="F183" s="2">
        <v>10</v>
      </c>
      <c r="G183" s="2" t="b">
        <v>0</v>
      </c>
      <c r="H183" s="2"/>
      <c r="I183" s="3">
        <f t="shared" si="11"/>
        <v>0</v>
      </c>
      <c r="J183" s="2" t="str">
        <f t="shared" si="12"/>
        <v>12</v>
      </c>
      <c r="K183" s="2" t="str">
        <f t="shared" si="13"/>
        <v>3</v>
      </c>
      <c r="L183" s="2" t="b">
        <f t="shared" si="14"/>
        <v>1</v>
      </c>
      <c r="M183" s="3">
        <v>0</v>
      </c>
      <c r="N183" s="2" t="s">
        <v>662</v>
      </c>
      <c r="O183" s="2" t="s">
        <v>80</v>
      </c>
      <c r="P183" s="2" t="b">
        <v>1</v>
      </c>
      <c r="Q183" s="3" t="b">
        <f t="shared" ref="Q183:Q188" si="23">getText(I183)=getText(M183)</f>
        <v>1</v>
      </c>
      <c r="R183" s="2" t="b">
        <f t="shared" ref="R183:R188" si="24">getText(J183)=getText(N183)</f>
        <v>1</v>
      </c>
      <c r="S183" s="2" t="b">
        <f t="shared" ref="S183:S188" si="25">getText(K183)=getText(O183)</f>
        <v>1</v>
      </c>
      <c r="T183" s="2" t="b">
        <f t="shared" ref="T183:T188" si="26">getText(L183)=getText(P183)</f>
        <v>1</v>
      </c>
    </row>
    <row r="184" spans="2:20" x14ac:dyDescent="0.15">
      <c r="C184" t="s">
        <v>673</v>
      </c>
      <c r="D184" t="s">
        <v>640</v>
      </c>
      <c r="E184" s="9" t="s">
        <v>689</v>
      </c>
      <c r="F184">
        <v>10</v>
      </c>
      <c r="G184" t="b">
        <v>0</v>
      </c>
      <c r="I184" s="1">
        <f t="shared" si="11"/>
        <v>0</v>
      </c>
      <c r="J184" t="str">
        <f t="shared" si="12"/>
        <v>12</v>
      </c>
      <c r="K184" t="str">
        <f t="shared" si="13"/>
        <v>34</v>
      </c>
      <c r="L184" t="b">
        <f t="shared" si="14"/>
        <v>1</v>
      </c>
      <c r="M184" s="1">
        <v>0</v>
      </c>
      <c r="N184" t="s">
        <v>662</v>
      </c>
      <c r="O184" t="s">
        <v>678</v>
      </c>
      <c r="P184" t="b">
        <v>1</v>
      </c>
      <c r="Q184" s="1" t="b">
        <f t="shared" si="23"/>
        <v>1</v>
      </c>
      <c r="R184" t="b">
        <f t="shared" si="24"/>
        <v>1</v>
      </c>
      <c r="S184" t="b">
        <f t="shared" si="25"/>
        <v>1</v>
      </c>
      <c r="T184" t="b">
        <f t="shared" si="26"/>
        <v>1</v>
      </c>
    </row>
    <row r="185" spans="2:20" x14ac:dyDescent="0.15">
      <c r="D185" t="s">
        <v>641</v>
      </c>
      <c r="E185" s="9" t="s">
        <v>690</v>
      </c>
      <c r="F185">
        <v>10</v>
      </c>
      <c r="G185" t="b">
        <v>0</v>
      </c>
      <c r="I185" s="1">
        <f t="shared" si="11"/>
        <v>0</v>
      </c>
      <c r="J185" t="str">
        <f t="shared" si="12"/>
        <v>12</v>
      </c>
      <c r="K185" t="str">
        <f t="shared" si="13"/>
        <v>345</v>
      </c>
      <c r="L185" t="b">
        <f t="shared" si="14"/>
        <v>1</v>
      </c>
      <c r="M185" s="1">
        <v>0</v>
      </c>
      <c r="N185" t="s">
        <v>662</v>
      </c>
      <c r="O185" t="s">
        <v>679</v>
      </c>
      <c r="P185" t="b">
        <v>1</v>
      </c>
      <c r="Q185" s="1" t="b">
        <f t="shared" si="23"/>
        <v>1</v>
      </c>
      <c r="R185" t="b">
        <f t="shared" si="24"/>
        <v>1</v>
      </c>
      <c r="S185" t="b">
        <f t="shared" si="25"/>
        <v>1</v>
      </c>
      <c r="T185" t="b">
        <f t="shared" si="26"/>
        <v>1</v>
      </c>
    </row>
    <row r="186" spans="2:20" x14ac:dyDescent="0.15">
      <c r="C186" s="2" t="s">
        <v>644</v>
      </c>
      <c r="D186" s="2" t="s">
        <v>639</v>
      </c>
      <c r="E186" s="11" t="s">
        <v>691</v>
      </c>
      <c r="F186" s="2">
        <v>10</v>
      </c>
      <c r="G186" s="2" t="b">
        <v>0</v>
      </c>
      <c r="H186" s="2"/>
      <c r="I186" s="3">
        <f t="shared" si="11"/>
        <v>0</v>
      </c>
      <c r="J186" s="2" t="str">
        <f t="shared" si="12"/>
        <v>123</v>
      </c>
      <c r="K186" s="2" t="str">
        <f t="shared" si="13"/>
        <v>4</v>
      </c>
      <c r="L186" s="2" t="b">
        <f t="shared" si="14"/>
        <v>1</v>
      </c>
      <c r="M186" s="3">
        <v>0</v>
      </c>
      <c r="N186" s="2" t="s">
        <v>663</v>
      </c>
      <c r="O186" s="2" t="s">
        <v>313</v>
      </c>
      <c r="P186" s="2" t="b">
        <v>1</v>
      </c>
      <c r="Q186" s="3" t="b">
        <f t="shared" si="23"/>
        <v>1</v>
      </c>
      <c r="R186" s="2" t="b">
        <f t="shared" si="24"/>
        <v>1</v>
      </c>
      <c r="S186" s="2" t="b">
        <f t="shared" si="25"/>
        <v>1</v>
      </c>
      <c r="T186" s="2" t="b">
        <f t="shared" si="26"/>
        <v>1</v>
      </c>
    </row>
    <row r="187" spans="2:20" x14ac:dyDescent="0.15">
      <c r="C187" t="s">
        <v>674</v>
      </c>
      <c r="D187" t="s">
        <v>640</v>
      </c>
      <c r="E187" s="9" t="s">
        <v>692</v>
      </c>
      <c r="F187">
        <v>10</v>
      </c>
      <c r="G187" t="b">
        <v>0</v>
      </c>
      <c r="I187" s="1">
        <f t="shared" si="11"/>
        <v>0</v>
      </c>
      <c r="J187" t="str">
        <f t="shared" si="12"/>
        <v>123</v>
      </c>
      <c r="K187" t="str">
        <f t="shared" si="13"/>
        <v>45</v>
      </c>
      <c r="L187" t="b">
        <f t="shared" si="14"/>
        <v>1</v>
      </c>
      <c r="M187" s="1">
        <v>0</v>
      </c>
      <c r="N187" t="s">
        <v>663</v>
      </c>
      <c r="O187" t="s">
        <v>683</v>
      </c>
      <c r="P187" t="b">
        <v>1</v>
      </c>
      <c r="Q187" s="1" t="b">
        <f t="shared" si="23"/>
        <v>1</v>
      </c>
      <c r="R187" t="b">
        <f t="shared" si="24"/>
        <v>1</v>
      </c>
      <c r="S187" t="b">
        <f t="shared" si="25"/>
        <v>1</v>
      </c>
      <c r="T187" t="b">
        <f t="shared" si="26"/>
        <v>1</v>
      </c>
    </row>
    <row r="188" spans="2:20" x14ac:dyDescent="0.15">
      <c r="D188" t="s">
        <v>641</v>
      </c>
      <c r="E188" s="9" t="s">
        <v>693</v>
      </c>
      <c r="F188">
        <v>10</v>
      </c>
      <c r="G188" t="b">
        <v>0</v>
      </c>
      <c r="I188" s="1">
        <f t="shared" si="11"/>
        <v>0</v>
      </c>
      <c r="J188" t="str">
        <f t="shared" si="12"/>
        <v>123</v>
      </c>
      <c r="K188" t="str">
        <f t="shared" si="13"/>
        <v>456</v>
      </c>
      <c r="L188" t="b">
        <f t="shared" si="14"/>
        <v>1</v>
      </c>
      <c r="M188" s="1">
        <v>0</v>
      </c>
      <c r="N188" t="s">
        <v>663</v>
      </c>
      <c r="O188" t="s">
        <v>684</v>
      </c>
      <c r="P188" t="b">
        <v>1</v>
      </c>
      <c r="Q188" s="1" t="b">
        <f t="shared" si="23"/>
        <v>1</v>
      </c>
      <c r="R188" t="b">
        <f t="shared" si="24"/>
        <v>1</v>
      </c>
      <c r="S188" t="b">
        <f t="shared" si="25"/>
        <v>1</v>
      </c>
      <c r="T188" t="b">
        <f t="shared" si="26"/>
        <v>1</v>
      </c>
    </row>
    <row r="189" spans="2:20" x14ac:dyDescent="0.15">
      <c r="B189" s="2" t="s">
        <v>694</v>
      </c>
      <c r="C189" s="2" t="s">
        <v>695</v>
      </c>
      <c r="D189" s="2"/>
      <c r="E189" s="11" t="s">
        <v>697</v>
      </c>
      <c r="F189" s="2">
        <v>10</v>
      </c>
      <c r="G189" s="2" t="b">
        <v>0</v>
      </c>
      <c r="H189" s="2"/>
      <c r="I189" s="3">
        <f t="shared" ref="I189:I192" si="27">TESTseparateToIntAndFrc(E189,F189,G189)</f>
        <v>0</v>
      </c>
      <c r="J189" s="2" t="str">
        <f t="shared" ref="J189:J192" si="28">TESTseparateToIntAndFrcByRef1(E189,F189,G189)</f>
        <v>001</v>
      </c>
      <c r="K189" s="2" t="str">
        <f t="shared" ref="K189:K192" si="29">TESTseparateToIntAndFrcByRef2(E189,F189,G189)</f>
        <v>100</v>
      </c>
      <c r="L189" s="2" t="b">
        <f t="shared" ref="L189:L192" si="30">TESTseparateToIntAndFrcByRef3(E189,F189,G189)</f>
        <v>0</v>
      </c>
      <c r="M189" s="3">
        <v>0</v>
      </c>
      <c r="N189" s="2" t="s">
        <v>81</v>
      </c>
      <c r="O189" s="2" t="s">
        <v>21</v>
      </c>
      <c r="P189" s="2" t="b">
        <v>0</v>
      </c>
      <c r="Q189" s="3" t="b">
        <f t="shared" ref="Q189:Q193" si="31">getText(I189)=getText(M189)</f>
        <v>1</v>
      </c>
      <c r="R189" s="2" t="b">
        <f t="shared" ref="R189:R193" si="32">getText(J189)=getText(N189)</f>
        <v>1</v>
      </c>
      <c r="S189" s="2" t="b">
        <f t="shared" ref="S189:S193" si="33">getText(K189)=getText(O189)</f>
        <v>1</v>
      </c>
      <c r="T189" s="2" t="b">
        <f t="shared" ref="T189:T193" si="34">getText(L189)=getText(P189)</f>
        <v>1</v>
      </c>
    </row>
    <row r="190" spans="2:20" x14ac:dyDescent="0.15">
      <c r="C190" t="s">
        <v>696</v>
      </c>
      <c r="E190" s="9" t="s">
        <v>697</v>
      </c>
      <c r="F190">
        <v>10</v>
      </c>
      <c r="G190" t="b">
        <v>1</v>
      </c>
      <c r="I190" s="1">
        <f t="shared" si="27"/>
        <v>0</v>
      </c>
      <c r="J190" t="str">
        <f t="shared" si="28"/>
        <v>1</v>
      </c>
      <c r="K190" t="str">
        <f t="shared" si="29"/>
        <v>1</v>
      </c>
      <c r="L190" t="b">
        <f t="shared" si="30"/>
        <v>0</v>
      </c>
      <c r="M190" s="1">
        <v>0</v>
      </c>
      <c r="N190" t="s">
        <v>44</v>
      </c>
      <c r="O190" t="s">
        <v>44</v>
      </c>
      <c r="P190" t="b">
        <v>0</v>
      </c>
      <c r="Q190" s="1" t="b">
        <f t="shared" si="31"/>
        <v>1</v>
      </c>
      <c r="R190" t="b">
        <f t="shared" si="32"/>
        <v>1</v>
      </c>
      <c r="S190" t="b">
        <f t="shared" si="33"/>
        <v>1</v>
      </c>
      <c r="T190" t="b">
        <f t="shared" si="34"/>
        <v>1</v>
      </c>
    </row>
    <row r="191" spans="2:20" x14ac:dyDescent="0.15">
      <c r="C191" t="s">
        <v>698</v>
      </c>
      <c r="E191" s="9" t="s">
        <v>699</v>
      </c>
      <c r="F191">
        <v>10</v>
      </c>
      <c r="G191" t="b">
        <v>1</v>
      </c>
      <c r="I191" s="1">
        <f t="shared" si="27"/>
        <v>0</v>
      </c>
      <c r="J191" t="str">
        <f t="shared" si="28"/>
        <v>0</v>
      </c>
      <c r="K191" t="str">
        <f t="shared" si="29"/>
        <v>1</v>
      </c>
      <c r="L191" t="b">
        <f t="shared" si="30"/>
        <v>0</v>
      </c>
      <c r="M191" s="1">
        <v>0</v>
      </c>
      <c r="N191" t="s">
        <v>14</v>
      </c>
      <c r="O191" t="s">
        <v>44</v>
      </c>
      <c r="P191" t="b">
        <v>0</v>
      </c>
      <c r="Q191" s="1" t="b">
        <f t="shared" si="31"/>
        <v>1</v>
      </c>
      <c r="R191" t="b">
        <f t="shared" si="32"/>
        <v>1</v>
      </c>
      <c r="S191" t="b">
        <f t="shared" si="33"/>
        <v>1</v>
      </c>
      <c r="T191" t="b">
        <f t="shared" si="34"/>
        <v>1</v>
      </c>
    </row>
    <row r="192" spans="2:20" x14ac:dyDescent="0.15">
      <c r="C192" t="s">
        <v>700</v>
      </c>
      <c r="E192" s="9" t="s">
        <v>702</v>
      </c>
      <c r="F192">
        <v>10</v>
      </c>
      <c r="G192" t="b">
        <v>1</v>
      </c>
      <c r="I192" s="1">
        <f t="shared" si="27"/>
        <v>0</v>
      </c>
      <c r="J192" t="str">
        <f t="shared" si="28"/>
        <v>1</v>
      </c>
      <c r="K192" t="str">
        <f t="shared" si="29"/>
        <v/>
      </c>
      <c r="L192" t="b">
        <f t="shared" si="30"/>
        <v>0</v>
      </c>
      <c r="M192" s="1">
        <v>0</v>
      </c>
      <c r="N192" t="s">
        <v>44</v>
      </c>
      <c r="O192" t="s">
        <v>45</v>
      </c>
      <c r="P192" t="b">
        <v>0</v>
      </c>
      <c r="Q192" s="1" t="b">
        <f t="shared" si="31"/>
        <v>1</v>
      </c>
      <c r="R192" t="b">
        <f t="shared" si="32"/>
        <v>1</v>
      </c>
      <c r="S192" t="b">
        <f t="shared" si="33"/>
        <v>1</v>
      </c>
      <c r="T192" t="b">
        <f t="shared" si="34"/>
        <v>1</v>
      </c>
    </row>
    <row r="193" spans="1:20" x14ac:dyDescent="0.15">
      <c r="C193" t="s">
        <v>701</v>
      </c>
      <c r="E193" s="9" t="s">
        <v>703</v>
      </c>
      <c r="F193">
        <v>10</v>
      </c>
      <c r="G193" t="b">
        <v>1</v>
      </c>
      <c r="I193" s="1">
        <f t="shared" ref="I193" si="35">TESTseparateToIntAndFrc(E193,F193,G193)</f>
        <v>0</v>
      </c>
      <c r="J193" t="str">
        <f t="shared" ref="J193" si="36">TESTseparateToIntAndFrcByRef1(E193,F193,G193)</f>
        <v>0</v>
      </c>
      <c r="K193" t="str">
        <f t="shared" ref="K193" si="37">TESTseparateToIntAndFrcByRef2(E193,F193,G193)</f>
        <v/>
      </c>
      <c r="L193" t="b">
        <f t="shared" ref="L193" si="38">TESTseparateToIntAndFrcByRef3(E193,F193,G193)</f>
        <v>0</v>
      </c>
      <c r="M193" s="1">
        <v>0</v>
      </c>
      <c r="N193" t="s">
        <v>14</v>
      </c>
      <c r="O193" t="s">
        <v>45</v>
      </c>
      <c r="P193" t="b">
        <v>0</v>
      </c>
      <c r="Q193" s="1" t="b">
        <f t="shared" si="31"/>
        <v>1</v>
      </c>
      <c r="R193" t="b">
        <f t="shared" si="32"/>
        <v>1</v>
      </c>
      <c r="S193" t="b">
        <f t="shared" si="33"/>
        <v>1</v>
      </c>
      <c r="T193" t="b">
        <f t="shared" si="34"/>
        <v>1</v>
      </c>
    </row>
    <row r="194" spans="1:20" s="2" customFormat="1" x14ac:dyDescent="0.15">
      <c r="A194" s="2" t="s">
        <v>928</v>
      </c>
      <c r="B194" s="2" t="s">
        <v>577</v>
      </c>
      <c r="D194" s="2" t="s">
        <v>570</v>
      </c>
      <c r="E194" s="3">
        <v>1</v>
      </c>
      <c r="F194" s="2">
        <v>1</v>
      </c>
      <c r="I194" s="3">
        <f>TESTcheckBaseNNumber(E194,F194)</f>
        <v>0</v>
      </c>
      <c r="J194" s="2" t="b">
        <f>TESTcheckBaseNNumberByRef1(E194,F194)</f>
        <v>0</v>
      </c>
      <c r="K194" s="2">
        <f>TESTcheckBaseNNumberByRef2(E194,F194)</f>
        <v>0</v>
      </c>
      <c r="L194" s="2" t="e">
        <f>TESTcheckBaseNNumberByRef3(E194,F194)</f>
        <v>#NUM!</v>
      </c>
      <c r="M194" s="3">
        <v>0</v>
      </c>
      <c r="N194" s="2" t="b">
        <v>0</v>
      </c>
      <c r="O194" s="2">
        <v>0</v>
      </c>
      <c r="P194" s="2" t="e">
        <v>#NUM!</v>
      </c>
      <c r="Q194" s="3" t="b">
        <f t="shared" ref="Q194:R198" si="39">getText(I194)=getText(M194)</f>
        <v>1</v>
      </c>
      <c r="R194" s="2" t="b">
        <f t="shared" si="39"/>
        <v>1</v>
      </c>
      <c r="S194" s="2" t="b">
        <f t="shared" ref="S194:T198" si="40">getText(K194)=getText(O194)</f>
        <v>1</v>
      </c>
      <c r="T194" s="2" t="b">
        <f t="shared" si="40"/>
        <v>1</v>
      </c>
    </row>
    <row r="195" spans="1:20" x14ac:dyDescent="0.15">
      <c r="D195" t="s">
        <v>571</v>
      </c>
      <c r="E195" s="1">
        <v>1</v>
      </c>
      <c r="F195">
        <v>2</v>
      </c>
      <c r="I195" s="1">
        <f>TESTcheckBaseNNumber(E195,F195)</f>
        <v>2</v>
      </c>
      <c r="J195" t="b">
        <f>TESTcheckBaseNNumberByRef1(E195,F195)</f>
        <v>0</v>
      </c>
      <c r="K195">
        <f>TESTcheckBaseNNumberByRef2(E195,F195)</f>
        <v>0</v>
      </c>
      <c r="L195">
        <f>TESTcheckBaseNNumberByRef3(E195,F195)</f>
        <v>0</v>
      </c>
      <c r="M195" s="1">
        <v>2</v>
      </c>
      <c r="N195" t="b">
        <v>0</v>
      </c>
      <c r="O195">
        <v>0</v>
      </c>
      <c r="P195">
        <v>0</v>
      </c>
      <c r="Q195" s="1" t="b">
        <f t="shared" si="39"/>
        <v>1</v>
      </c>
      <c r="R195" t="b">
        <f t="shared" si="39"/>
        <v>1</v>
      </c>
      <c r="S195" t="b">
        <f t="shared" si="40"/>
        <v>1</v>
      </c>
      <c r="T195" t="b">
        <f t="shared" si="40"/>
        <v>1</v>
      </c>
    </row>
    <row r="196" spans="1:20" x14ac:dyDescent="0.15">
      <c r="D196" t="s">
        <v>572</v>
      </c>
      <c r="E196" s="1">
        <v>1</v>
      </c>
      <c r="F196">
        <v>10</v>
      </c>
      <c r="I196" s="1">
        <f>TESTcheckBaseNNumber(E196,F196)</f>
        <v>2</v>
      </c>
      <c r="J196" t="b">
        <f>TESTcheckBaseNNumberByRef1(E196,F196)</f>
        <v>0</v>
      </c>
      <c r="K196">
        <f>TESTcheckBaseNNumberByRef2(E196,F196)</f>
        <v>0</v>
      </c>
      <c r="L196">
        <f>TESTcheckBaseNNumberByRef3(E196,F196)</f>
        <v>0</v>
      </c>
      <c r="M196" s="1">
        <v>2</v>
      </c>
      <c r="N196" t="b">
        <v>0</v>
      </c>
      <c r="O196">
        <v>0</v>
      </c>
      <c r="P196">
        <v>0</v>
      </c>
      <c r="Q196" s="1" t="b">
        <f t="shared" si="39"/>
        <v>1</v>
      </c>
      <c r="R196" t="b">
        <f t="shared" si="39"/>
        <v>1</v>
      </c>
      <c r="S196" t="b">
        <f t="shared" si="40"/>
        <v>1</v>
      </c>
      <c r="T196" t="b">
        <f t="shared" si="40"/>
        <v>1</v>
      </c>
    </row>
    <row r="197" spans="1:20" x14ac:dyDescent="0.15">
      <c r="D197" t="s">
        <v>573</v>
      </c>
      <c r="E197" s="1">
        <v>1</v>
      </c>
      <c r="F197">
        <v>16</v>
      </c>
      <c r="I197" s="1">
        <f>TESTcheckBaseNNumber(E197,F197)</f>
        <v>2</v>
      </c>
      <c r="J197" t="b">
        <f>TESTcheckBaseNNumberByRef1(E197,F197)</f>
        <v>0</v>
      </c>
      <c r="K197">
        <f>TESTcheckBaseNNumberByRef2(E197,F197)</f>
        <v>0</v>
      </c>
      <c r="L197">
        <f>TESTcheckBaseNNumberByRef3(E197,F197)</f>
        <v>0</v>
      </c>
      <c r="M197" s="1">
        <v>2</v>
      </c>
      <c r="N197" t="b">
        <v>0</v>
      </c>
      <c r="O197">
        <v>0</v>
      </c>
      <c r="P197">
        <v>0</v>
      </c>
      <c r="Q197" s="1" t="b">
        <f t="shared" si="39"/>
        <v>1</v>
      </c>
      <c r="R197" t="b">
        <f t="shared" si="39"/>
        <v>1</v>
      </c>
      <c r="S197" t="b">
        <f t="shared" si="40"/>
        <v>1</v>
      </c>
      <c r="T197" t="b">
        <f t="shared" si="40"/>
        <v>1</v>
      </c>
    </row>
    <row r="198" spans="1:20" x14ac:dyDescent="0.15">
      <c r="D198" t="s">
        <v>574</v>
      </c>
      <c r="E198" s="1">
        <v>1</v>
      </c>
      <c r="F198">
        <v>17</v>
      </c>
      <c r="I198" s="1">
        <f>TESTcheckBaseNNumber(E198,F198)</f>
        <v>0</v>
      </c>
      <c r="J198" t="b">
        <f>TESTcheckBaseNNumberByRef1(E198,F198)</f>
        <v>0</v>
      </c>
      <c r="K198">
        <f>TESTcheckBaseNNumberByRef2(E198,F198)</f>
        <v>0</v>
      </c>
      <c r="L198" t="e">
        <f>TESTcheckBaseNNumberByRef3(E198,F198)</f>
        <v>#NUM!</v>
      </c>
      <c r="M198" s="1">
        <v>0</v>
      </c>
      <c r="N198" t="b">
        <v>0</v>
      </c>
      <c r="O198">
        <v>0</v>
      </c>
      <c r="P198" t="e">
        <v>#NUM!</v>
      </c>
      <c r="Q198" s="1" t="b">
        <f t="shared" si="39"/>
        <v>1</v>
      </c>
      <c r="R198" t="b">
        <f t="shared" si="39"/>
        <v>1</v>
      </c>
      <c r="S198" t="b">
        <f t="shared" si="40"/>
        <v>1</v>
      </c>
      <c r="T198" t="b">
        <f t="shared" si="40"/>
        <v>1</v>
      </c>
    </row>
    <row r="199" spans="1:20" x14ac:dyDescent="0.15">
      <c r="B199" s="2" t="s">
        <v>576</v>
      </c>
      <c r="C199" s="2"/>
      <c r="D199" s="2"/>
      <c r="E199" s="3"/>
      <c r="F199" s="2">
        <v>10</v>
      </c>
      <c r="G199" s="2"/>
      <c r="H199" s="2"/>
      <c r="I199" s="3">
        <f>TESTcheckBaseNNumber(E199,F199)</f>
        <v>0</v>
      </c>
      <c r="J199" s="2" t="b">
        <f>TESTcheckBaseNNumberByRef1(E199,F199)</f>
        <v>0</v>
      </c>
      <c r="K199" s="2">
        <f>TESTcheckBaseNNumberByRef2(E199,F199)</f>
        <v>0</v>
      </c>
      <c r="L199" s="2" t="e">
        <f>TESTcheckBaseNNumberByRef3(E199,F199)</f>
        <v>#NULL!</v>
      </c>
      <c r="M199" s="3">
        <v>0</v>
      </c>
      <c r="N199" s="2" t="b">
        <v>0</v>
      </c>
      <c r="O199" s="2">
        <v>0</v>
      </c>
      <c r="P199" s="2" t="e">
        <v>#NULL!</v>
      </c>
      <c r="Q199" s="3" t="b">
        <f t="shared" ref="Q199" si="41">getText(I199)=getText(M199)</f>
        <v>1</v>
      </c>
      <c r="R199" s="2" t="b">
        <f t="shared" ref="R199" si="42">getText(J199)=getText(N199)</f>
        <v>1</v>
      </c>
      <c r="S199" s="2" t="b">
        <f t="shared" ref="S199:T199" si="43">getText(K199)=getText(O199)</f>
        <v>1</v>
      </c>
      <c r="T199" s="2" t="b">
        <f t="shared" si="43"/>
        <v>1</v>
      </c>
    </row>
    <row r="200" spans="1:20" x14ac:dyDescent="0.15">
      <c r="B200" s="2" t="s">
        <v>575</v>
      </c>
      <c r="C200" s="2" t="s">
        <v>580</v>
      </c>
      <c r="D200" s="2" t="s">
        <v>571</v>
      </c>
      <c r="E200" s="3">
        <v>0</v>
      </c>
      <c r="F200" s="2">
        <v>2</v>
      </c>
      <c r="G200" s="2"/>
      <c r="H200" s="2"/>
      <c r="I200" s="3">
        <f>TESTcheckBaseNNumber(E200,F200)</f>
        <v>2</v>
      </c>
      <c r="J200" s="2" t="b">
        <f>TESTcheckBaseNNumberByRef1(E200,F200)</f>
        <v>0</v>
      </c>
      <c r="K200" s="2">
        <f>TESTcheckBaseNNumberByRef2(E200,F200)</f>
        <v>0</v>
      </c>
      <c r="L200" s="2">
        <f>TESTcheckBaseNNumberByRef3(E200,F200)</f>
        <v>0</v>
      </c>
      <c r="M200" s="3">
        <v>2</v>
      </c>
      <c r="N200" s="2" t="b">
        <v>0</v>
      </c>
      <c r="O200" s="2">
        <v>0</v>
      </c>
      <c r="P200" s="2">
        <v>0</v>
      </c>
      <c r="Q200" s="3" t="b">
        <f t="shared" ref="Q200" si="44">getText(I200)=getText(M200)</f>
        <v>1</v>
      </c>
      <c r="R200" s="2" t="b">
        <f t="shared" ref="R200" si="45">getText(J200)=getText(N200)</f>
        <v>1</v>
      </c>
      <c r="S200" s="2" t="b">
        <f t="shared" ref="S200:T200" si="46">getText(K200)=getText(O200)</f>
        <v>1</v>
      </c>
      <c r="T200" s="2" t="b">
        <f t="shared" si="46"/>
        <v>1</v>
      </c>
    </row>
    <row r="201" spans="1:20" x14ac:dyDescent="0.15">
      <c r="B201" s="6"/>
      <c r="C201" s="6"/>
      <c r="D201" s="7" t="s">
        <v>578</v>
      </c>
      <c r="E201" s="1">
        <v>0</v>
      </c>
      <c r="F201" s="7">
        <v>9</v>
      </c>
      <c r="G201" s="6"/>
      <c r="H201" s="6"/>
      <c r="I201" s="1">
        <f>TESTcheckBaseNNumber(E201,F201)</f>
        <v>2</v>
      </c>
      <c r="J201" s="6" t="b">
        <f>TESTcheckBaseNNumberByRef1(E201,F201)</f>
        <v>0</v>
      </c>
      <c r="K201" s="6">
        <f>TESTcheckBaseNNumberByRef2(E201,F201)</f>
        <v>0</v>
      </c>
      <c r="L201" s="6">
        <f>TESTcheckBaseNNumberByRef3(E201,F201)</f>
        <v>0</v>
      </c>
      <c r="M201" s="1">
        <v>2</v>
      </c>
      <c r="N201" s="6" t="b">
        <v>0</v>
      </c>
      <c r="O201" s="6">
        <v>0</v>
      </c>
      <c r="P201" s="6">
        <v>0</v>
      </c>
      <c r="Q201" s="1" t="b">
        <f t="shared" ref="Q201:Q216" si="47">getText(I201)=getText(M201)</f>
        <v>1</v>
      </c>
      <c r="R201" s="6" t="b">
        <f t="shared" ref="R201:R216" si="48">getText(J201)=getText(N201)</f>
        <v>1</v>
      </c>
      <c r="S201" s="6" t="b">
        <f t="shared" ref="S201:S216" si="49">getText(K201)=getText(O201)</f>
        <v>1</v>
      </c>
      <c r="T201" s="6" t="b">
        <f t="shared" ref="T201:T216" si="50">getText(L201)=getText(P201)</f>
        <v>1</v>
      </c>
    </row>
    <row r="202" spans="1:20" x14ac:dyDescent="0.15">
      <c r="D202" t="s">
        <v>572</v>
      </c>
      <c r="E202" s="1">
        <v>0</v>
      </c>
      <c r="F202" s="7">
        <v>10</v>
      </c>
      <c r="I202" s="1">
        <f>TESTcheckBaseNNumber(E202,F202)</f>
        <v>2</v>
      </c>
      <c r="J202" t="b">
        <f>TESTcheckBaseNNumberByRef1(E202,F202)</f>
        <v>0</v>
      </c>
      <c r="K202">
        <f>TESTcheckBaseNNumberByRef2(E202,F202)</f>
        <v>0</v>
      </c>
      <c r="L202">
        <f>TESTcheckBaseNNumberByRef3(E202,F202)</f>
        <v>0</v>
      </c>
      <c r="M202" s="1">
        <v>2</v>
      </c>
      <c r="N202" t="b">
        <v>0</v>
      </c>
      <c r="O202">
        <v>0</v>
      </c>
      <c r="P202">
        <v>0</v>
      </c>
      <c r="Q202" s="1" t="b">
        <f t="shared" si="47"/>
        <v>1</v>
      </c>
      <c r="R202" t="b">
        <f t="shared" si="48"/>
        <v>1</v>
      </c>
      <c r="S202" t="b">
        <f t="shared" si="49"/>
        <v>1</v>
      </c>
      <c r="T202" t="b">
        <f t="shared" si="50"/>
        <v>1</v>
      </c>
    </row>
    <row r="203" spans="1:20" x14ac:dyDescent="0.15">
      <c r="D203" t="s">
        <v>579</v>
      </c>
      <c r="E203" s="1">
        <v>0</v>
      </c>
      <c r="F203" s="7">
        <v>11</v>
      </c>
      <c r="I203" s="1">
        <f>TESTcheckBaseNNumber(E203,F203)</f>
        <v>2</v>
      </c>
      <c r="J203" t="b">
        <f>TESTcheckBaseNNumberByRef1(E203,F203)</f>
        <v>0</v>
      </c>
      <c r="K203">
        <f>TESTcheckBaseNNumberByRef2(E203,F203)</f>
        <v>0</v>
      </c>
      <c r="L203">
        <f>TESTcheckBaseNNumberByRef3(E203,F203)</f>
        <v>0</v>
      </c>
      <c r="M203" s="1">
        <v>2</v>
      </c>
      <c r="N203" t="b">
        <v>0</v>
      </c>
      <c r="O203">
        <v>0</v>
      </c>
      <c r="P203">
        <v>0</v>
      </c>
      <c r="Q203" s="1" t="b">
        <f t="shared" si="47"/>
        <v>1</v>
      </c>
      <c r="R203" t="b">
        <f t="shared" si="48"/>
        <v>1</v>
      </c>
      <c r="S203" t="b">
        <f t="shared" si="49"/>
        <v>1</v>
      </c>
      <c r="T203" t="b">
        <f t="shared" si="50"/>
        <v>1</v>
      </c>
    </row>
    <row r="204" spans="1:20" x14ac:dyDescent="0.15">
      <c r="D204" t="s">
        <v>573</v>
      </c>
      <c r="E204" s="1">
        <v>0</v>
      </c>
      <c r="F204" s="7">
        <v>16</v>
      </c>
      <c r="I204" s="1">
        <f>TESTcheckBaseNNumber(E204,F204)</f>
        <v>2</v>
      </c>
      <c r="J204" t="b">
        <f>TESTcheckBaseNNumberByRef1(E204,F204)</f>
        <v>0</v>
      </c>
      <c r="K204">
        <f>TESTcheckBaseNNumberByRef2(E204,F204)</f>
        <v>0</v>
      </c>
      <c r="L204">
        <f>TESTcheckBaseNNumberByRef3(E204,F204)</f>
        <v>0</v>
      </c>
      <c r="M204" s="1">
        <v>2</v>
      </c>
      <c r="N204" t="b">
        <v>0</v>
      </c>
      <c r="O204">
        <v>0</v>
      </c>
      <c r="P204">
        <v>0</v>
      </c>
      <c r="Q204" s="1" t="b">
        <f t="shared" si="47"/>
        <v>1</v>
      </c>
      <c r="R204" t="b">
        <f t="shared" si="48"/>
        <v>1</v>
      </c>
      <c r="S204" t="b">
        <f t="shared" si="49"/>
        <v>1</v>
      </c>
      <c r="T204" t="b">
        <f t="shared" si="50"/>
        <v>1</v>
      </c>
    </row>
    <row r="205" spans="1:20" x14ac:dyDescent="0.15">
      <c r="C205" s="2" t="s">
        <v>581</v>
      </c>
      <c r="D205" s="2" t="s">
        <v>571</v>
      </c>
      <c r="E205" s="11">
        <v>1</v>
      </c>
      <c r="F205" s="2">
        <v>2</v>
      </c>
      <c r="G205" s="2"/>
      <c r="H205" s="2"/>
      <c r="I205" s="3">
        <f>TESTcheckBaseNNumber(E205,F205)</f>
        <v>2</v>
      </c>
      <c r="J205" s="2" t="b">
        <f>TESTcheckBaseNNumberByRef1(E205,F205)</f>
        <v>0</v>
      </c>
      <c r="K205" s="2">
        <f>TESTcheckBaseNNumberByRef2(E205,F205)</f>
        <v>0</v>
      </c>
      <c r="L205" s="2">
        <f>TESTcheckBaseNNumberByRef3(E205,F205)</f>
        <v>0</v>
      </c>
      <c r="M205" s="3">
        <v>2</v>
      </c>
      <c r="N205" s="2" t="b">
        <v>0</v>
      </c>
      <c r="O205" s="2">
        <v>0</v>
      </c>
      <c r="P205" s="2">
        <v>0</v>
      </c>
      <c r="Q205" s="3" t="b">
        <f t="shared" si="47"/>
        <v>1</v>
      </c>
      <c r="R205" s="2" t="b">
        <f t="shared" si="48"/>
        <v>1</v>
      </c>
      <c r="S205" s="2" t="b">
        <f t="shared" si="49"/>
        <v>1</v>
      </c>
      <c r="T205" s="2" t="b">
        <f t="shared" si="50"/>
        <v>1</v>
      </c>
    </row>
    <row r="206" spans="1:20" x14ac:dyDescent="0.15">
      <c r="C206" s="6"/>
      <c r="D206" s="7" t="s">
        <v>578</v>
      </c>
      <c r="E206" s="9" t="s">
        <v>602</v>
      </c>
      <c r="F206" s="7">
        <v>9</v>
      </c>
      <c r="G206" s="6"/>
      <c r="H206" s="6"/>
      <c r="I206" s="1">
        <f>TESTcheckBaseNNumber(E206,F206)</f>
        <v>2</v>
      </c>
      <c r="J206" s="6" t="b">
        <f>TESTcheckBaseNNumberByRef1(E206,F206)</f>
        <v>0</v>
      </c>
      <c r="K206" s="6">
        <f>TESTcheckBaseNNumberByRef2(E206,F206)</f>
        <v>0</v>
      </c>
      <c r="L206" s="6">
        <f>TESTcheckBaseNNumberByRef3(E206,F206)</f>
        <v>0</v>
      </c>
      <c r="M206" s="1">
        <v>2</v>
      </c>
      <c r="N206" s="6" t="b">
        <v>0</v>
      </c>
      <c r="O206" s="6">
        <v>0</v>
      </c>
      <c r="P206" s="6">
        <v>0</v>
      </c>
      <c r="Q206" s="1" t="b">
        <f t="shared" si="47"/>
        <v>1</v>
      </c>
      <c r="R206" s="6" t="b">
        <f t="shared" si="48"/>
        <v>1</v>
      </c>
      <c r="S206" s="6" t="b">
        <f t="shared" si="49"/>
        <v>1</v>
      </c>
      <c r="T206" s="6" t="b">
        <f t="shared" si="50"/>
        <v>1</v>
      </c>
    </row>
    <row r="207" spans="1:20" x14ac:dyDescent="0.15">
      <c r="D207" t="s">
        <v>572</v>
      </c>
      <c r="E207" s="9">
        <v>9</v>
      </c>
      <c r="F207" s="7">
        <v>10</v>
      </c>
      <c r="I207" s="1">
        <f>TESTcheckBaseNNumber(E207,F207)</f>
        <v>2</v>
      </c>
      <c r="J207" t="b">
        <f>TESTcheckBaseNNumberByRef1(E207,F207)</f>
        <v>0</v>
      </c>
      <c r="K207">
        <f>TESTcheckBaseNNumberByRef2(E207,F207)</f>
        <v>0</v>
      </c>
      <c r="L207">
        <f>TESTcheckBaseNNumberByRef3(E207,F207)</f>
        <v>0</v>
      </c>
      <c r="M207" s="1">
        <v>2</v>
      </c>
      <c r="N207" t="b">
        <v>0</v>
      </c>
      <c r="O207">
        <v>0</v>
      </c>
      <c r="P207">
        <v>0</v>
      </c>
      <c r="Q207" s="1" t="b">
        <f t="shared" si="47"/>
        <v>1</v>
      </c>
      <c r="R207" t="b">
        <f t="shared" si="48"/>
        <v>1</v>
      </c>
      <c r="S207" t="b">
        <f t="shared" si="49"/>
        <v>1</v>
      </c>
      <c r="T207" t="b">
        <f t="shared" si="50"/>
        <v>1</v>
      </c>
    </row>
    <row r="208" spans="1:20" x14ac:dyDescent="0.15">
      <c r="D208" t="s">
        <v>579</v>
      </c>
      <c r="E208" s="9" t="s">
        <v>582</v>
      </c>
      <c r="F208" s="7">
        <v>11</v>
      </c>
      <c r="I208" s="1">
        <f>TESTcheckBaseNNumber(E208,F208)</f>
        <v>2</v>
      </c>
      <c r="J208" t="b">
        <f>TESTcheckBaseNNumberByRef1(E208,F208)</f>
        <v>0</v>
      </c>
      <c r="K208">
        <f>TESTcheckBaseNNumberByRef2(E208,F208)</f>
        <v>0</v>
      </c>
      <c r="L208">
        <f>TESTcheckBaseNNumberByRef3(E208,F208)</f>
        <v>0</v>
      </c>
      <c r="M208" s="1">
        <v>2</v>
      </c>
      <c r="N208" t="b">
        <v>0</v>
      </c>
      <c r="O208">
        <v>0</v>
      </c>
      <c r="P208">
        <v>0</v>
      </c>
      <c r="Q208" s="1" t="b">
        <f t="shared" si="47"/>
        <v>1</v>
      </c>
      <c r="R208" t="b">
        <f t="shared" si="48"/>
        <v>1</v>
      </c>
      <c r="S208" t="b">
        <f t="shared" si="49"/>
        <v>1</v>
      </c>
      <c r="T208" t="b">
        <f t="shared" si="50"/>
        <v>1</v>
      </c>
    </row>
    <row r="209" spans="2:20" x14ac:dyDescent="0.15">
      <c r="D209" t="s">
        <v>573</v>
      </c>
      <c r="E209" s="9" t="s">
        <v>583</v>
      </c>
      <c r="F209" s="7">
        <v>16</v>
      </c>
      <c r="I209" s="1">
        <f>TESTcheckBaseNNumber(E209,F209)</f>
        <v>2</v>
      </c>
      <c r="J209" t="b">
        <f>TESTcheckBaseNNumberByRef1(E209,F209)</f>
        <v>0</v>
      </c>
      <c r="K209">
        <f>TESTcheckBaseNNumberByRef2(E209,F209)</f>
        <v>0</v>
      </c>
      <c r="L209">
        <f>TESTcheckBaseNNumberByRef3(E209,F209)</f>
        <v>0</v>
      </c>
      <c r="M209" s="1">
        <v>2</v>
      </c>
      <c r="N209" t="b">
        <v>0</v>
      </c>
      <c r="O209">
        <v>0</v>
      </c>
      <c r="P209">
        <v>0</v>
      </c>
      <c r="Q209" s="1" t="b">
        <f t="shared" si="47"/>
        <v>1</v>
      </c>
      <c r="R209" t="b">
        <f t="shared" si="48"/>
        <v>1</v>
      </c>
      <c r="S209" t="b">
        <f t="shared" si="49"/>
        <v>1</v>
      </c>
      <c r="T209" t="b">
        <f t="shared" si="50"/>
        <v>1</v>
      </c>
    </row>
    <row r="210" spans="2:20" x14ac:dyDescent="0.15">
      <c r="C210" s="2" t="s">
        <v>598</v>
      </c>
      <c r="D210" s="2" t="s">
        <v>571</v>
      </c>
      <c r="E210" s="11">
        <v>2</v>
      </c>
      <c r="F210" s="2">
        <v>2</v>
      </c>
      <c r="G210" s="2"/>
      <c r="H210" s="2"/>
      <c r="I210" s="3">
        <f>TESTcheckBaseNNumber(E210,F210)</f>
        <v>1</v>
      </c>
      <c r="J210" s="2" t="b">
        <f>TESTcheckBaseNNumberByRef1(E210,F210)</f>
        <v>0</v>
      </c>
      <c r="K210" s="2">
        <f>TESTcheckBaseNNumberByRef2(E210,F210)</f>
        <v>0</v>
      </c>
      <c r="L210" s="2" t="e">
        <f>TESTcheckBaseNNumberByRef3(E210,F210)</f>
        <v>#NUM!</v>
      </c>
      <c r="M210" s="3">
        <v>1</v>
      </c>
      <c r="N210" s="2" t="b">
        <v>0</v>
      </c>
      <c r="O210" s="2">
        <v>0</v>
      </c>
      <c r="P210" s="2" t="e">
        <v>#NUM!</v>
      </c>
      <c r="Q210" s="3" t="b">
        <f t="shared" si="47"/>
        <v>1</v>
      </c>
      <c r="R210" s="2" t="b">
        <f t="shared" si="48"/>
        <v>1</v>
      </c>
      <c r="S210" s="2" t="b">
        <f t="shared" si="49"/>
        <v>1</v>
      </c>
      <c r="T210" s="2" t="b">
        <f t="shared" si="50"/>
        <v>1</v>
      </c>
    </row>
    <row r="211" spans="2:20" x14ac:dyDescent="0.15">
      <c r="C211" s="6"/>
      <c r="D211" s="7" t="s">
        <v>578</v>
      </c>
      <c r="E211" s="9" t="s">
        <v>603</v>
      </c>
      <c r="F211" s="7">
        <v>9</v>
      </c>
      <c r="G211" s="6"/>
      <c r="H211" s="6"/>
      <c r="I211" s="1">
        <f>TESTcheckBaseNNumber(E211,F211)</f>
        <v>1</v>
      </c>
      <c r="J211" s="6" t="b">
        <f>TESTcheckBaseNNumberByRef1(E211,F211)</f>
        <v>0</v>
      </c>
      <c r="K211" s="6">
        <f>TESTcheckBaseNNumberByRef2(E211,F211)</f>
        <v>0</v>
      </c>
      <c r="L211" s="6" t="e">
        <f>TESTcheckBaseNNumberByRef3(E211,F211)</f>
        <v>#NUM!</v>
      </c>
      <c r="M211" s="1">
        <v>1</v>
      </c>
      <c r="N211" s="6" t="b">
        <v>0</v>
      </c>
      <c r="O211" s="6">
        <v>0</v>
      </c>
      <c r="P211" s="6" t="e">
        <v>#NUM!</v>
      </c>
      <c r="Q211" s="1" t="b">
        <f t="shared" si="47"/>
        <v>1</v>
      </c>
      <c r="R211" s="6" t="b">
        <f t="shared" si="48"/>
        <v>1</v>
      </c>
      <c r="S211" s="6" t="b">
        <f t="shared" si="49"/>
        <v>1</v>
      </c>
      <c r="T211" s="6" t="b">
        <f t="shared" si="50"/>
        <v>1</v>
      </c>
    </row>
    <row r="212" spans="2:20" x14ac:dyDescent="0.15">
      <c r="D212" t="s">
        <v>572</v>
      </c>
      <c r="E212" s="9" t="s">
        <v>599</v>
      </c>
      <c r="F212" s="7">
        <v>10</v>
      </c>
      <c r="I212" s="1">
        <f>TESTcheckBaseNNumber(E212,F212)</f>
        <v>1</v>
      </c>
      <c r="J212" t="b">
        <f>TESTcheckBaseNNumberByRef1(E212,F212)</f>
        <v>0</v>
      </c>
      <c r="K212">
        <f>TESTcheckBaseNNumberByRef2(E212,F212)</f>
        <v>0</v>
      </c>
      <c r="L212" t="e">
        <f>TESTcheckBaseNNumberByRef3(E212,F212)</f>
        <v>#NUM!</v>
      </c>
      <c r="M212" s="1">
        <v>1</v>
      </c>
      <c r="N212" t="b">
        <v>0</v>
      </c>
      <c r="O212">
        <v>0</v>
      </c>
      <c r="P212" t="e">
        <v>#NUM!</v>
      </c>
      <c r="Q212" s="1" t="b">
        <f t="shared" si="47"/>
        <v>1</v>
      </c>
      <c r="R212" t="b">
        <f t="shared" si="48"/>
        <v>1</v>
      </c>
      <c r="S212" t="b">
        <f t="shared" si="49"/>
        <v>1</v>
      </c>
      <c r="T212" t="b">
        <f t="shared" si="50"/>
        <v>1</v>
      </c>
    </row>
    <row r="213" spans="2:20" x14ac:dyDescent="0.15">
      <c r="D213" t="s">
        <v>579</v>
      </c>
      <c r="E213" s="9" t="s">
        <v>600</v>
      </c>
      <c r="F213" s="7">
        <v>11</v>
      </c>
      <c r="I213" s="1">
        <f>TESTcheckBaseNNumber(E213,F213)</f>
        <v>1</v>
      </c>
      <c r="J213" t="b">
        <f>TESTcheckBaseNNumberByRef1(E213,F213)</f>
        <v>0</v>
      </c>
      <c r="K213">
        <f>TESTcheckBaseNNumberByRef2(E213,F213)</f>
        <v>0</v>
      </c>
      <c r="L213" t="e">
        <f>TESTcheckBaseNNumberByRef3(E213,F213)</f>
        <v>#NUM!</v>
      </c>
      <c r="M213" s="1">
        <v>1</v>
      </c>
      <c r="N213" t="b">
        <v>0</v>
      </c>
      <c r="O213">
        <v>0</v>
      </c>
      <c r="P213" t="e">
        <v>#NUM!</v>
      </c>
      <c r="Q213" s="1" t="b">
        <f t="shared" si="47"/>
        <v>1</v>
      </c>
      <c r="R213" t="b">
        <f t="shared" si="48"/>
        <v>1</v>
      </c>
      <c r="S213" t="b">
        <f t="shared" si="49"/>
        <v>1</v>
      </c>
      <c r="T213" t="b">
        <f t="shared" si="50"/>
        <v>1</v>
      </c>
    </row>
    <row r="214" spans="2:20" x14ac:dyDescent="0.15">
      <c r="D214" t="s">
        <v>573</v>
      </c>
      <c r="E214" s="9" t="s">
        <v>601</v>
      </c>
      <c r="F214" s="7">
        <v>16</v>
      </c>
      <c r="I214" s="1">
        <f>TESTcheckBaseNNumber(E214,F214)</f>
        <v>1</v>
      </c>
      <c r="J214" t="b">
        <f>TESTcheckBaseNNumberByRef1(E214,F214)</f>
        <v>0</v>
      </c>
      <c r="K214">
        <f>TESTcheckBaseNNumberByRef2(E214,F214)</f>
        <v>0</v>
      </c>
      <c r="L214" t="e">
        <f>TESTcheckBaseNNumberByRef3(E214,F214)</f>
        <v>#NUM!</v>
      </c>
      <c r="M214" s="1">
        <v>1</v>
      </c>
      <c r="N214" t="b">
        <v>0</v>
      </c>
      <c r="O214">
        <v>0</v>
      </c>
      <c r="P214" t="e">
        <v>#NUM!</v>
      </c>
      <c r="Q214" s="1" t="b">
        <f t="shared" si="47"/>
        <v>1</v>
      </c>
      <c r="R214" t="b">
        <f t="shared" si="48"/>
        <v>1</v>
      </c>
      <c r="S214" t="b">
        <f t="shared" si="49"/>
        <v>1</v>
      </c>
      <c r="T214" t="b">
        <f t="shared" si="50"/>
        <v>1</v>
      </c>
    </row>
    <row r="215" spans="2:20" x14ac:dyDescent="0.15">
      <c r="B215" s="2" t="s">
        <v>604</v>
      </c>
      <c r="C215" s="2" t="s">
        <v>605</v>
      </c>
      <c r="D215" s="2" t="s">
        <v>571</v>
      </c>
      <c r="E215" s="11" t="s">
        <v>608</v>
      </c>
      <c r="F215" s="2">
        <v>2</v>
      </c>
      <c r="G215" s="2"/>
      <c r="H215" s="2"/>
      <c r="I215" s="3">
        <f>TESTcheckBaseNNumber(E215,F215)</f>
        <v>2</v>
      </c>
      <c r="J215" s="2" t="b">
        <f>TESTcheckBaseNNumberByRef1(E215,F215)</f>
        <v>0</v>
      </c>
      <c r="K215" s="2">
        <f>TESTcheckBaseNNumberByRef2(E215,F215)</f>
        <v>0</v>
      </c>
      <c r="L215" s="2" t="e">
        <f>TESTcheckBaseNNumberByRef3(E215,F215)</f>
        <v>#NUM!</v>
      </c>
      <c r="M215" s="3">
        <v>2</v>
      </c>
      <c r="N215" s="2" t="b">
        <v>0</v>
      </c>
      <c r="O215" s="2">
        <v>0</v>
      </c>
      <c r="P215" s="2" t="e">
        <v>#NUM!</v>
      </c>
      <c r="Q215" s="3" t="b">
        <f t="shared" si="47"/>
        <v>1</v>
      </c>
      <c r="R215" s="2" t="b">
        <f t="shared" si="48"/>
        <v>1</v>
      </c>
      <c r="S215" s="2" t="b">
        <f t="shared" si="49"/>
        <v>1</v>
      </c>
      <c r="T215" s="2" t="b">
        <f t="shared" si="50"/>
        <v>1</v>
      </c>
    </row>
    <row r="216" spans="2:20" x14ac:dyDescent="0.15">
      <c r="D216" s="7" t="s">
        <v>578</v>
      </c>
      <c r="E216" s="9" t="s">
        <v>609</v>
      </c>
      <c r="F216" s="7">
        <v>9</v>
      </c>
      <c r="I216" s="1">
        <f>TESTcheckBaseNNumber(E216,F216)</f>
        <v>2</v>
      </c>
      <c r="J216" t="b">
        <f>TESTcheckBaseNNumberByRef1(E216,F216)</f>
        <v>0</v>
      </c>
      <c r="K216">
        <f>TESTcheckBaseNNumberByRef2(E216,F216)</f>
        <v>0</v>
      </c>
      <c r="L216" t="e">
        <f>TESTcheckBaseNNumberByRef3(E216,F216)</f>
        <v>#NUM!</v>
      </c>
      <c r="M216" s="1">
        <v>2</v>
      </c>
      <c r="N216" t="b">
        <v>0</v>
      </c>
      <c r="O216">
        <v>0</v>
      </c>
      <c r="P216" t="e">
        <v>#NUM!</v>
      </c>
      <c r="Q216" s="1" t="b">
        <f t="shared" si="47"/>
        <v>1</v>
      </c>
      <c r="R216" t="b">
        <f t="shared" si="48"/>
        <v>1</v>
      </c>
      <c r="S216" t="b">
        <f t="shared" si="49"/>
        <v>1</v>
      </c>
      <c r="T216" t="b">
        <f t="shared" si="50"/>
        <v>1</v>
      </c>
    </row>
    <row r="217" spans="2:20" x14ac:dyDescent="0.15">
      <c r="D217" t="s">
        <v>572</v>
      </c>
      <c r="E217" s="9" t="s">
        <v>610</v>
      </c>
      <c r="F217" s="7">
        <v>10</v>
      </c>
      <c r="I217" s="1">
        <f>TESTcheckBaseNNumber(E217,F217)</f>
        <v>2</v>
      </c>
      <c r="J217" t="b">
        <f>TESTcheckBaseNNumberByRef1(E217,F217)</f>
        <v>0</v>
      </c>
      <c r="K217">
        <f>TESTcheckBaseNNumberByRef2(E217,F217)</f>
        <v>0</v>
      </c>
      <c r="L217" t="e">
        <f>TESTcheckBaseNNumberByRef3(E217,F217)</f>
        <v>#NUM!</v>
      </c>
      <c r="M217" s="1">
        <v>2</v>
      </c>
      <c r="N217" t="b">
        <v>0</v>
      </c>
      <c r="O217">
        <v>0</v>
      </c>
      <c r="P217" t="e">
        <v>#NUM!</v>
      </c>
      <c r="Q217" s="1" t="b">
        <f t="shared" ref="Q217:Q225" si="51">getText(I217)=getText(M217)</f>
        <v>1</v>
      </c>
      <c r="R217" t="b">
        <f t="shared" ref="R217:R225" si="52">getText(J217)=getText(N217)</f>
        <v>1</v>
      </c>
      <c r="S217" t="b">
        <f t="shared" ref="S217:S225" si="53">getText(K217)=getText(O217)</f>
        <v>1</v>
      </c>
      <c r="T217" t="b">
        <f t="shared" ref="T217:T225" si="54">getText(L217)=getText(P217)</f>
        <v>1</v>
      </c>
    </row>
    <row r="218" spans="2:20" x14ac:dyDescent="0.15">
      <c r="D218" t="s">
        <v>579</v>
      </c>
      <c r="E218" s="9" t="s">
        <v>611</v>
      </c>
      <c r="F218" s="7">
        <v>11</v>
      </c>
      <c r="I218" s="1">
        <f>TESTcheckBaseNNumber(E218,F218)</f>
        <v>2</v>
      </c>
      <c r="J218" t="b">
        <f>TESTcheckBaseNNumberByRef1(E218,F218)</f>
        <v>0</v>
      </c>
      <c r="K218">
        <f>TESTcheckBaseNNumberByRef2(E218,F218)</f>
        <v>0</v>
      </c>
      <c r="L218" t="e">
        <f>TESTcheckBaseNNumberByRef3(E218,F218)</f>
        <v>#NUM!</v>
      </c>
      <c r="M218" s="1">
        <v>2</v>
      </c>
      <c r="N218" t="b">
        <v>0</v>
      </c>
      <c r="O218">
        <v>0</v>
      </c>
      <c r="P218" t="e">
        <v>#NUM!</v>
      </c>
      <c r="Q218" s="1" t="b">
        <f t="shared" si="51"/>
        <v>1</v>
      </c>
      <c r="R218" t="b">
        <f t="shared" si="52"/>
        <v>1</v>
      </c>
      <c r="S218" t="b">
        <f t="shared" si="53"/>
        <v>1</v>
      </c>
      <c r="T218" t="b">
        <f t="shared" si="54"/>
        <v>1</v>
      </c>
    </row>
    <row r="219" spans="2:20" x14ac:dyDescent="0.15">
      <c r="D219" t="s">
        <v>573</v>
      </c>
      <c r="E219" s="9" t="s">
        <v>612</v>
      </c>
      <c r="F219" s="7">
        <v>16</v>
      </c>
      <c r="I219" s="1">
        <f>TESTcheckBaseNNumber(E219,F219)</f>
        <v>2</v>
      </c>
      <c r="J219" t="b">
        <f>TESTcheckBaseNNumberByRef1(E219,F219)</f>
        <v>0</v>
      </c>
      <c r="K219">
        <f>TESTcheckBaseNNumberByRef2(E219,F219)</f>
        <v>0</v>
      </c>
      <c r="L219" t="e">
        <f>TESTcheckBaseNNumberByRef3(E219,F219)</f>
        <v>#NUM!</v>
      </c>
      <c r="M219" s="1">
        <v>2</v>
      </c>
      <c r="N219" t="b">
        <v>0</v>
      </c>
      <c r="O219">
        <v>0</v>
      </c>
      <c r="P219" t="e">
        <v>#NUM!</v>
      </c>
      <c r="Q219" s="1" t="b">
        <f t="shared" si="51"/>
        <v>1</v>
      </c>
      <c r="R219" t="b">
        <f t="shared" si="52"/>
        <v>1</v>
      </c>
      <c r="S219" t="b">
        <f t="shared" si="53"/>
        <v>1</v>
      </c>
      <c r="T219" t="b">
        <f t="shared" si="54"/>
        <v>1</v>
      </c>
    </row>
    <row r="220" spans="2:20" x14ac:dyDescent="0.15">
      <c r="C220" s="2" t="s">
        <v>606</v>
      </c>
      <c r="D220" s="2" t="s">
        <v>571</v>
      </c>
      <c r="E220" s="11" t="s">
        <v>613</v>
      </c>
      <c r="F220" s="2">
        <v>2</v>
      </c>
      <c r="G220" s="2"/>
      <c r="H220" s="2"/>
      <c r="I220" s="3">
        <f>TESTcheckBaseNNumber(E220,F220)</f>
        <v>3</v>
      </c>
      <c r="J220" s="2" t="b">
        <f>TESTcheckBaseNNumberByRef1(E220,F220)</f>
        <v>0</v>
      </c>
      <c r="K220" s="2">
        <f>TESTcheckBaseNNumberByRef2(E220,F220)</f>
        <v>0</v>
      </c>
      <c r="L220" s="2" t="e">
        <f>TESTcheckBaseNNumberByRef3(E220,F220)</f>
        <v>#NUM!</v>
      </c>
      <c r="M220" s="3">
        <v>3</v>
      </c>
      <c r="N220" s="2" t="b">
        <v>0</v>
      </c>
      <c r="O220" s="2">
        <v>0</v>
      </c>
      <c r="P220" s="2" t="e">
        <v>#NUM!</v>
      </c>
      <c r="Q220" s="3" t="b">
        <f t="shared" si="51"/>
        <v>1</v>
      </c>
      <c r="R220" s="2" t="b">
        <f t="shared" si="52"/>
        <v>1</v>
      </c>
      <c r="S220" s="2" t="b">
        <f t="shared" si="53"/>
        <v>1</v>
      </c>
      <c r="T220" s="2" t="b">
        <f t="shared" si="54"/>
        <v>1</v>
      </c>
    </row>
    <row r="221" spans="2:20" x14ac:dyDescent="0.15">
      <c r="D221" s="7" t="s">
        <v>578</v>
      </c>
      <c r="E221" s="9" t="s">
        <v>614</v>
      </c>
      <c r="F221" s="7">
        <v>9</v>
      </c>
      <c r="I221" s="1">
        <f>TESTcheckBaseNNumber(E221,F221)</f>
        <v>3</v>
      </c>
      <c r="J221" t="b">
        <f>TESTcheckBaseNNumberByRef1(E221,F221)</f>
        <v>0</v>
      </c>
      <c r="K221">
        <f>TESTcheckBaseNNumberByRef2(E221,F221)</f>
        <v>0</v>
      </c>
      <c r="L221" t="e">
        <f>TESTcheckBaseNNumberByRef3(E221,F221)</f>
        <v>#NUM!</v>
      </c>
      <c r="M221" s="1">
        <v>3</v>
      </c>
      <c r="N221" t="b">
        <v>0</v>
      </c>
      <c r="O221">
        <v>0</v>
      </c>
      <c r="P221" t="e">
        <v>#NUM!</v>
      </c>
      <c r="Q221" s="1" t="b">
        <f t="shared" si="51"/>
        <v>1</v>
      </c>
      <c r="R221" t="b">
        <f t="shared" si="52"/>
        <v>1</v>
      </c>
      <c r="S221" t="b">
        <f t="shared" si="53"/>
        <v>1</v>
      </c>
      <c r="T221" t="b">
        <f t="shared" si="54"/>
        <v>1</v>
      </c>
    </row>
    <row r="222" spans="2:20" x14ac:dyDescent="0.15">
      <c r="D222" t="s">
        <v>572</v>
      </c>
      <c r="E222" s="9" t="s">
        <v>615</v>
      </c>
      <c r="F222" s="7">
        <v>10</v>
      </c>
      <c r="I222" s="1">
        <f>TESTcheckBaseNNumber(E222,F222)</f>
        <v>3</v>
      </c>
      <c r="J222" t="b">
        <f>TESTcheckBaseNNumberByRef1(E222,F222)</f>
        <v>0</v>
      </c>
      <c r="K222">
        <f>TESTcheckBaseNNumberByRef2(E222,F222)</f>
        <v>0</v>
      </c>
      <c r="L222" t="e">
        <f>TESTcheckBaseNNumberByRef3(E222,F222)</f>
        <v>#NUM!</v>
      </c>
      <c r="M222" s="1">
        <v>3</v>
      </c>
      <c r="N222" t="b">
        <v>0</v>
      </c>
      <c r="O222">
        <v>0</v>
      </c>
      <c r="P222" t="e">
        <v>#NUM!</v>
      </c>
      <c r="Q222" s="1" t="b">
        <f t="shared" si="51"/>
        <v>1</v>
      </c>
      <c r="R222" t="b">
        <f t="shared" si="52"/>
        <v>1</v>
      </c>
      <c r="S222" t="b">
        <f t="shared" si="53"/>
        <v>1</v>
      </c>
      <c r="T222" t="b">
        <f t="shared" si="54"/>
        <v>1</v>
      </c>
    </row>
    <row r="223" spans="2:20" x14ac:dyDescent="0.15">
      <c r="D223" t="s">
        <v>579</v>
      </c>
      <c r="E223" s="9" t="s">
        <v>616</v>
      </c>
      <c r="F223" s="7">
        <v>11</v>
      </c>
      <c r="I223" s="1">
        <f>TESTcheckBaseNNumber(E223,F223)</f>
        <v>3</v>
      </c>
      <c r="J223" t="b">
        <f>TESTcheckBaseNNumberByRef1(E223,F223)</f>
        <v>0</v>
      </c>
      <c r="K223">
        <f>TESTcheckBaseNNumberByRef2(E223,F223)</f>
        <v>0</v>
      </c>
      <c r="L223" t="e">
        <f>TESTcheckBaseNNumberByRef3(E223,F223)</f>
        <v>#NUM!</v>
      </c>
      <c r="M223" s="1">
        <v>3</v>
      </c>
      <c r="N223" t="b">
        <v>0</v>
      </c>
      <c r="O223">
        <v>0</v>
      </c>
      <c r="P223" t="e">
        <v>#NUM!</v>
      </c>
      <c r="Q223" s="1" t="b">
        <f t="shared" si="51"/>
        <v>1</v>
      </c>
      <c r="R223" t="b">
        <f t="shared" si="52"/>
        <v>1</v>
      </c>
      <c r="S223" t="b">
        <f t="shared" si="53"/>
        <v>1</v>
      </c>
      <c r="T223" t="b">
        <f t="shared" si="54"/>
        <v>1</v>
      </c>
    </row>
    <row r="224" spans="2:20" x14ac:dyDescent="0.15">
      <c r="D224" t="s">
        <v>573</v>
      </c>
      <c r="E224" s="9" t="s">
        <v>617</v>
      </c>
      <c r="F224" s="7">
        <v>16</v>
      </c>
      <c r="I224" s="1">
        <f>TESTcheckBaseNNumber(E224,F224)</f>
        <v>3</v>
      </c>
      <c r="J224" t="b">
        <f>TESTcheckBaseNNumberByRef1(E224,F224)</f>
        <v>0</v>
      </c>
      <c r="K224">
        <f>TESTcheckBaseNNumberByRef2(E224,F224)</f>
        <v>0</v>
      </c>
      <c r="L224" t="e">
        <f>TESTcheckBaseNNumberByRef3(E224,F224)</f>
        <v>#NUM!</v>
      </c>
      <c r="M224" s="1">
        <v>3</v>
      </c>
      <c r="N224" t="b">
        <v>0</v>
      </c>
      <c r="O224">
        <v>0</v>
      </c>
      <c r="P224" t="e">
        <v>#NUM!</v>
      </c>
      <c r="Q224" s="1" t="b">
        <f t="shared" si="51"/>
        <v>1</v>
      </c>
      <c r="R224" t="b">
        <f t="shared" si="52"/>
        <v>1</v>
      </c>
      <c r="S224" t="b">
        <f t="shared" si="53"/>
        <v>1</v>
      </c>
      <c r="T224" t="b">
        <f t="shared" si="54"/>
        <v>1</v>
      </c>
    </row>
    <row r="225" spans="2:20" x14ac:dyDescent="0.15">
      <c r="C225" s="2" t="s">
        <v>607</v>
      </c>
      <c r="D225" s="2" t="s">
        <v>571</v>
      </c>
      <c r="E225" s="11" t="s">
        <v>618</v>
      </c>
      <c r="F225" s="2">
        <v>2</v>
      </c>
      <c r="G225" s="2"/>
      <c r="H225" s="2"/>
      <c r="I225" s="3">
        <f>TESTcheckBaseNNumber(E225,F225)</f>
        <v>5</v>
      </c>
      <c r="J225" s="2" t="b">
        <f>TESTcheckBaseNNumberByRef1(E225,F225)</f>
        <v>0</v>
      </c>
      <c r="K225" s="2">
        <f>TESTcheckBaseNNumberByRef2(E225,F225)</f>
        <v>0</v>
      </c>
      <c r="L225" s="2" t="e">
        <f>TESTcheckBaseNNumberByRef3(E225,F225)</f>
        <v>#NUM!</v>
      </c>
      <c r="M225" s="3">
        <v>5</v>
      </c>
      <c r="N225" s="2" t="b">
        <v>0</v>
      </c>
      <c r="O225" s="2">
        <v>0</v>
      </c>
      <c r="P225" s="2" t="e">
        <v>#NUM!</v>
      </c>
      <c r="Q225" s="3" t="b">
        <f t="shared" si="51"/>
        <v>1</v>
      </c>
      <c r="R225" s="2" t="b">
        <f t="shared" si="52"/>
        <v>1</v>
      </c>
      <c r="S225" s="2" t="b">
        <f t="shared" si="53"/>
        <v>1</v>
      </c>
      <c r="T225" s="2" t="b">
        <f t="shared" si="54"/>
        <v>1</v>
      </c>
    </row>
    <row r="226" spans="2:20" x14ac:dyDescent="0.15">
      <c r="D226" s="7" t="s">
        <v>578</v>
      </c>
      <c r="E226" s="9" t="s">
        <v>619</v>
      </c>
      <c r="F226" s="7">
        <v>9</v>
      </c>
      <c r="I226" s="1">
        <f>TESTcheckBaseNNumber(E226,F226)</f>
        <v>5</v>
      </c>
      <c r="J226" t="b">
        <f>TESTcheckBaseNNumberByRef1(E226,F226)</f>
        <v>0</v>
      </c>
      <c r="K226">
        <f>TESTcheckBaseNNumberByRef2(E226,F226)</f>
        <v>0</v>
      </c>
      <c r="L226" t="e">
        <f>TESTcheckBaseNNumberByRef3(E226,F226)</f>
        <v>#NUM!</v>
      </c>
      <c r="M226" s="1">
        <v>5</v>
      </c>
      <c r="N226" t="b">
        <v>0</v>
      </c>
      <c r="O226">
        <v>0</v>
      </c>
      <c r="P226" t="e">
        <v>#NUM!</v>
      </c>
      <c r="Q226" s="1" t="b">
        <f t="shared" ref="Q226:Q230" si="55">getText(I226)=getText(M226)</f>
        <v>1</v>
      </c>
      <c r="R226" t="b">
        <f t="shared" ref="R226:R230" si="56">getText(J226)=getText(N226)</f>
        <v>1</v>
      </c>
      <c r="S226" t="b">
        <f t="shared" ref="S226:S230" si="57">getText(K226)=getText(O226)</f>
        <v>1</v>
      </c>
      <c r="T226" t="b">
        <f t="shared" ref="T226:T230" si="58">getText(L226)=getText(P226)</f>
        <v>1</v>
      </c>
    </row>
    <row r="227" spans="2:20" x14ac:dyDescent="0.15">
      <c r="D227" t="s">
        <v>572</v>
      </c>
      <c r="E227" s="9" t="s">
        <v>620</v>
      </c>
      <c r="F227" s="7">
        <v>10</v>
      </c>
      <c r="I227" s="1">
        <f>TESTcheckBaseNNumber(E227,F227)</f>
        <v>5</v>
      </c>
      <c r="J227" t="b">
        <f>TESTcheckBaseNNumberByRef1(E227,F227)</f>
        <v>0</v>
      </c>
      <c r="K227">
        <f>TESTcheckBaseNNumberByRef2(E227,F227)</f>
        <v>0</v>
      </c>
      <c r="L227" t="e">
        <f>TESTcheckBaseNNumberByRef3(E227,F227)</f>
        <v>#NUM!</v>
      </c>
      <c r="M227" s="1">
        <v>5</v>
      </c>
      <c r="N227" t="b">
        <v>0</v>
      </c>
      <c r="O227">
        <v>0</v>
      </c>
      <c r="P227" t="e">
        <v>#NUM!</v>
      </c>
      <c r="Q227" s="1" t="b">
        <f t="shared" si="55"/>
        <v>1</v>
      </c>
      <c r="R227" t="b">
        <f t="shared" si="56"/>
        <v>1</v>
      </c>
      <c r="S227" t="b">
        <f t="shared" si="57"/>
        <v>1</v>
      </c>
      <c r="T227" t="b">
        <f t="shared" si="58"/>
        <v>1</v>
      </c>
    </row>
    <row r="228" spans="2:20" x14ac:dyDescent="0.15">
      <c r="D228" t="s">
        <v>579</v>
      </c>
      <c r="E228" s="9" t="s">
        <v>621</v>
      </c>
      <c r="F228" s="7">
        <v>11</v>
      </c>
      <c r="I228" s="1">
        <f>TESTcheckBaseNNumber(E228,F228)</f>
        <v>5</v>
      </c>
      <c r="J228" t="b">
        <f>TESTcheckBaseNNumberByRef1(E228,F228)</f>
        <v>0</v>
      </c>
      <c r="K228">
        <f>TESTcheckBaseNNumberByRef2(E228,F228)</f>
        <v>0</v>
      </c>
      <c r="L228" t="e">
        <f>TESTcheckBaseNNumberByRef3(E228,F228)</f>
        <v>#NUM!</v>
      </c>
      <c r="M228" s="1">
        <v>5</v>
      </c>
      <c r="N228" t="b">
        <v>0</v>
      </c>
      <c r="O228">
        <v>0</v>
      </c>
      <c r="P228" t="e">
        <v>#NUM!</v>
      </c>
      <c r="Q228" s="1" t="b">
        <f t="shared" si="55"/>
        <v>1</v>
      </c>
      <c r="R228" t="b">
        <f t="shared" si="56"/>
        <v>1</v>
      </c>
      <c r="S228" t="b">
        <f t="shared" si="57"/>
        <v>1</v>
      </c>
      <c r="T228" t="b">
        <f t="shared" si="58"/>
        <v>1</v>
      </c>
    </row>
    <row r="229" spans="2:20" x14ac:dyDescent="0.15">
      <c r="D229" t="s">
        <v>573</v>
      </c>
      <c r="E229" s="9" t="s">
        <v>622</v>
      </c>
      <c r="F229" s="7">
        <v>16</v>
      </c>
      <c r="I229" s="1">
        <f>TESTcheckBaseNNumber(E229,F229)</f>
        <v>5</v>
      </c>
      <c r="J229" t="b">
        <f>TESTcheckBaseNNumberByRef1(E229,F229)</f>
        <v>0</v>
      </c>
      <c r="K229">
        <f>TESTcheckBaseNNumberByRef2(E229,F229)</f>
        <v>0</v>
      </c>
      <c r="L229" t="e">
        <f>TESTcheckBaseNNumberByRef3(E229,F229)</f>
        <v>#NUM!</v>
      </c>
      <c r="M229" s="1">
        <v>5</v>
      </c>
      <c r="N229" t="b">
        <v>0</v>
      </c>
      <c r="O229">
        <v>0</v>
      </c>
      <c r="P229" t="e">
        <v>#NUM!</v>
      </c>
      <c r="Q229" s="1" t="b">
        <f t="shared" si="55"/>
        <v>1</v>
      </c>
      <c r="R229" t="b">
        <f t="shared" si="56"/>
        <v>1</v>
      </c>
      <c r="S229" t="b">
        <f t="shared" si="57"/>
        <v>1</v>
      </c>
      <c r="T229" t="b">
        <f t="shared" si="58"/>
        <v>1</v>
      </c>
    </row>
    <row r="230" spans="2:20" x14ac:dyDescent="0.15">
      <c r="C230" s="2" t="s">
        <v>623</v>
      </c>
      <c r="D230" s="2" t="s">
        <v>571</v>
      </c>
      <c r="E230" s="11" t="s">
        <v>624</v>
      </c>
      <c r="F230" s="2">
        <v>2</v>
      </c>
      <c r="G230" s="2"/>
      <c r="H230" s="2"/>
      <c r="I230" s="3">
        <f>TESTcheckBaseNNumber(E230,F230)</f>
        <v>3</v>
      </c>
      <c r="J230" s="2" t="b">
        <f>TESTcheckBaseNNumberByRef1(E230,F230)</f>
        <v>0</v>
      </c>
      <c r="K230" s="2">
        <f>TESTcheckBaseNNumberByRef2(E230,F230)</f>
        <v>0</v>
      </c>
      <c r="L230" s="2">
        <f>TESTcheckBaseNNumberByRef3(E230,F230)</f>
        <v>0</v>
      </c>
      <c r="M230" s="3">
        <v>3</v>
      </c>
      <c r="N230" s="2" t="b">
        <v>0</v>
      </c>
      <c r="O230" s="2">
        <v>0</v>
      </c>
      <c r="P230" s="2">
        <v>0</v>
      </c>
      <c r="Q230" s="3" t="b">
        <f t="shared" si="55"/>
        <v>1</v>
      </c>
      <c r="R230" s="2" t="b">
        <f t="shared" si="56"/>
        <v>1</v>
      </c>
      <c r="S230" s="2" t="b">
        <f t="shared" si="57"/>
        <v>1</v>
      </c>
      <c r="T230" s="2" t="b">
        <f t="shared" si="58"/>
        <v>1</v>
      </c>
    </row>
    <row r="231" spans="2:20" x14ac:dyDescent="0.15">
      <c r="D231" s="7" t="s">
        <v>578</v>
      </c>
      <c r="E231" s="9" t="s">
        <v>626</v>
      </c>
      <c r="F231" s="7">
        <v>9</v>
      </c>
      <c r="I231" s="1">
        <f>TESTcheckBaseNNumber(E231,F231)</f>
        <v>11</v>
      </c>
      <c r="J231" t="b">
        <f>TESTcheckBaseNNumberByRef1(E231,F231)</f>
        <v>0</v>
      </c>
      <c r="K231">
        <f>TESTcheckBaseNNumberByRef2(E231,F231)</f>
        <v>0</v>
      </c>
      <c r="L231">
        <f>TESTcheckBaseNNumberByRef3(E231,F231)</f>
        <v>0</v>
      </c>
      <c r="M231" s="1">
        <v>11</v>
      </c>
      <c r="N231" t="b">
        <v>0</v>
      </c>
      <c r="O231">
        <v>0</v>
      </c>
      <c r="P231">
        <v>0</v>
      </c>
      <c r="Q231" s="1" t="b">
        <f t="shared" ref="Q231:Q234" si="59">getText(I231)=getText(M231)</f>
        <v>1</v>
      </c>
      <c r="R231" t="b">
        <f t="shared" ref="R231:R234" si="60">getText(J231)=getText(N231)</f>
        <v>1</v>
      </c>
      <c r="S231" t="b">
        <f t="shared" ref="S231:S234" si="61">getText(K231)=getText(O231)</f>
        <v>1</v>
      </c>
      <c r="T231" t="b">
        <f t="shared" ref="T231:T234" si="62">getText(L231)=getText(P231)</f>
        <v>1</v>
      </c>
    </row>
    <row r="232" spans="2:20" x14ac:dyDescent="0.15">
      <c r="D232" t="s">
        <v>572</v>
      </c>
      <c r="E232" s="9" t="s">
        <v>625</v>
      </c>
      <c r="F232" s="7">
        <v>10</v>
      </c>
      <c r="I232" s="1">
        <f>TESTcheckBaseNNumber(E232,F232)</f>
        <v>12</v>
      </c>
      <c r="J232" t="b">
        <f>TESTcheckBaseNNumberByRef1(E232,F232)</f>
        <v>0</v>
      </c>
      <c r="K232">
        <f>TESTcheckBaseNNumberByRef2(E232,F232)</f>
        <v>0</v>
      </c>
      <c r="L232">
        <f>TESTcheckBaseNNumberByRef3(E232,F232)</f>
        <v>0</v>
      </c>
      <c r="M232" s="1">
        <v>12</v>
      </c>
      <c r="N232" t="b">
        <v>0</v>
      </c>
      <c r="O232">
        <v>0</v>
      </c>
      <c r="P232">
        <v>0</v>
      </c>
      <c r="Q232" s="1" t="b">
        <f t="shared" si="59"/>
        <v>1</v>
      </c>
      <c r="R232" t="b">
        <f t="shared" si="60"/>
        <v>1</v>
      </c>
      <c r="S232" t="b">
        <f t="shared" si="61"/>
        <v>1</v>
      </c>
      <c r="T232" t="b">
        <f t="shared" si="62"/>
        <v>1</v>
      </c>
    </row>
    <row r="233" spans="2:20" x14ac:dyDescent="0.15">
      <c r="D233" t="s">
        <v>579</v>
      </c>
      <c r="E233" s="9" t="s">
        <v>627</v>
      </c>
      <c r="F233" s="7">
        <v>11</v>
      </c>
      <c r="I233" s="1">
        <f>TESTcheckBaseNNumber(E233,F233)</f>
        <v>13</v>
      </c>
      <c r="J233" t="b">
        <f>TESTcheckBaseNNumberByRef1(E233,F233)</f>
        <v>0</v>
      </c>
      <c r="K233">
        <f>TESTcheckBaseNNumberByRef2(E233,F233)</f>
        <v>0</v>
      </c>
      <c r="L233">
        <f>TESTcheckBaseNNumberByRef3(E233,F233)</f>
        <v>0</v>
      </c>
      <c r="M233" s="1">
        <v>13</v>
      </c>
      <c r="N233" t="b">
        <v>0</v>
      </c>
      <c r="O233">
        <v>0</v>
      </c>
      <c r="P233">
        <v>0</v>
      </c>
      <c r="Q233" s="1" t="b">
        <f t="shared" si="59"/>
        <v>1</v>
      </c>
      <c r="R233" t="b">
        <f t="shared" si="60"/>
        <v>1</v>
      </c>
      <c r="S233" t="b">
        <f t="shared" si="61"/>
        <v>1</v>
      </c>
      <c r="T233" t="b">
        <f t="shared" si="62"/>
        <v>1</v>
      </c>
    </row>
    <row r="234" spans="2:20" x14ac:dyDescent="0.15">
      <c r="D234" t="s">
        <v>573</v>
      </c>
      <c r="E234" s="9" t="s">
        <v>628</v>
      </c>
      <c r="F234" s="7">
        <v>16</v>
      </c>
      <c r="I234" s="1">
        <f>TESTcheckBaseNNumber(E234,F234)</f>
        <v>18</v>
      </c>
      <c r="J234" t="b">
        <f>TESTcheckBaseNNumberByRef1(E234,F234)</f>
        <v>0</v>
      </c>
      <c r="K234">
        <f>TESTcheckBaseNNumberByRef2(E234,F234)</f>
        <v>0</v>
      </c>
      <c r="L234">
        <f>TESTcheckBaseNNumberByRef3(E234,F234)</f>
        <v>0</v>
      </c>
      <c r="M234" s="1">
        <v>18</v>
      </c>
      <c r="N234" t="b">
        <v>0</v>
      </c>
      <c r="O234">
        <v>0</v>
      </c>
      <c r="P234">
        <v>0</v>
      </c>
      <c r="Q234" s="1" t="b">
        <f t="shared" si="59"/>
        <v>1</v>
      </c>
      <c r="R234" t="b">
        <f t="shared" si="60"/>
        <v>1</v>
      </c>
      <c r="S234" t="b">
        <f t="shared" si="61"/>
        <v>1</v>
      </c>
      <c r="T234" t="b">
        <f t="shared" si="62"/>
        <v>1</v>
      </c>
    </row>
    <row r="235" spans="2:20" x14ac:dyDescent="0.15">
      <c r="B235" s="2" t="s">
        <v>629</v>
      </c>
      <c r="C235" s="2" t="s">
        <v>630</v>
      </c>
      <c r="D235" s="2"/>
      <c r="E235" s="11" t="s">
        <v>632</v>
      </c>
      <c r="F235" s="24">
        <v>10</v>
      </c>
      <c r="G235" s="2"/>
      <c r="H235" s="2"/>
      <c r="I235" s="3">
        <f>TESTcheckBaseNNumber(E235,F235)</f>
        <v>3</v>
      </c>
      <c r="J235" s="2" t="b">
        <f>TESTcheckBaseNNumberByRef1(E235,F235)</f>
        <v>1</v>
      </c>
      <c r="K235" s="2">
        <f>TESTcheckBaseNNumberByRef2(E235,F235)</f>
        <v>0</v>
      </c>
      <c r="L235" s="2">
        <f>TESTcheckBaseNNumberByRef3(E235,F235)</f>
        <v>0</v>
      </c>
      <c r="M235" s="3">
        <v>3</v>
      </c>
      <c r="N235" s="2" t="b">
        <v>1</v>
      </c>
      <c r="O235" s="2">
        <v>0</v>
      </c>
      <c r="P235" s="2">
        <v>0</v>
      </c>
      <c r="Q235" s="3" t="b">
        <f t="shared" ref="Q235:Q236" si="63">getText(I235)=getText(M235)</f>
        <v>1</v>
      </c>
      <c r="R235" s="2" t="b">
        <f t="shared" ref="R235:R236" si="64">getText(J235)=getText(N235)</f>
        <v>1</v>
      </c>
      <c r="S235" s="2" t="b">
        <f t="shared" ref="S235:S236" si="65">getText(K235)=getText(O235)</f>
        <v>1</v>
      </c>
      <c r="T235" s="2" t="b">
        <f t="shared" ref="T235:T236" si="66">getText(L235)=getText(P235)</f>
        <v>1</v>
      </c>
    </row>
    <row r="236" spans="2:20" x14ac:dyDescent="0.15">
      <c r="C236" t="s">
        <v>631</v>
      </c>
      <c r="E236" s="9" t="s">
        <v>633</v>
      </c>
      <c r="F236" s="7">
        <v>10</v>
      </c>
      <c r="I236" s="1">
        <f>TESTcheckBaseNNumber(E236,F236)</f>
        <v>2</v>
      </c>
      <c r="J236" t="b">
        <f>TESTcheckBaseNNumberByRef1(E236,F236)</f>
        <v>0</v>
      </c>
      <c r="K236">
        <f>TESTcheckBaseNNumberByRef2(E236,F236)</f>
        <v>0</v>
      </c>
      <c r="L236" t="e">
        <f>TESTcheckBaseNNumberByRef3(E236,F236)</f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3"/>
        <v>1</v>
      </c>
      <c r="R236" t="b">
        <f t="shared" si="64"/>
        <v>1</v>
      </c>
      <c r="S236" t="b">
        <f t="shared" si="65"/>
        <v>1</v>
      </c>
      <c r="T236" t="b">
        <f t="shared" si="66"/>
        <v>1</v>
      </c>
    </row>
    <row r="237" spans="2:20" x14ac:dyDescent="0.15">
      <c r="B237" s="2" t="s">
        <v>634</v>
      </c>
      <c r="C237" s="2" t="s">
        <v>646</v>
      </c>
      <c r="D237" s="2" t="s">
        <v>655</v>
      </c>
      <c r="E237" s="11" t="s">
        <v>635</v>
      </c>
      <c r="F237" s="24">
        <v>10</v>
      </c>
      <c r="G237" s="2"/>
      <c r="H237" s="2"/>
      <c r="I237" s="3">
        <f>TESTcheckBaseNNumber(E237,F237)</f>
        <v>1</v>
      </c>
      <c r="J237" s="2" t="b">
        <f>TESTcheckBaseNNumberByRef1(E237,F237)</f>
        <v>0</v>
      </c>
      <c r="K237" s="2">
        <f>TESTcheckBaseNNumberByRef2(E237,F237)</f>
        <v>0</v>
      </c>
      <c r="L237" s="2" t="e">
        <f>TESTcheckBaseNNumberByRef3(E237,F237)</f>
        <v>#NUM!</v>
      </c>
      <c r="M237" s="3">
        <v>1</v>
      </c>
      <c r="N237" s="2" t="b">
        <v>0</v>
      </c>
      <c r="O237" s="2">
        <v>0</v>
      </c>
      <c r="P237" s="2" t="e">
        <v>#NUM!</v>
      </c>
      <c r="Q237" s="3" t="b">
        <f t="shared" ref="Q237" si="67">getText(I237)=getText(M237)</f>
        <v>1</v>
      </c>
      <c r="R237" s="2" t="b">
        <f t="shared" ref="R237" si="68">getText(J237)=getText(N237)</f>
        <v>1</v>
      </c>
      <c r="S237" s="2" t="b">
        <f t="shared" ref="S237" si="69">getText(K237)=getText(O237)</f>
        <v>1</v>
      </c>
      <c r="T237" s="2" t="b">
        <f t="shared" ref="T237" si="70">getText(L237)=getText(P237)</f>
        <v>1</v>
      </c>
    </row>
    <row r="238" spans="2:20" x14ac:dyDescent="0.15">
      <c r="B238" s="6"/>
      <c r="C238" s="6"/>
      <c r="D238" s="7" t="s">
        <v>656</v>
      </c>
      <c r="E238" s="9" t="s">
        <v>657</v>
      </c>
      <c r="F238" s="7">
        <v>10</v>
      </c>
      <c r="G238" s="6"/>
      <c r="H238" s="6"/>
      <c r="I238" s="1">
        <f>TESTcheckBaseNNumber(E238,F238)</f>
        <v>2</v>
      </c>
      <c r="J238" s="6" t="b">
        <f>TESTcheckBaseNNumberByRef1(E238,F238)</f>
        <v>1</v>
      </c>
      <c r="K238" s="6">
        <f>TESTcheckBaseNNumberByRef2(E238,F238)</f>
        <v>0</v>
      </c>
      <c r="L238" s="6" t="e">
        <f>TESTcheckBaseNNumberByRef3(E238,F238)</f>
        <v>#NUM!</v>
      </c>
      <c r="M238" s="1">
        <v>2</v>
      </c>
      <c r="N238" s="6" t="b">
        <v>1</v>
      </c>
      <c r="O238" s="6">
        <v>0</v>
      </c>
      <c r="P238" s="6" t="e">
        <v>#NUM!</v>
      </c>
      <c r="Q238" s="1" t="b">
        <f t="shared" ref="Q238:Q246" si="71">getText(I238)=getText(M238)</f>
        <v>1</v>
      </c>
      <c r="R238" s="6" t="b">
        <f t="shared" ref="R238:R246" si="72">getText(J238)=getText(N238)</f>
        <v>1</v>
      </c>
      <c r="S238" s="6" t="b">
        <f t="shared" ref="S238:S246" si="73">getText(K238)=getText(O238)</f>
        <v>1</v>
      </c>
      <c r="T238" s="6" t="b">
        <f t="shared" ref="T238:T246" si="74">getText(L238)=getText(P238)</f>
        <v>1</v>
      </c>
    </row>
    <row r="239" spans="2:20" x14ac:dyDescent="0.15">
      <c r="B239" s="6"/>
      <c r="C239" s="7" t="s">
        <v>647</v>
      </c>
      <c r="D239" s="6" t="s">
        <v>654</v>
      </c>
      <c r="E239" s="9" t="s">
        <v>645</v>
      </c>
      <c r="F239" s="7">
        <v>10</v>
      </c>
      <c r="G239" s="6"/>
      <c r="H239" s="6"/>
      <c r="I239" s="1">
        <f>TESTcheckBaseNNumber(E239,F239)</f>
        <v>4</v>
      </c>
      <c r="J239" s="6" t="b">
        <f>TESTcheckBaseNNumberByRef1(E239,F239)</f>
        <v>0</v>
      </c>
      <c r="K239" s="6">
        <f>TESTcheckBaseNNumberByRef2(E239,F239)</f>
        <v>2</v>
      </c>
      <c r="L239" s="6">
        <f>TESTcheckBaseNNumberByRef3(E239,F239)</f>
        <v>0</v>
      </c>
      <c r="M239" s="1">
        <v>4</v>
      </c>
      <c r="N239" s="6" t="b">
        <v>0</v>
      </c>
      <c r="O239" s="6">
        <v>2</v>
      </c>
      <c r="P239" s="6">
        <v>0</v>
      </c>
      <c r="Q239" s="1" t="b">
        <f t="shared" si="71"/>
        <v>1</v>
      </c>
      <c r="R239" s="6" t="b">
        <f t="shared" si="72"/>
        <v>1</v>
      </c>
      <c r="S239" s="6" t="b">
        <f t="shared" si="73"/>
        <v>1</v>
      </c>
      <c r="T239" s="6" t="b">
        <f t="shared" si="74"/>
        <v>1</v>
      </c>
    </row>
    <row r="240" spans="2:20" x14ac:dyDescent="0.15">
      <c r="B240" s="6"/>
      <c r="C240" s="7"/>
      <c r="D240" s="6" t="s">
        <v>358</v>
      </c>
      <c r="E240" s="9" t="s">
        <v>658</v>
      </c>
      <c r="F240" s="7">
        <v>10</v>
      </c>
      <c r="G240" s="6"/>
      <c r="H240" s="6"/>
      <c r="I240" s="1">
        <f>TESTcheckBaseNNumber(E240,F240)</f>
        <v>5</v>
      </c>
      <c r="J240" s="6" t="b">
        <f>TESTcheckBaseNNumberByRef1(E240,F240)</f>
        <v>1</v>
      </c>
      <c r="K240" s="6">
        <f>TESTcheckBaseNNumberByRef2(E240,F240)</f>
        <v>3</v>
      </c>
      <c r="L240" s="6">
        <f>TESTcheckBaseNNumberByRef3(E240,F240)</f>
        <v>0</v>
      </c>
      <c r="M240" s="1">
        <v>5</v>
      </c>
      <c r="N240" s="6" t="b">
        <v>1</v>
      </c>
      <c r="O240" s="6">
        <v>3</v>
      </c>
      <c r="P240" s="6">
        <v>0</v>
      </c>
      <c r="Q240" s="1" t="b">
        <f t="shared" si="71"/>
        <v>1</v>
      </c>
      <c r="R240" s="6" t="b">
        <f t="shared" si="72"/>
        <v>1</v>
      </c>
      <c r="S240" s="6" t="b">
        <f t="shared" si="73"/>
        <v>1</v>
      </c>
      <c r="T240" s="6" t="b">
        <f t="shared" si="74"/>
        <v>1</v>
      </c>
    </row>
    <row r="241" spans="1:20" x14ac:dyDescent="0.15">
      <c r="B241" s="6"/>
      <c r="C241" s="7" t="s">
        <v>649</v>
      </c>
      <c r="D241" s="6" t="s">
        <v>654</v>
      </c>
      <c r="E241" s="9" t="s">
        <v>650</v>
      </c>
      <c r="F241" s="7">
        <v>10</v>
      </c>
      <c r="G241" s="6"/>
      <c r="H241" s="6"/>
      <c r="I241" s="1">
        <f>TESTcheckBaseNNumber(E241,F241)</f>
        <v>3</v>
      </c>
      <c r="J241" s="6" t="b">
        <f>TESTcheckBaseNNumberByRef1(E241,F241)</f>
        <v>0</v>
      </c>
      <c r="K241" s="6">
        <f>TESTcheckBaseNNumberByRef2(E241,F241)</f>
        <v>0</v>
      </c>
      <c r="L241" s="6" t="e">
        <f>TESTcheckBaseNNumberByRef3(E241,F241)</f>
        <v>#NUM!</v>
      </c>
      <c r="M241" s="1">
        <v>3</v>
      </c>
      <c r="N241" s="6" t="b">
        <v>0</v>
      </c>
      <c r="O241" s="6">
        <v>0</v>
      </c>
      <c r="P241" s="6" t="e">
        <v>#NUM!</v>
      </c>
      <c r="Q241" s="1" t="b">
        <f t="shared" si="71"/>
        <v>1</v>
      </c>
      <c r="R241" s="6" t="b">
        <f t="shared" si="72"/>
        <v>1</v>
      </c>
      <c r="S241" s="6" t="b">
        <f t="shared" si="73"/>
        <v>1</v>
      </c>
      <c r="T241" s="6" t="b">
        <f t="shared" si="74"/>
        <v>1</v>
      </c>
    </row>
    <row r="242" spans="1:20" x14ac:dyDescent="0.15">
      <c r="B242" s="6"/>
      <c r="C242" s="7"/>
      <c r="D242" s="6" t="s">
        <v>358</v>
      </c>
      <c r="E242" s="9" t="s">
        <v>659</v>
      </c>
      <c r="F242" s="7">
        <v>10</v>
      </c>
      <c r="G242" s="6"/>
      <c r="H242" s="6"/>
      <c r="I242" s="1">
        <f>TESTcheckBaseNNumber(E242,F242)</f>
        <v>4</v>
      </c>
      <c r="J242" s="6" t="b">
        <f>TESTcheckBaseNNumberByRef1(E242,F242)</f>
        <v>1</v>
      </c>
      <c r="K242" s="6">
        <f>TESTcheckBaseNNumberByRef2(E242,F242)</f>
        <v>0</v>
      </c>
      <c r="L242" s="6" t="e">
        <f>TESTcheckBaseNNumberByRef3(E242,F242)</f>
        <v>#NUM!</v>
      </c>
      <c r="M242" s="1">
        <v>4</v>
      </c>
      <c r="N242" s="6" t="b">
        <v>1</v>
      </c>
      <c r="O242" s="6">
        <v>0</v>
      </c>
      <c r="P242" s="6" t="e">
        <v>#NUM!</v>
      </c>
      <c r="Q242" s="1" t="b">
        <f t="shared" si="71"/>
        <v>1</v>
      </c>
      <c r="R242" s="6" t="b">
        <f t="shared" si="72"/>
        <v>1</v>
      </c>
      <c r="S242" s="6" t="b">
        <f t="shared" si="73"/>
        <v>1</v>
      </c>
      <c r="T242" s="6" t="b">
        <f t="shared" si="74"/>
        <v>1</v>
      </c>
    </row>
    <row r="243" spans="1:20" x14ac:dyDescent="0.15">
      <c r="B243" s="6"/>
      <c r="C243" s="7" t="s">
        <v>648</v>
      </c>
      <c r="D243" s="6" t="s">
        <v>654</v>
      </c>
      <c r="E243" s="9" t="s">
        <v>651</v>
      </c>
      <c r="F243" s="7">
        <v>10</v>
      </c>
      <c r="G243" s="6"/>
      <c r="H243" s="6"/>
      <c r="I243" s="1">
        <f>TESTcheckBaseNNumber(E243,F243)</f>
        <v>7</v>
      </c>
      <c r="J243" s="6" t="b">
        <f>TESTcheckBaseNNumberByRef1(E243,F243)</f>
        <v>0</v>
      </c>
      <c r="K243" s="6">
        <f>TESTcheckBaseNNumberByRef2(E243,F243)</f>
        <v>5</v>
      </c>
      <c r="L243" s="6">
        <f>TESTcheckBaseNNumberByRef3(E243,F243)</f>
        <v>0</v>
      </c>
      <c r="M243" s="1">
        <v>7</v>
      </c>
      <c r="N243" s="6" t="b">
        <v>0</v>
      </c>
      <c r="O243" s="6">
        <v>5</v>
      </c>
      <c r="P243" s="6">
        <v>0</v>
      </c>
      <c r="Q243" s="1" t="b">
        <f t="shared" si="71"/>
        <v>1</v>
      </c>
      <c r="R243" s="6" t="b">
        <f t="shared" si="72"/>
        <v>1</v>
      </c>
      <c r="S243" s="6" t="b">
        <f t="shared" si="73"/>
        <v>1</v>
      </c>
      <c r="T243" s="6" t="b">
        <f t="shared" si="74"/>
        <v>1</v>
      </c>
    </row>
    <row r="244" spans="1:20" x14ac:dyDescent="0.15">
      <c r="B244" s="6"/>
      <c r="C244" s="7"/>
      <c r="D244" s="6" t="s">
        <v>358</v>
      </c>
      <c r="E244" s="9" t="s">
        <v>660</v>
      </c>
      <c r="F244" s="7">
        <v>10</v>
      </c>
      <c r="G244" s="6"/>
      <c r="H244" s="6"/>
      <c r="I244" s="1">
        <f>TESTcheckBaseNNumber(E244,F244)</f>
        <v>8</v>
      </c>
      <c r="J244" s="6" t="b">
        <f>TESTcheckBaseNNumberByRef1(E244,F244)</f>
        <v>1</v>
      </c>
      <c r="K244" s="6">
        <f>TESTcheckBaseNNumberByRef2(E244,F244)</f>
        <v>6</v>
      </c>
      <c r="L244" s="6">
        <f>TESTcheckBaseNNumberByRef3(E244,F244)</f>
        <v>0</v>
      </c>
      <c r="M244" s="1">
        <v>8</v>
      </c>
      <c r="N244" s="6" t="b">
        <v>1</v>
      </c>
      <c r="O244" s="6">
        <v>6</v>
      </c>
      <c r="P244" s="6">
        <v>0</v>
      </c>
      <c r="Q244" s="1" t="b">
        <f t="shared" si="71"/>
        <v>1</v>
      </c>
      <c r="R244" s="6" t="b">
        <f t="shared" si="72"/>
        <v>1</v>
      </c>
      <c r="S244" s="6" t="b">
        <f t="shared" si="73"/>
        <v>1</v>
      </c>
      <c r="T244" s="6" t="b">
        <f t="shared" si="74"/>
        <v>1</v>
      </c>
    </row>
    <row r="245" spans="1:20" x14ac:dyDescent="0.15">
      <c r="B245" s="6"/>
      <c r="C245" s="7" t="s">
        <v>652</v>
      </c>
      <c r="D245" s="6" t="s">
        <v>654</v>
      </c>
      <c r="E245" s="9" t="s">
        <v>653</v>
      </c>
      <c r="F245" s="7">
        <v>10</v>
      </c>
      <c r="G245" s="6"/>
      <c r="H245" s="6"/>
      <c r="I245" s="1">
        <f>TESTcheckBaseNNumber(E245,F245)</f>
        <v>9</v>
      </c>
      <c r="J245" s="6" t="b">
        <f>TESTcheckBaseNNumberByRef1(E245,F245)</f>
        <v>0</v>
      </c>
      <c r="K245" s="6">
        <f>TESTcheckBaseNNumberByRef2(E245,F245)</f>
        <v>0</v>
      </c>
      <c r="L245" s="6" t="e">
        <f>TESTcheckBaseNNumberByRef3(E245,F245)</f>
        <v>#NUM!</v>
      </c>
      <c r="M245" s="1">
        <v>9</v>
      </c>
      <c r="N245" s="6" t="b">
        <v>0</v>
      </c>
      <c r="O245" s="6">
        <v>0</v>
      </c>
      <c r="P245" s="6" t="e">
        <v>#NUM!</v>
      </c>
      <c r="Q245" s="1" t="b">
        <f t="shared" si="71"/>
        <v>1</v>
      </c>
      <c r="R245" s="6" t="b">
        <f t="shared" si="72"/>
        <v>1</v>
      </c>
      <c r="S245" s="6" t="b">
        <f t="shared" si="73"/>
        <v>1</v>
      </c>
      <c r="T245" s="6" t="b">
        <f t="shared" si="74"/>
        <v>1</v>
      </c>
    </row>
    <row r="246" spans="1:20" x14ac:dyDescent="0.15">
      <c r="B246" s="6"/>
      <c r="C246" s="6"/>
      <c r="D246" s="6" t="s">
        <v>358</v>
      </c>
      <c r="E246" s="9" t="s">
        <v>661</v>
      </c>
      <c r="F246" s="7">
        <v>10</v>
      </c>
      <c r="G246" s="6"/>
      <c r="H246" s="6"/>
      <c r="I246" s="1">
        <f>TESTcheckBaseNNumber(E246,F246)</f>
        <v>10</v>
      </c>
      <c r="J246" s="6" t="b">
        <f>TESTcheckBaseNNumberByRef1(E246,F246)</f>
        <v>1</v>
      </c>
      <c r="K246" s="6">
        <f>TESTcheckBaseNNumberByRef2(E246,F246)</f>
        <v>0</v>
      </c>
      <c r="L246" s="6" t="e">
        <f>TESTcheckBaseNNumberByRef3(E246,F246)</f>
        <v>#NUM!</v>
      </c>
      <c r="M246" s="1">
        <v>10</v>
      </c>
      <c r="N246" s="6" t="b">
        <v>1</v>
      </c>
      <c r="O246" s="6">
        <v>0</v>
      </c>
      <c r="P246" s="6" t="e">
        <v>#NUM!</v>
      </c>
      <c r="Q246" s="1" t="b">
        <f t="shared" si="71"/>
        <v>1</v>
      </c>
      <c r="R246" s="6" t="b">
        <f t="shared" si="72"/>
        <v>1</v>
      </c>
      <c r="S246" s="6" t="b">
        <f t="shared" si="73"/>
        <v>1</v>
      </c>
      <c r="T246" s="6" t="b">
        <f t="shared" si="74"/>
        <v>1</v>
      </c>
    </row>
    <row r="247" spans="1:20" s="2" customFormat="1" x14ac:dyDescent="0.15">
      <c r="A247" s="2" t="s">
        <v>211</v>
      </c>
      <c r="B247" s="2" t="s">
        <v>212</v>
      </c>
      <c r="C247" s="2" t="s">
        <v>213</v>
      </c>
      <c r="E247" s="11">
        <v>0</v>
      </c>
      <c r="F247" s="13">
        <v>0</v>
      </c>
      <c r="G247" s="2">
        <v>2</v>
      </c>
      <c r="I247" s="3" t="str">
        <f>TESTadd(E247,F247,G247)</f>
        <v>0</v>
      </c>
      <c r="M247" s="3" t="s">
        <v>14</v>
      </c>
      <c r="Q247" s="3" t="b">
        <f t="shared" ref="Q247:Q250" si="75">getText(I247)=getText(M247)</f>
        <v>1</v>
      </c>
    </row>
    <row r="248" spans="1:20" x14ac:dyDescent="0.15">
      <c r="C248" t="s">
        <v>214</v>
      </c>
      <c r="E248" s="9">
        <v>0</v>
      </c>
      <c r="F248" s="17" t="s">
        <v>216</v>
      </c>
      <c r="G248">
        <v>2</v>
      </c>
      <c r="I248" s="1" t="str">
        <f t="shared" ref="I248:I250" si="76">TESTadd(E248,F248,G248)</f>
        <v>00</v>
      </c>
      <c r="M248" s="1" t="s">
        <v>97</v>
      </c>
      <c r="Q248" s="1" t="b">
        <f t="shared" si="75"/>
        <v>1</v>
      </c>
      <c r="R248" s="6"/>
      <c r="S248" s="6"/>
    </row>
    <row r="249" spans="1:20" x14ac:dyDescent="0.15">
      <c r="C249" t="s">
        <v>215</v>
      </c>
      <c r="E249" s="9" t="s">
        <v>216</v>
      </c>
      <c r="F249" s="17" t="s">
        <v>120</v>
      </c>
      <c r="G249">
        <v>2</v>
      </c>
      <c r="I249" s="1" t="str">
        <f t="shared" si="76"/>
        <v>00</v>
      </c>
      <c r="M249" s="1" t="s">
        <v>97</v>
      </c>
      <c r="Q249" s="1" t="b">
        <f>getText(I249)=getText(M249)</f>
        <v>1</v>
      </c>
      <c r="R249" s="6"/>
      <c r="S249" s="6"/>
    </row>
    <row r="250" spans="1:20" x14ac:dyDescent="0.15">
      <c r="B250" s="2" t="s">
        <v>217</v>
      </c>
      <c r="C250" s="2" t="s">
        <v>218</v>
      </c>
      <c r="D250" s="2" t="s">
        <v>219</v>
      </c>
      <c r="E250" s="3">
        <v>1</v>
      </c>
      <c r="F250" s="2">
        <v>1</v>
      </c>
      <c r="G250" s="2">
        <v>2</v>
      </c>
      <c r="H250" s="2"/>
      <c r="I250" s="3" t="str">
        <f t="shared" si="76"/>
        <v>10</v>
      </c>
      <c r="J250" s="2"/>
      <c r="K250" s="2"/>
      <c r="L250" s="2"/>
      <c r="M250" s="3" t="s">
        <v>15</v>
      </c>
      <c r="N250" s="2"/>
      <c r="O250" s="2"/>
      <c r="P250" s="2"/>
      <c r="Q250" s="3" t="b">
        <f t="shared" si="75"/>
        <v>1</v>
      </c>
      <c r="R250" s="6"/>
      <c r="S250" s="6"/>
    </row>
    <row r="251" spans="1:20" x14ac:dyDescent="0.15">
      <c r="D251" t="s">
        <v>220</v>
      </c>
      <c r="E251" s="1">
        <v>9</v>
      </c>
      <c r="F251">
        <v>1</v>
      </c>
      <c r="G251">
        <v>10</v>
      </c>
      <c r="I251" s="1" t="str">
        <f t="shared" ref="I251:I252" si="77">TESTadd(E251,F251,G251)</f>
        <v>10</v>
      </c>
      <c r="M251" s="1" t="s">
        <v>15</v>
      </c>
      <c r="Q251" s="1" t="b">
        <f t="shared" ref="Q251:Q252" si="78">getText(I251)=getText(M251)</f>
        <v>1</v>
      </c>
      <c r="R251" s="6"/>
      <c r="S251" s="6"/>
    </row>
    <row r="252" spans="1:20" x14ac:dyDescent="0.15">
      <c r="D252" t="s">
        <v>221</v>
      </c>
      <c r="E252" s="9" t="s">
        <v>222</v>
      </c>
      <c r="F252" s="17">
        <v>1</v>
      </c>
      <c r="G252">
        <v>16</v>
      </c>
      <c r="I252" s="1" t="str">
        <f t="shared" si="77"/>
        <v>10</v>
      </c>
      <c r="M252" s="1" t="s">
        <v>15</v>
      </c>
      <c r="Q252" s="1" t="b">
        <f t="shared" si="78"/>
        <v>1</v>
      </c>
      <c r="R252" s="6"/>
      <c r="S252" s="6"/>
    </row>
    <row r="253" spans="1:20" x14ac:dyDescent="0.15">
      <c r="C253" s="2" t="s">
        <v>223</v>
      </c>
      <c r="D253" s="2" t="s">
        <v>219</v>
      </c>
      <c r="E253" s="11" t="s">
        <v>225</v>
      </c>
      <c r="F253" s="13" t="s">
        <v>226</v>
      </c>
      <c r="G253" s="2">
        <v>2</v>
      </c>
      <c r="H253" s="2"/>
      <c r="I253" s="3" t="str">
        <f t="shared" ref="I253" si="79">TESTadd(E253,F253,G253)</f>
        <v>100</v>
      </c>
      <c r="J253" s="2"/>
      <c r="K253" s="2"/>
      <c r="L253" s="2"/>
      <c r="M253" s="3" t="s">
        <v>21</v>
      </c>
      <c r="N253" s="2"/>
      <c r="O253" s="2"/>
      <c r="P253" s="2"/>
      <c r="Q253" s="3" t="b">
        <f t="shared" ref="Q253:Q255" si="80">getText(I253)=getText(M253)</f>
        <v>1</v>
      </c>
      <c r="R253" s="6"/>
      <c r="S253" s="6"/>
    </row>
    <row r="254" spans="1:20" x14ac:dyDescent="0.15">
      <c r="D254" t="s">
        <v>220</v>
      </c>
      <c r="E254" s="9" t="s">
        <v>228</v>
      </c>
      <c r="F254" s="17" t="s">
        <v>229</v>
      </c>
      <c r="G254">
        <v>10</v>
      </c>
      <c r="I254" s="1" t="str">
        <f t="shared" ref="I254" si="81">TESTadd(E254,F254,G254)</f>
        <v>100</v>
      </c>
      <c r="M254" s="1" t="s">
        <v>21</v>
      </c>
      <c r="Q254" s="1" t="b">
        <f t="shared" si="80"/>
        <v>1</v>
      </c>
      <c r="R254" s="6"/>
      <c r="S254" s="6"/>
    </row>
    <row r="255" spans="1:20" x14ac:dyDescent="0.15">
      <c r="D255" t="s">
        <v>221</v>
      </c>
      <c r="E255" s="9" t="s">
        <v>230</v>
      </c>
      <c r="F255" s="17" t="s">
        <v>231</v>
      </c>
      <c r="G255">
        <v>16</v>
      </c>
      <c r="I255" s="1" t="str">
        <f t="shared" ref="I255" si="82">TESTadd(E255,F255,G255)</f>
        <v>100</v>
      </c>
      <c r="M255" s="1" t="s">
        <v>21</v>
      </c>
      <c r="Q255" s="1" t="b">
        <f t="shared" si="80"/>
        <v>1</v>
      </c>
      <c r="R255" s="6"/>
      <c r="S255" s="6"/>
    </row>
    <row r="256" spans="1:20" x14ac:dyDescent="0.15">
      <c r="C256" s="2" t="s">
        <v>224</v>
      </c>
      <c r="D256" s="2" t="s">
        <v>219</v>
      </c>
      <c r="E256" s="11" t="s">
        <v>232</v>
      </c>
      <c r="F256" s="13" t="s">
        <v>233</v>
      </c>
      <c r="G256" s="2">
        <v>2</v>
      </c>
      <c r="H256" s="2"/>
      <c r="I256" s="3" t="str">
        <f t="shared" ref="I256" si="83">TESTadd(E256,F256,G256)</f>
        <v>1000</v>
      </c>
      <c r="J256" s="2"/>
      <c r="K256" s="2"/>
      <c r="L256" s="2"/>
      <c r="M256" s="3" t="s">
        <v>34</v>
      </c>
      <c r="N256" s="2"/>
      <c r="O256" s="2"/>
      <c r="P256" s="2"/>
      <c r="Q256" s="3" t="b">
        <f t="shared" ref="Q256:Q258" si="84">getText(I256)=getText(M256)</f>
        <v>1</v>
      </c>
      <c r="R256" s="6"/>
      <c r="S256" s="6"/>
    </row>
    <row r="257" spans="2:19" x14ac:dyDescent="0.15">
      <c r="C257" s="6"/>
      <c r="D257" s="6" t="s">
        <v>220</v>
      </c>
      <c r="E257" s="9" t="s">
        <v>234</v>
      </c>
      <c r="F257" s="14" t="s">
        <v>235</v>
      </c>
      <c r="G257" s="6">
        <v>10</v>
      </c>
      <c r="H257" s="6"/>
      <c r="I257" s="1" t="str">
        <f t="shared" ref="I257:I258" si="85">TESTadd(E257,F257,G257)</f>
        <v>1000</v>
      </c>
      <c r="J257" s="6"/>
      <c r="K257" s="6"/>
      <c r="L257" s="6"/>
      <c r="M257" s="1" t="s">
        <v>34</v>
      </c>
      <c r="N257" s="6"/>
      <c r="O257" s="6"/>
      <c r="P257" s="6"/>
      <c r="Q257" s="1" t="b">
        <f t="shared" si="84"/>
        <v>1</v>
      </c>
      <c r="R257" s="6"/>
      <c r="S257" s="6"/>
    </row>
    <row r="258" spans="2:19" x14ac:dyDescent="0.15">
      <c r="D258" t="s">
        <v>221</v>
      </c>
      <c r="E258" s="9" t="s">
        <v>236</v>
      </c>
      <c r="F258" s="17" t="s">
        <v>235</v>
      </c>
      <c r="G258">
        <v>16</v>
      </c>
      <c r="I258" s="1" t="str">
        <f t="shared" si="85"/>
        <v>1000</v>
      </c>
      <c r="M258" s="1" t="s">
        <v>34</v>
      </c>
      <c r="Q258" s="1" t="b">
        <f t="shared" si="84"/>
        <v>1</v>
      </c>
      <c r="R258" s="6"/>
      <c r="S258" s="6"/>
    </row>
    <row r="259" spans="2:19" x14ac:dyDescent="0.15">
      <c r="B259" s="2" t="s">
        <v>245</v>
      </c>
      <c r="C259" s="2" t="s">
        <v>264</v>
      </c>
      <c r="D259" s="2" t="s">
        <v>219</v>
      </c>
      <c r="E259" s="11" t="s">
        <v>268</v>
      </c>
      <c r="F259" s="13" t="s">
        <v>268</v>
      </c>
      <c r="G259" s="2">
        <v>2</v>
      </c>
      <c r="H259" s="2"/>
      <c r="I259" s="3" t="str">
        <f t="shared" ref="I259:I269" si="86">TESTadd(E259,F259,G259)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87">getText(I259)=getText(M259)</f>
        <v>1</v>
      </c>
      <c r="R259" s="6"/>
      <c r="S259" s="6"/>
    </row>
    <row r="260" spans="2:19" x14ac:dyDescent="0.15">
      <c r="B260" t="s">
        <v>332</v>
      </c>
      <c r="D260" s="6" t="s">
        <v>220</v>
      </c>
      <c r="E260" s="9" t="s">
        <v>269</v>
      </c>
      <c r="F260" s="17" t="s">
        <v>270</v>
      </c>
      <c r="G260" s="6">
        <v>10</v>
      </c>
      <c r="I260" s="1" t="str">
        <f t="shared" si="86"/>
        <v>0</v>
      </c>
      <c r="M260" s="1" t="s">
        <v>14</v>
      </c>
      <c r="Q260" s="1" t="b">
        <f t="shared" si="87"/>
        <v>1</v>
      </c>
      <c r="R260" s="6"/>
      <c r="S260" s="6"/>
    </row>
    <row r="261" spans="2:19" x14ac:dyDescent="0.15">
      <c r="B261" t="s">
        <v>333</v>
      </c>
      <c r="D261" t="s">
        <v>221</v>
      </c>
      <c r="E261" s="9" t="s">
        <v>270</v>
      </c>
      <c r="F261" s="17" t="s">
        <v>270</v>
      </c>
      <c r="G261">
        <v>16</v>
      </c>
      <c r="I261" s="1" t="str">
        <f t="shared" si="86"/>
        <v>0</v>
      </c>
      <c r="M261" s="1" t="s">
        <v>14</v>
      </c>
      <c r="Q261" s="1" t="b">
        <f t="shared" si="87"/>
        <v>1</v>
      </c>
      <c r="R261" s="6"/>
      <c r="S261" s="6"/>
    </row>
    <row r="262" spans="2:19" x14ac:dyDescent="0.15">
      <c r="C262" s="2" t="s">
        <v>265</v>
      </c>
      <c r="D262" s="2" t="s">
        <v>219</v>
      </c>
      <c r="E262" s="11" t="s">
        <v>268</v>
      </c>
      <c r="F262" s="13" t="s">
        <v>271</v>
      </c>
      <c r="G262" s="2">
        <v>2</v>
      </c>
      <c r="H262" s="2"/>
      <c r="I262" s="3" t="str">
        <f t="shared" si="86"/>
        <v>1</v>
      </c>
      <c r="J262" s="2"/>
      <c r="K262" s="2"/>
      <c r="L262" s="2"/>
      <c r="M262" s="3" t="s">
        <v>44</v>
      </c>
      <c r="N262" s="2"/>
      <c r="O262" s="2"/>
      <c r="P262" s="2"/>
      <c r="Q262" s="3" t="b">
        <f t="shared" ref="Q262:Q268" si="88">getText(I262)=getText(M262)</f>
        <v>1</v>
      </c>
      <c r="R262" s="6"/>
      <c r="S262" s="6"/>
    </row>
    <row r="263" spans="2:19" x14ac:dyDescent="0.15">
      <c r="D263" s="6" t="s">
        <v>220</v>
      </c>
      <c r="E263" s="9" t="s">
        <v>269</v>
      </c>
      <c r="F263" s="17" t="s">
        <v>272</v>
      </c>
      <c r="G263" s="6">
        <v>10</v>
      </c>
      <c r="I263" s="1" t="str">
        <f t="shared" si="86"/>
        <v>9</v>
      </c>
      <c r="M263" s="1" t="s">
        <v>100</v>
      </c>
      <c r="Q263" s="1" t="b">
        <f t="shared" si="88"/>
        <v>1</v>
      </c>
      <c r="R263" s="6"/>
      <c r="S263" s="6"/>
    </row>
    <row r="264" spans="2:19" x14ac:dyDescent="0.15">
      <c r="D264" t="s">
        <v>221</v>
      </c>
      <c r="E264" s="9" t="s">
        <v>268</v>
      </c>
      <c r="F264" s="17" t="s">
        <v>273</v>
      </c>
      <c r="G264">
        <v>16</v>
      </c>
      <c r="I264" s="1" t="str">
        <f t="shared" si="86"/>
        <v>F</v>
      </c>
      <c r="M264" s="1" t="s">
        <v>98</v>
      </c>
      <c r="Q264" s="1" t="b">
        <f t="shared" si="88"/>
        <v>1</v>
      </c>
      <c r="R264" s="6"/>
      <c r="S264" s="6"/>
    </row>
    <row r="265" spans="2:19" x14ac:dyDescent="0.15">
      <c r="C265" s="2" t="s">
        <v>266</v>
      </c>
      <c r="D265" s="2" t="s">
        <v>219</v>
      </c>
      <c r="E265" s="11" t="s">
        <v>44</v>
      </c>
      <c r="F265" s="13" t="s">
        <v>270</v>
      </c>
      <c r="G265" s="2">
        <v>2</v>
      </c>
      <c r="H265" s="2"/>
      <c r="I265" s="3" t="str">
        <f t="shared" si="86"/>
        <v>1</v>
      </c>
      <c r="J265" s="2"/>
      <c r="K265" s="2"/>
      <c r="L265" s="2"/>
      <c r="M265" s="3" t="s">
        <v>44</v>
      </c>
      <c r="N265" s="2"/>
      <c r="O265" s="2"/>
      <c r="P265" s="2"/>
      <c r="Q265" s="3" t="b">
        <f t="shared" si="88"/>
        <v>1</v>
      </c>
      <c r="R265" s="6"/>
      <c r="S265" s="6"/>
    </row>
    <row r="266" spans="2:19" x14ac:dyDescent="0.15">
      <c r="D266" s="6" t="s">
        <v>220</v>
      </c>
      <c r="E266" s="9" t="s">
        <v>100</v>
      </c>
      <c r="F266" s="14" t="s">
        <v>274</v>
      </c>
      <c r="G266" s="6">
        <v>10</v>
      </c>
      <c r="H266" s="6"/>
      <c r="I266" s="1" t="str">
        <f t="shared" si="86"/>
        <v>9</v>
      </c>
      <c r="J266" s="6"/>
      <c r="K266" s="6"/>
      <c r="L266" s="6"/>
      <c r="M266" s="1" t="s">
        <v>100</v>
      </c>
      <c r="N266" s="6"/>
      <c r="O266" s="6"/>
      <c r="P266" s="6"/>
      <c r="Q266" s="1" t="b">
        <f t="shared" si="88"/>
        <v>1</v>
      </c>
      <c r="R266" s="6"/>
      <c r="S266" s="6"/>
    </row>
    <row r="267" spans="2:19" x14ac:dyDescent="0.15">
      <c r="D267" t="s">
        <v>221</v>
      </c>
      <c r="E267" s="9" t="s">
        <v>98</v>
      </c>
      <c r="F267" s="17" t="s">
        <v>270</v>
      </c>
      <c r="G267">
        <v>16</v>
      </c>
      <c r="I267" s="1" t="str">
        <f t="shared" si="86"/>
        <v>F</v>
      </c>
      <c r="M267" s="1" t="s">
        <v>98</v>
      </c>
      <c r="Q267" s="1" t="b">
        <f t="shared" si="88"/>
        <v>1</v>
      </c>
      <c r="R267" s="6"/>
      <c r="S267" s="6"/>
    </row>
    <row r="268" spans="2:19" x14ac:dyDescent="0.15">
      <c r="C268" s="2" t="s">
        <v>267</v>
      </c>
      <c r="D268" s="2" t="s">
        <v>219</v>
      </c>
      <c r="E268" s="11" t="s">
        <v>44</v>
      </c>
      <c r="F268" s="13" t="s">
        <v>44</v>
      </c>
      <c r="G268" s="2">
        <v>2</v>
      </c>
      <c r="H268" s="2"/>
      <c r="I268" s="3" t="str">
        <f t="shared" si="86"/>
        <v>10</v>
      </c>
      <c r="J268" s="2"/>
      <c r="K268" s="2"/>
      <c r="L268" s="2"/>
      <c r="M268" s="3" t="s">
        <v>15</v>
      </c>
      <c r="N268" s="2"/>
      <c r="O268" s="2"/>
      <c r="P268" s="2"/>
      <c r="Q268" s="3" t="b">
        <f t="shared" si="88"/>
        <v>1</v>
      </c>
      <c r="R268" s="6"/>
      <c r="S268" s="6"/>
    </row>
    <row r="269" spans="2:19" x14ac:dyDescent="0.15">
      <c r="D269" s="6" t="s">
        <v>283</v>
      </c>
      <c r="E269" s="9" t="s">
        <v>100</v>
      </c>
      <c r="F269" s="17" t="s">
        <v>100</v>
      </c>
      <c r="G269" s="6">
        <v>10</v>
      </c>
      <c r="I269" s="1" t="str">
        <f t="shared" si="86"/>
        <v>18</v>
      </c>
      <c r="M269" s="1" t="s">
        <v>254</v>
      </c>
      <c r="Q269" s="1" t="b">
        <f t="shared" ref="Q269:Q272" si="89">getText(I269)=getText(M269)</f>
        <v>1</v>
      </c>
      <c r="R269" s="6"/>
      <c r="S269" s="6"/>
    </row>
    <row r="270" spans="2:19" x14ac:dyDescent="0.15">
      <c r="D270" t="s">
        <v>284</v>
      </c>
      <c r="E270" s="9" t="s">
        <v>287</v>
      </c>
      <c r="F270" s="17" t="s">
        <v>282</v>
      </c>
      <c r="G270" s="7">
        <v>10</v>
      </c>
      <c r="I270" s="1" t="str">
        <f t="shared" ref="I270:I272" si="90">TESTadd(E270,F270,G270)</f>
        <v>10</v>
      </c>
      <c r="M270" s="1" t="s">
        <v>15</v>
      </c>
      <c r="Q270" s="1" t="b">
        <f t="shared" si="89"/>
        <v>1</v>
      </c>
      <c r="R270" s="6"/>
      <c r="S270" s="6"/>
    </row>
    <row r="271" spans="2:19" x14ac:dyDescent="0.15">
      <c r="D271" t="s">
        <v>285</v>
      </c>
      <c r="E271" s="9" t="s">
        <v>98</v>
      </c>
      <c r="F271" s="17" t="s">
        <v>98</v>
      </c>
      <c r="G271">
        <v>16</v>
      </c>
      <c r="I271" s="1" t="str">
        <f t="shared" si="90"/>
        <v>1E</v>
      </c>
      <c r="M271" s="1" t="s">
        <v>255</v>
      </c>
      <c r="Q271" s="1" t="b">
        <f t="shared" si="89"/>
        <v>1</v>
      </c>
      <c r="R271" s="6"/>
      <c r="S271" s="6"/>
    </row>
    <row r="272" spans="2:19" x14ac:dyDescent="0.15">
      <c r="D272" t="s">
        <v>286</v>
      </c>
      <c r="E272" s="9" t="s">
        <v>288</v>
      </c>
      <c r="F272" s="17" t="s">
        <v>289</v>
      </c>
      <c r="G272">
        <v>16</v>
      </c>
      <c r="I272" s="1" t="str">
        <f t="shared" si="90"/>
        <v>10</v>
      </c>
      <c r="M272" s="1" t="s">
        <v>15</v>
      </c>
      <c r="Q272" s="1" t="b">
        <f t="shared" si="89"/>
        <v>1</v>
      </c>
      <c r="R272" s="6"/>
      <c r="S272" s="6"/>
    </row>
    <row r="273" spans="2:19" x14ac:dyDescent="0.15">
      <c r="B273" s="6"/>
      <c r="C273" s="2" t="s">
        <v>237</v>
      </c>
      <c r="D273" s="2" t="s">
        <v>219</v>
      </c>
      <c r="E273" s="11" t="s">
        <v>247</v>
      </c>
      <c r="F273" s="13" t="s">
        <v>258</v>
      </c>
      <c r="G273" s="2">
        <v>2</v>
      </c>
      <c r="H273" s="2"/>
      <c r="I273" s="3" t="str">
        <f t="shared" ref="I273" si="91">TESTadd(E273,F273,G273)</f>
        <v>01</v>
      </c>
      <c r="J273" s="2"/>
      <c r="K273" s="2"/>
      <c r="L273" s="2"/>
      <c r="M273" s="3" t="s">
        <v>247</v>
      </c>
      <c r="N273" s="2"/>
      <c r="O273" s="2"/>
      <c r="P273" s="2"/>
      <c r="Q273" s="3" t="b">
        <f t="shared" ref="Q273:Q275" si="92">getText(I273)=getText(M273)</f>
        <v>1</v>
      </c>
      <c r="R273" s="6"/>
      <c r="S273" s="6"/>
    </row>
    <row r="274" spans="2:19" x14ac:dyDescent="0.15">
      <c r="D274" t="s">
        <v>220</v>
      </c>
      <c r="E274" s="9" t="s">
        <v>249</v>
      </c>
      <c r="F274" s="17" t="s">
        <v>258</v>
      </c>
      <c r="G274">
        <v>10</v>
      </c>
      <c r="I274" s="1" t="str">
        <f t="shared" ref="I274" si="93">TESTadd(E274,F274,G274)</f>
        <v>09</v>
      </c>
      <c r="M274" s="1" t="s">
        <v>249</v>
      </c>
      <c r="Q274" s="1" t="b">
        <f t="shared" si="92"/>
        <v>1</v>
      </c>
      <c r="R274" s="6"/>
      <c r="S274" s="6"/>
    </row>
    <row r="275" spans="2:19" x14ac:dyDescent="0.15">
      <c r="D275" t="s">
        <v>221</v>
      </c>
      <c r="E275" s="9" t="s">
        <v>252</v>
      </c>
      <c r="F275" s="17" t="s">
        <v>246</v>
      </c>
      <c r="G275">
        <v>16</v>
      </c>
      <c r="I275" s="1" t="str">
        <f t="shared" ref="I275" si="94">TESTadd(E275,F275,G275)</f>
        <v>0F</v>
      </c>
      <c r="M275" s="1" t="s">
        <v>252</v>
      </c>
      <c r="Q275" s="1" t="b">
        <f t="shared" si="92"/>
        <v>1</v>
      </c>
      <c r="R275" s="6"/>
      <c r="S275" s="6"/>
    </row>
    <row r="276" spans="2:19" x14ac:dyDescent="0.15">
      <c r="C276" s="2" t="s">
        <v>238</v>
      </c>
      <c r="D276" s="2" t="s">
        <v>219</v>
      </c>
      <c r="E276" s="11" t="s">
        <v>248</v>
      </c>
      <c r="F276" s="13" t="s">
        <v>248</v>
      </c>
      <c r="G276" s="2">
        <v>2</v>
      </c>
      <c r="H276" s="2"/>
      <c r="I276" s="3" t="str">
        <f t="shared" ref="I276" si="95">TESTadd(E276,F276,G276)</f>
        <v>10</v>
      </c>
      <c r="J276" s="2"/>
      <c r="K276" s="2"/>
      <c r="L276" s="2"/>
      <c r="M276" s="3" t="s">
        <v>15</v>
      </c>
      <c r="N276" s="2"/>
      <c r="O276" s="2"/>
      <c r="P276" s="2"/>
      <c r="Q276" s="3" t="b">
        <f t="shared" ref="Q276:Q278" si="96">getText(I276)=getText(M276)</f>
        <v>1</v>
      </c>
      <c r="R276" s="6"/>
      <c r="S276" s="6"/>
    </row>
    <row r="277" spans="2:19" x14ac:dyDescent="0.15">
      <c r="D277" t="s">
        <v>220</v>
      </c>
      <c r="E277" s="9" t="s">
        <v>250</v>
      </c>
      <c r="F277" s="17" t="s">
        <v>251</v>
      </c>
      <c r="G277">
        <v>10</v>
      </c>
      <c r="I277" s="1" t="str">
        <f t="shared" ref="I277" si="97">TESTadd(E277,F277,G277)</f>
        <v>18</v>
      </c>
      <c r="M277" s="1" t="s">
        <v>254</v>
      </c>
      <c r="Q277" s="1" t="b">
        <f t="shared" si="96"/>
        <v>1</v>
      </c>
      <c r="R277" s="6"/>
      <c r="S277" s="6"/>
    </row>
    <row r="278" spans="2:19" x14ac:dyDescent="0.15">
      <c r="D278" t="s">
        <v>221</v>
      </c>
      <c r="E278" s="9" t="s">
        <v>253</v>
      </c>
      <c r="F278" s="17" t="s">
        <v>253</v>
      </c>
      <c r="G278">
        <v>16</v>
      </c>
      <c r="I278" s="1" t="str">
        <f t="shared" ref="I278" si="98">TESTadd(E278,F278,G278)</f>
        <v>1E</v>
      </c>
      <c r="M278" s="1" t="s">
        <v>255</v>
      </c>
      <c r="Q278" s="1" t="b">
        <f t="shared" si="96"/>
        <v>1</v>
      </c>
      <c r="R278" s="6"/>
      <c r="S278" s="6"/>
    </row>
    <row r="279" spans="2:19" x14ac:dyDescent="0.15">
      <c r="C279" s="2" t="s">
        <v>239</v>
      </c>
      <c r="D279" s="2" t="s">
        <v>219</v>
      </c>
      <c r="E279" s="11" t="s">
        <v>247</v>
      </c>
      <c r="F279" s="13" t="s">
        <v>256</v>
      </c>
      <c r="G279" s="2">
        <v>2</v>
      </c>
      <c r="H279" s="2"/>
      <c r="I279" s="3" t="str">
        <f t="shared" ref="I279:I281" si="99">TESTadd(E279,F279,G279)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100">getText(I279)=getText(M279)</f>
        <v>1</v>
      </c>
      <c r="R279" s="6"/>
      <c r="S279" s="6"/>
    </row>
    <row r="280" spans="2:19" x14ac:dyDescent="0.15">
      <c r="D280" t="s">
        <v>220</v>
      </c>
      <c r="E280" s="9" t="s">
        <v>249</v>
      </c>
      <c r="F280" s="17" t="s">
        <v>259</v>
      </c>
      <c r="G280">
        <v>10</v>
      </c>
      <c r="I280" s="1" t="str">
        <f t="shared" si="99"/>
        <v>99</v>
      </c>
      <c r="M280" s="1" t="s">
        <v>227</v>
      </c>
      <c r="Q280" s="1" t="b">
        <f t="shared" si="100"/>
        <v>1</v>
      </c>
      <c r="R280" s="6"/>
      <c r="S280" s="6"/>
    </row>
    <row r="281" spans="2:19" x14ac:dyDescent="0.15">
      <c r="D281" t="s">
        <v>221</v>
      </c>
      <c r="E281" s="9" t="s">
        <v>252</v>
      </c>
      <c r="F281" s="17" t="s">
        <v>260</v>
      </c>
      <c r="G281">
        <v>16</v>
      </c>
      <c r="I281" s="1" t="str">
        <f t="shared" si="99"/>
        <v>FF</v>
      </c>
      <c r="M281" s="1" t="s">
        <v>22</v>
      </c>
      <c r="Q281" s="1" t="b">
        <f t="shared" si="100"/>
        <v>1</v>
      </c>
      <c r="R281" s="6"/>
      <c r="S281" s="6"/>
    </row>
    <row r="282" spans="2:19" x14ac:dyDescent="0.15">
      <c r="C282" s="2" t="s">
        <v>240</v>
      </c>
      <c r="D282" s="2" t="s">
        <v>219</v>
      </c>
      <c r="E282" s="11" t="s">
        <v>248</v>
      </c>
      <c r="F282" s="13" t="s">
        <v>225</v>
      </c>
      <c r="G282" s="2">
        <v>2</v>
      </c>
      <c r="H282" s="2"/>
      <c r="I282" s="3" t="str">
        <f t="shared" ref="I282:I284" si="101">TESTadd(E282,F282,G282)</f>
        <v>100</v>
      </c>
      <c r="J282" s="2"/>
      <c r="K282" s="2"/>
      <c r="L282" s="2"/>
      <c r="M282" s="3" t="s">
        <v>21</v>
      </c>
      <c r="N282" s="2"/>
      <c r="O282" s="2"/>
      <c r="P282" s="2"/>
      <c r="Q282" s="3" t="b">
        <f t="shared" ref="Q282:Q284" si="102">getText(I282)=getText(M282)</f>
        <v>1</v>
      </c>
      <c r="R282" s="6"/>
      <c r="S282" s="6"/>
    </row>
    <row r="283" spans="2:19" x14ac:dyDescent="0.15">
      <c r="C283" s="6"/>
      <c r="D283" s="6" t="s">
        <v>220</v>
      </c>
      <c r="E283" s="9" t="s">
        <v>250</v>
      </c>
      <c r="F283" s="14" t="s">
        <v>261</v>
      </c>
      <c r="G283" s="6">
        <v>10</v>
      </c>
      <c r="H283" s="6"/>
      <c r="I283" s="1" t="str">
        <f t="shared" si="101"/>
        <v>108</v>
      </c>
      <c r="J283" s="6"/>
      <c r="K283" s="6"/>
      <c r="L283" s="6"/>
      <c r="M283" s="1" t="s">
        <v>262</v>
      </c>
      <c r="N283" s="6"/>
      <c r="O283" s="6"/>
      <c r="P283" s="6"/>
      <c r="Q283" s="1" t="b">
        <f t="shared" si="102"/>
        <v>1</v>
      </c>
      <c r="R283" s="6"/>
      <c r="S283" s="6"/>
    </row>
    <row r="284" spans="2:19" x14ac:dyDescent="0.15">
      <c r="D284" t="s">
        <v>221</v>
      </c>
      <c r="E284" s="9" t="s">
        <v>253</v>
      </c>
      <c r="F284" s="17" t="s">
        <v>230</v>
      </c>
      <c r="G284">
        <v>16</v>
      </c>
      <c r="I284" s="1" t="str">
        <f t="shared" si="101"/>
        <v>10E</v>
      </c>
      <c r="M284" s="1" t="s">
        <v>263</v>
      </c>
      <c r="Q284" s="1" t="b">
        <f t="shared" si="102"/>
        <v>1</v>
      </c>
      <c r="R284" s="6"/>
      <c r="S284" s="6"/>
    </row>
    <row r="285" spans="2:19" x14ac:dyDescent="0.15">
      <c r="C285" s="2" t="s">
        <v>241</v>
      </c>
      <c r="D285" s="2" t="s">
        <v>219</v>
      </c>
      <c r="E285" s="11" t="s">
        <v>275</v>
      </c>
      <c r="F285" s="13" t="s">
        <v>257</v>
      </c>
      <c r="G285" s="2">
        <v>2</v>
      </c>
      <c r="H285" s="2"/>
      <c r="I285" s="3" t="str">
        <f t="shared" ref="I285:I287" si="103">TESTadd(E285,F285,G285)</f>
        <v>100</v>
      </c>
      <c r="J285" s="2"/>
      <c r="K285" s="2"/>
      <c r="L285" s="2"/>
      <c r="M285" s="3" t="s">
        <v>21</v>
      </c>
      <c r="N285" s="2"/>
      <c r="O285" s="2"/>
      <c r="P285" s="2"/>
      <c r="Q285" s="3" t="b">
        <f t="shared" ref="Q285:Q287" si="104">getText(I285)=getText(M285)</f>
        <v>1</v>
      </c>
      <c r="R285" s="6"/>
      <c r="S285" s="6"/>
    </row>
    <row r="286" spans="2:19" x14ac:dyDescent="0.15">
      <c r="C286" s="6"/>
      <c r="D286" s="6" t="s">
        <v>220</v>
      </c>
      <c r="E286" s="9" t="s">
        <v>261</v>
      </c>
      <c r="F286" s="14" t="s">
        <v>250</v>
      </c>
      <c r="G286" s="6">
        <v>10</v>
      </c>
      <c r="H286" s="6"/>
      <c r="I286" s="1" t="str">
        <f t="shared" si="103"/>
        <v>108</v>
      </c>
      <c r="J286" s="6"/>
      <c r="K286" s="6"/>
      <c r="L286" s="6"/>
      <c r="M286" s="1" t="s">
        <v>262</v>
      </c>
      <c r="N286" s="6"/>
      <c r="O286" s="6"/>
      <c r="P286" s="6"/>
      <c r="Q286" s="1" t="b">
        <f t="shared" si="104"/>
        <v>1</v>
      </c>
      <c r="R286" s="6"/>
      <c r="S286" s="6"/>
    </row>
    <row r="287" spans="2:19" x14ac:dyDescent="0.15">
      <c r="C287" s="6"/>
      <c r="D287" s="6" t="s">
        <v>221</v>
      </c>
      <c r="E287" s="9" t="s">
        <v>230</v>
      </c>
      <c r="F287" s="14" t="s">
        <v>253</v>
      </c>
      <c r="G287" s="6">
        <v>16</v>
      </c>
      <c r="H287" s="6"/>
      <c r="I287" s="1" t="str">
        <f t="shared" si="103"/>
        <v>10E</v>
      </c>
      <c r="J287" s="6"/>
      <c r="K287" s="6"/>
      <c r="L287" s="6"/>
      <c r="M287" s="1" t="s">
        <v>263</v>
      </c>
      <c r="N287" s="6"/>
      <c r="O287" s="6"/>
      <c r="P287" s="6"/>
      <c r="Q287" s="1" t="b">
        <f t="shared" si="104"/>
        <v>1</v>
      </c>
      <c r="R287" s="6"/>
      <c r="S287" s="6"/>
    </row>
    <row r="288" spans="2:19" x14ac:dyDescent="0.15">
      <c r="C288" s="2" t="s">
        <v>242</v>
      </c>
      <c r="D288" s="2" t="s">
        <v>219</v>
      </c>
      <c r="E288" s="11" t="s">
        <v>275</v>
      </c>
      <c r="F288" s="13" t="s">
        <v>257</v>
      </c>
      <c r="G288" s="2">
        <v>2</v>
      </c>
      <c r="H288" s="2"/>
      <c r="I288" s="3" t="str">
        <f t="shared" ref="I288:I290" si="105">TESTadd(E288,F288,G288)</f>
        <v>100</v>
      </c>
      <c r="J288" s="2"/>
      <c r="K288" s="2"/>
      <c r="L288" s="2"/>
      <c r="M288" s="3" t="s">
        <v>21</v>
      </c>
      <c r="N288" s="2"/>
      <c r="O288" s="2"/>
      <c r="P288" s="2"/>
      <c r="Q288" s="3" t="b">
        <f t="shared" ref="Q288:Q290" si="106">getText(I288)=getText(M288)</f>
        <v>1</v>
      </c>
      <c r="R288" s="6"/>
      <c r="S288" s="6"/>
    </row>
    <row r="289" spans="1:19" x14ac:dyDescent="0.15">
      <c r="C289" s="6"/>
      <c r="D289" s="6" t="s">
        <v>220</v>
      </c>
      <c r="E289" s="9" t="s">
        <v>261</v>
      </c>
      <c r="F289" s="14" t="s">
        <v>250</v>
      </c>
      <c r="G289" s="6">
        <v>10</v>
      </c>
      <c r="H289" s="6"/>
      <c r="I289" s="1" t="str">
        <f t="shared" si="105"/>
        <v>108</v>
      </c>
      <c r="J289" s="6"/>
      <c r="K289" s="6"/>
      <c r="L289" s="6"/>
      <c r="M289" s="1" t="s">
        <v>262</v>
      </c>
      <c r="N289" s="6"/>
      <c r="O289" s="6"/>
      <c r="P289" s="6"/>
      <c r="Q289" s="1" t="b">
        <f t="shared" si="106"/>
        <v>1</v>
      </c>
      <c r="R289" s="6"/>
      <c r="S289" s="6"/>
    </row>
    <row r="290" spans="1:19" x14ac:dyDescent="0.15">
      <c r="C290" s="6"/>
      <c r="D290" s="6" t="s">
        <v>221</v>
      </c>
      <c r="E290" s="9" t="s">
        <v>230</v>
      </c>
      <c r="F290" s="14" t="s">
        <v>253</v>
      </c>
      <c r="G290" s="6">
        <v>16</v>
      </c>
      <c r="H290" s="6"/>
      <c r="I290" s="1" t="str">
        <f t="shared" si="105"/>
        <v>10E</v>
      </c>
      <c r="J290" s="6"/>
      <c r="K290" s="6"/>
      <c r="L290" s="6"/>
      <c r="M290" s="1" t="s">
        <v>263</v>
      </c>
      <c r="N290" s="6"/>
      <c r="O290" s="6"/>
      <c r="P290" s="6"/>
      <c r="Q290" s="1" t="b">
        <f t="shared" si="106"/>
        <v>1</v>
      </c>
      <c r="R290" s="6"/>
      <c r="S290" s="6"/>
    </row>
    <row r="291" spans="1:19" x14ac:dyDescent="0.15">
      <c r="C291" s="2" t="s">
        <v>243</v>
      </c>
      <c r="D291" s="2" t="s">
        <v>219</v>
      </c>
      <c r="E291" s="11" t="s">
        <v>275</v>
      </c>
      <c r="F291" s="13" t="s">
        <v>276</v>
      </c>
      <c r="G291" s="2">
        <v>2</v>
      </c>
      <c r="H291" s="2"/>
      <c r="I291" s="3" t="str">
        <f t="shared" ref="I291:I293" si="107">TESTadd(E291,F291,G291)</f>
        <v>101</v>
      </c>
      <c r="J291" s="2"/>
      <c r="K291" s="2"/>
      <c r="L291" s="2"/>
      <c r="M291" s="3" t="s">
        <v>279</v>
      </c>
      <c r="N291" s="2"/>
      <c r="O291" s="2"/>
      <c r="P291" s="2"/>
      <c r="Q291" s="3" t="b">
        <f t="shared" ref="Q291:Q293" si="108">getText(I291)=getText(M291)</f>
        <v>1</v>
      </c>
      <c r="R291" s="6"/>
      <c r="S291" s="6"/>
    </row>
    <row r="292" spans="1:19" x14ac:dyDescent="0.15">
      <c r="C292" s="6"/>
      <c r="D292" s="6" t="s">
        <v>220</v>
      </c>
      <c r="E292" s="9" t="s">
        <v>261</v>
      </c>
      <c r="F292" s="14" t="s">
        <v>277</v>
      </c>
      <c r="G292" s="6">
        <v>10</v>
      </c>
      <c r="H292" s="6"/>
      <c r="I292" s="1" t="str">
        <f t="shared" si="107"/>
        <v>189</v>
      </c>
      <c r="J292" s="6"/>
      <c r="K292" s="6"/>
      <c r="L292" s="6"/>
      <c r="M292" s="1" t="s">
        <v>280</v>
      </c>
      <c r="N292" s="6"/>
      <c r="O292" s="6"/>
      <c r="P292" s="6"/>
      <c r="Q292" s="1" t="b">
        <f t="shared" si="108"/>
        <v>1</v>
      </c>
      <c r="R292" s="6"/>
      <c r="S292" s="6"/>
    </row>
    <row r="293" spans="1:19" x14ac:dyDescent="0.15">
      <c r="C293" s="6"/>
      <c r="D293" s="6" t="s">
        <v>221</v>
      </c>
      <c r="E293" s="9" t="s">
        <v>230</v>
      </c>
      <c r="F293" s="14" t="s">
        <v>278</v>
      </c>
      <c r="G293" s="6">
        <v>16</v>
      </c>
      <c r="H293" s="6"/>
      <c r="I293" s="1" t="str">
        <f t="shared" si="107"/>
        <v>1EF</v>
      </c>
      <c r="J293" s="6"/>
      <c r="K293" s="6"/>
      <c r="L293" s="6"/>
      <c r="M293" s="1" t="s">
        <v>281</v>
      </c>
      <c r="N293" s="6"/>
      <c r="O293" s="6"/>
      <c r="P293" s="6"/>
      <c r="Q293" s="1" t="b">
        <f t="shared" si="108"/>
        <v>1</v>
      </c>
      <c r="R293" s="6"/>
      <c r="S293" s="6"/>
    </row>
    <row r="294" spans="1:19" x14ac:dyDescent="0.15">
      <c r="C294" s="2" t="s">
        <v>244</v>
      </c>
      <c r="D294" s="2" t="s">
        <v>219</v>
      </c>
      <c r="E294" s="11" t="s">
        <v>275</v>
      </c>
      <c r="F294" s="13" t="s">
        <v>275</v>
      </c>
      <c r="G294" s="2">
        <v>2</v>
      </c>
      <c r="H294" s="2"/>
      <c r="I294" s="3" t="str">
        <f t="shared" ref="I294:I296" si="109">TESTadd(E294,F294,G294)</f>
        <v>110</v>
      </c>
      <c r="J294" s="2"/>
      <c r="K294" s="2"/>
      <c r="L294" s="2"/>
      <c r="M294" s="3" t="s">
        <v>290</v>
      </c>
      <c r="N294" s="2"/>
      <c r="O294" s="2"/>
      <c r="P294" s="2"/>
      <c r="Q294" s="3" t="b">
        <f t="shared" ref="Q294:Q320" si="110">getText(I294)=getText(M294)</f>
        <v>1</v>
      </c>
      <c r="R294" s="6"/>
      <c r="S294" s="6"/>
    </row>
    <row r="295" spans="1:19" x14ac:dyDescent="0.15">
      <c r="C295" s="6"/>
      <c r="D295" s="6" t="s">
        <v>220</v>
      </c>
      <c r="E295" s="9" t="s">
        <v>261</v>
      </c>
      <c r="F295" s="14" t="s">
        <v>261</v>
      </c>
      <c r="G295" s="6">
        <v>10</v>
      </c>
      <c r="H295" s="6"/>
      <c r="I295" s="1" t="str">
        <f t="shared" si="109"/>
        <v>198</v>
      </c>
      <c r="J295" s="6"/>
      <c r="K295" s="6"/>
      <c r="L295" s="6"/>
      <c r="M295" s="1" t="s">
        <v>291</v>
      </c>
      <c r="N295" s="6"/>
      <c r="O295" s="6"/>
      <c r="P295" s="6"/>
      <c r="Q295" s="1" t="b">
        <f t="shared" si="110"/>
        <v>1</v>
      </c>
      <c r="R295" s="6"/>
      <c r="S295" s="6"/>
    </row>
    <row r="296" spans="1:19" x14ac:dyDescent="0.15">
      <c r="C296" s="6"/>
      <c r="D296" s="6" t="s">
        <v>221</v>
      </c>
      <c r="E296" s="9" t="s">
        <v>230</v>
      </c>
      <c r="F296" s="14" t="s">
        <v>230</v>
      </c>
      <c r="G296" s="6">
        <v>16</v>
      </c>
      <c r="H296" s="6"/>
      <c r="I296" s="1" t="str">
        <f t="shared" si="109"/>
        <v>1FE</v>
      </c>
      <c r="J296" s="6"/>
      <c r="K296" s="6"/>
      <c r="L296" s="6"/>
      <c r="M296" s="1" t="s">
        <v>292</v>
      </c>
      <c r="N296" s="6"/>
      <c r="O296" s="6"/>
      <c r="P296" s="6"/>
      <c r="Q296" s="1" t="b">
        <f t="shared" si="110"/>
        <v>1</v>
      </c>
      <c r="R296" s="6"/>
      <c r="S296" s="6"/>
    </row>
    <row r="297" spans="1:19" x14ac:dyDescent="0.15">
      <c r="A297" s="2" t="s">
        <v>475</v>
      </c>
      <c r="B297" s="2" t="s">
        <v>212</v>
      </c>
      <c r="C297" s="2" t="s">
        <v>213</v>
      </c>
      <c r="D297" s="2"/>
      <c r="E297" s="11">
        <v>0</v>
      </c>
      <c r="F297" s="13">
        <v>0</v>
      </c>
      <c r="G297" s="2">
        <v>2</v>
      </c>
      <c r="H297" s="2"/>
      <c r="I297" s="3" t="str">
        <f>TESTsubtract(E297,F297,G297)</f>
        <v>0</v>
      </c>
      <c r="J297" s="2" t="b">
        <f>TESTsubtractByRef1(E297,F297,G297)</f>
        <v>0</v>
      </c>
      <c r="K297" s="2"/>
      <c r="L297" s="2"/>
      <c r="M297" s="3" t="s">
        <v>14</v>
      </c>
      <c r="N297" s="2" t="b">
        <v>0</v>
      </c>
      <c r="O297" s="2"/>
      <c r="P297" s="2"/>
      <c r="Q297" s="3" t="b">
        <f t="shared" si="110"/>
        <v>1</v>
      </c>
      <c r="R297" s="2" t="b">
        <f t="shared" ref="R297:R320" si="111">getText(J297)=getText(N297)</f>
        <v>1</v>
      </c>
      <c r="S297" s="6"/>
    </row>
    <row r="298" spans="1:19" x14ac:dyDescent="0.15">
      <c r="C298" t="s">
        <v>214</v>
      </c>
      <c r="D298" s="6"/>
      <c r="E298" s="9">
        <v>0</v>
      </c>
      <c r="F298" s="17" t="s">
        <v>216</v>
      </c>
      <c r="G298">
        <v>2</v>
      </c>
      <c r="H298" s="6"/>
      <c r="I298" s="1" t="str">
        <f t="shared" ref="I298:I299" si="112">TESTsubtract(E298,F298,G298)</f>
        <v>00</v>
      </c>
      <c r="J298" s="6" t="b">
        <f t="shared" ref="J298:J299" si="113">TESTsubtractByRef1(E298,F298,G298)</f>
        <v>0</v>
      </c>
      <c r="K298" s="6"/>
      <c r="L298" s="6"/>
      <c r="M298" s="1" t="s">
        <v>97</v>
      </c>
      <c r="N298" s="6" t="b">
        <v>0</v>
      </c>
      <c r="O298" s="6"/>
      <c r="P298" s="6"/>
      <c r="Q298" s="1" t="b">
        <f t="shared" si="110"/>
        <v>1</v>
      </c>
      <c r="R298" s="6" t="b">
        <f t="shared" si="111"/>
        <v>1</v>
      </c>
      <c r="S298" s="6"/>
    </row>
    <row r="299" spans="1:19" x14ac:dyDescent="0.15">
      <c r="C299" t="s">
        <v>215</v>
      </c>
      <c r="D299" s="6"/>
      <c r="E299" s="9" t="s">
        <v>216</v>
      </c>
      <c r="F299" s="17" t="s">
        <v>120</v>
      </c>
      <c r="G299">
        <v>2</v>
      </c>
      <c r="H299" s="6"/>
      <c r="I299" s="1" t="str">
        <f t="shared" si="112"/>
        <v>00</v>
      </c>
      <c r="J299" s="6" t="b">
        <f t="shared" si="113"/>
        <v>0</v>
      </c>
      <c r="K299" s="6"/>
      <c r="L299" s="6"/>
      <c r="M299" s="1" t="s">
        <v>97</v>
      </c>
      <c r="N299" s="6" t="b">
        <v>0</v>
      </c>
      <c r="O299" s="6"/>
      <c r="P299" s="6"/>
      <c r="Q299" s="1" t="b">
        <f t="shared" si="110"/>
        <v>1</v>
      </c>
      <c r="R299" s="6" t="b">
        <f t="shared" si="111"/>
        <v>1</v>
      </c>
      <c r="S299" s="6"/>
    </row>
    <row r="300" spans="1:19" x14ac:dyDescent="0.15">
      <c r="B300" s="2" t="s">
        <v>476</v>
      </c>
      <c r="C300" s="2" t="s">
        <v>218</v>
      </c>
      <c r="D300" s="2" t="s">
        <v>46</v>
      </c>
      <c r="E300" s="11" t="s">
        <v>477</v>
      </c>
      <c r="F300" s="13" t="s">
        <v>478</v>
      </c>
      <c r="G300" s="2">
        <v>2</v>
      </c>
      <c r="H300" s="2"/>
      <c r="I300" s="3" t="str">
        <f t="shared" ref="I300" si="114">TESTsubtract(E300,F300,G300)</f>
        <v>0</v>
      </c>
      <c r="J300" s="2" t="b">
        <f t="shared" ref="J300" si="115">TESTsubtractByRef1(E300,F300,G300)</f>
        <v>0</v>
      </c>
      <c r="K300" s="2"/>
      <c r="L300" s="2"/>
      <c r="M300" s="3" t="s">
        <v>14</v>
      </c>
      <c r="N300" s="2" t="b">
        <v>0</v>
      </c>
      <c r="O300" s="2"/>
      <c r="P300" s="2"/>
      <c r="Q300" s="3" t="b">
        <f t="shared" si="110"/>
        <v>1</v>
      </c>
      <c r="R300" s="2" t="b">
        <f t="shared" si="111"/>
        <v>1</v>
      </c>
      <c r="S300" s="6"/>
    </row>
    <row r="301" spans="1:19" x14ac:dyDescent="0.15">
      <c r="D301" t="s">
        <v>47</v>
      </c>
      <c r="E301" s="9" t="s">
        <v>479</v>
      </c>
      <c r="F301" s="14" t="s">
        <v>479</v>
      </c>
      <c r="G301">
        <v>10</v>
      </c>
      <c r="H301" s="6"/>
      <c r="I301" s="1" t="str">
        <f t="shared" ref="I301" si="116">TESTsubtract(E301,F301,G301)</f>
        <v>0</v>
      </c>
      <c r="J301" s="6" t="b">
        <f t="shared" ref="J301" si="117">TESTsubtractByRef1(E301,F301,G301)</f>
        <v>0</v>
      </c>
      <c r="K301" s="6"/>
      <c r="L301" s="6"/>
      <c r="M301" s="1" t="s">
        <v>14</v>
      </c>
      <c r="N301" s="6" t="b">
        <v>0</v>
      </c>
      <c r="O301" s="6"/>
      <c r="P301" s="6"/>
      <c r="Q301" s="1" t="b">
        <f t="shared" si="110"/>
        <v>1</v>
      </c>
      <c r="R301" s="6" t="b">
        <f t="shared" si="111"/>
        <v>1</v>
      </c>
      <c r="S301" s="6"/>
    </row>
    <row r="302" spans="1:19" x14ac:dyDescent="0.15">
      <c r="D302" t="s">
        <v>49</v>
      </c>
      <c r="E302" s="9" t="s">
        <v>480</v>
      </c>
      <c r="F302" s="14" t="s">
        <v>480</v>
      </c>
      <c r="G302">
        <v>16</v>
      </c>
      <c r="H302" s="6"/>
      <c r="I302" s="1" t="str">
        <f t="shared" ref="I302:I305" si="118">TESTsubtract(E302,F302,G302)</f>
        <v>0</v>
      </c>
      <c r="J302" s="6" t="b">
        <f t="shared" ref="J302:J305" si="119">TESTsubtractByRef1(E302,F302,G302)</f>
        <v>0</v>
      </c>
      <c r="K302" s="6"/>
      <c r="L302" s="6"/>
      <c r="M302" s="1" t="s">
        <v>14</v>
      </c>
      <c r="N302" s="6" t="b">
        <v>0</v>
      </c>
      <c r="O302" s="6"/>
      <c r="P302" s="6"/>
      <c r="Q302" s="1" t="b">
        <f t="shared" si="110"/>
        <v>1</v>
      </c>
      <c r="R302" s="6" t="b">
        <f t="shared" si="111"/>
        <v>1</v>
      </c>
      <c r="S302" s="6"/>
    </row>
    <row r="303" spans="1:19" x14ac:dyDescent="0.15">
      <c r="C303" s="2" t="s">
        <v>223</v>
      </c>
      <c r="D303" s="2" t="s">
        <v>46</v>
      </c>
      <c r="E303" s="11" t="s">
        <v>481</v>
      </c>
      <c r="F303" s="13" t="s">
        <v>482</v>
      </c>
      <c r="G303" s="2">
        <v>2</v>
      </c>
      <c r="H303" s="2"/>
      <c r="I303" s="3" t="str">
        <f t="shared" si="118"/>
        <v>01</v>
      </c>
      <c r="J303" s="2" t="b">
        <f t="shared" si="119"/>
        <v>0</v>
      </c>
      <c r="K303" s="2"/>
      <c r="L303" s="2"/>
      <c r="M303" s="3" t="s">
        <v>247</v>
      </c>
      <c r="N303" s="2" t="b">
        <v>0</v>
      </c>
      <c r="O303" s="2"/>
      <c r="P303" s="2"/>
      <c r="Q303" s="3" t="b">
        <f t="shared" si="110"/>
        <v>1</v>
      </c>
      <c r="R303" s="2" t="b">
        <f t="shared" si="111"/>
        <v>1</v>
      </c>
      <c r="S303" s="6"/>
    </row>
    <row r="304" spans="1:19" x14ac:dyDescent="0.15">
      <c r="D304" t="s">
        <v>47</v>
      </c>
      <c r="E304" s="9" t="s">
        <v>481</v>
      </c>
      <c r="F304" s="14" t="s">
        <v>477</v>
      </c>
      <c r="G304">
        <v>10</v>
      </c>
      <c r="H304" s="6"/>
      <c r="I304" s="1" t="str">
        <f t="shared" si="118"/>
        <v>09</v>
      </c>
      <c r="J304" s="6" t="b">
        <f t="shared" si="119"/>
        <v>0</v>
      </c>
      <c r="K304" s="6"/>
      <c r="L304" s="6"/>
      <c r="M304" s="1" t="s">
        <v>249</v>
      </c>
      <c r="N304" s="6" t="b">
        <v>0</v>
      </c>
      <c r="O304" s="6"/>
      <c r="P304" s="6"/>
      <c r="Q304" s="1" t="b">
        <f t="shared" si="110"/>
        <v>1</v>
      </c>
      <c r="R304" s="6" t="b">
        <f t="shared" si="111"/>
        <v>1</v>
      </c>
      <c r="S304" s="6"/>
    </row>
    <row r="305" spans="2:19" x14ac:dyDescent="0.15">
      <c r="D305" t="s">
        <v>49</v>
      </c>
      <c r="E305" s="9" t="s">
        <v>481</v>
      </c>
      <c r="F305" s="14" t="s">
        <v>477</v>
      </c>
      <c r="G305">
        <v>16</v>
      </c>
      <c r="H305" s="6"/>
      <c r="I305" s="1" t="str">
        <f t="shared" si="118"/>
        <v>0F</v>
      </c>
      <c r="J305" s="6" t="b">
        <f t="shared" si="119"/>
        <v>0</v>
      </c>
      <c r="K305" s="6"/>
      <c r="L305" s="6"/>
      <c r="M305" s="1" t="s">
        <v>252</v>
      </c>
      <c r="N305" s="6" t="b">
        <v>0</v>
      </c>
      <c r="O305" s="6"/>
      <c r="P305" s="6"/>
      <c r="Q305" s="1" t="b">
        <f t="shared" si="110"/>
        <v>1</v>
      </c>
      <c r="R305" s="6" t="b">
        <f t="shared" si="111"/>
        <v>1</v>
      </c>
      <c r="S305" s="6"/>
    </row>
    <row r="306" spans="2:19" x14ac:dyDescent="0.15">
      <c r="C306" s="2" t="s">
        <v>224</v>
      </c>
      <c r="D306" s="2" t="s">
        <v>46</v>
      </c>
      <c r="E306" s="11" t="s">
        <v>483</v>
      </c>
      <c r="F306" s="13" t="s">
        <v>477</v>
      </c>
      <c r="G306" s="2">
        <v>2</v>
      </c>
      <c r="H306" s="2"/>
      <c r="I306" s="3" t="str">
        <f t="shared" ref="I306:I308" si="120">TESTsubtract(E306,F306,G306)</f>
        <v>011</v>
      </c>
      <c r="J306" s="2" t="b">
        <f t="shared" ref="J306:J308" si="121">TESTsubtractByRef1(E306,F306,G306)</f>
        <v>0</v>
      </c>
      <c r="K306" s="2"/>
      <c r="L306" s="2"/>
      <c r="M306" s="3" t="s">
        <v>77</v>
      </c>
      <c r="N306" s="2" t="b">
        <v>0</v>
      </c>
      <c r="O306" s="2"/>
      <c r="P306" s="2"/>
      <c r="Q306" s="3" t="b">
        <f t="shared" si="110"/>
        <v>1</v>
      </c>
      <c r="R306" s="2" t="b">
        <f t="shared" si="111"/>
        <v>1</v>
      </c>
      <c r="S306" s="6"/>
    </row>
    <row r="307" spans="2:19" x14ac:dyDescent="0.15">
      <c r="C307" s="6"/>
      <c r="D307" s="6" t="s">
        <v>47</v>
      </c>
      <c r="E307" s="9" t="s">
        <v>21</v>
      </c>
      <c r="F307" s="14" t="s">
        <v>484</v>
      </c>
      <c r="G307" s="6">
        <v>10</v>
      </c>
      <c r="H307" s="6"/>
      <c r="I307" s="1" t="str">
        <f t="shared" si="120"/>
        <v>099</v>
      </c>
      <c r="J307" s="6" t="b">
        <f t="shared" si="121"/>
        <v>0</v>
      </c>
      <c r="K307" s="6"/>
      <c r="L307" s="6"/>
      <c r="M307" s="1" t="s">
        <v>153</v>
      </c>
      <c r="N307" s="6" t="b">
        <v>0</v>
      </c>
      <c r="O307" s="6"/>
      <c r="P307" s="6"/>
      <c r="Q307" s="1" t="b">
        <f t="shared" si="110"/>
        <v>1</v>
      </c>
      <c r="R307" s="6" t="b">
        <f t="shared" si="111"/>
        <v>1</v>
      </c>
      <c r="S307" s="6"/>
    </row>
    <row r="308" spans="2:19" x14ac:dyDescent="0.15">
      <c r="D308" t="s">
        <v>49</v>
      </c>
      <c r="E308" s="9" t="s">
        <v>21</v>
      </c>
      <c r="F308" s="14" t="s">
        <v>477</v>
      </c>
      <c r="G308">
        <v>16</v>
      </c>
      <c r="H308" s="6"/>
      <c r="I308" s="1" t="str">
        <f t="shared" si="120"/>
        <v>0FF</v>
      </c>
      <c r="J308" s="6" t="b">
        <f t="shared" si="121"/>
        <v>0</v>
      </c>
      <c r="K308" s="6"/>
      <c r="L308" s="6"/>
      <c r="M308" s="1" t="s">
        <v>156</v>
      </c>
      <c r="N308" s="6" t="b">
        <v>0</v>
      </c>
      <c r="O308" s="6"/>
      <c r="P308" s="6"/>
      <c r="Q308" s="1" t="b">
        <f t="shared" si="110"/>
        <v>1</v>
      </c>
      <c r="R308" s="6" t="b">
        <f t="shared" si="111"/>
        <v>1</v>
      </c>
      <c r="S308" s="6"/>
    </row>
    <row r="309" spans="2:19" x14ac:dyDescent="0.15">
      <c r="B309" s="2" t="s">
        <v>485</v>
      </c>
      <c r="C309" s="2" t="s">
        <v>486</v>
      </c>
      <c r="D309" s="2" t="s">
        <v>46</v>
      </c>
      <c r="E309" s="11" t="s">
        <v>489</v>
      </c>
      <c r="F309" s="13" t="s">
        <v>491</v>
      </c>
      <c r="G309" s="2">
        <v>2</v>
      </c>
      <c r="H309" s="2"/>
      <c r="I309" s="3" t="str">
        <f t="shared" ref="I309:I317" si="122">TESTsubtract(E309,F309,G309)</f>
        <v>100</v>
      </c>
      <c r="J309" s="2" t="b">
        <f t="shared" ref="J309:J317" si="123">TESTsubtractByRef1(E309,F309,G309)</f>
        <v>0</v>
      </c>
      <c r="K309" s="2"/>
      <c r="L309" s="2"/>
      <c r="M309" s="3" t="s">
        <v>21</v>
      </c>
      <c r="N309" s="2" t="b">
        <v>0</v>
      </c>
      <c r="O309" s="2"/>
      <c r="P309" s="2"/>
      <c r="Q309" s="3" t="b">
        <f t="shared" si="110"/>
        <v>1</v>
      </c>
      <c r="R309" s="2" t="b">
        <f t="shared" si="111"/>
        <v>1</v>
      </c>
      <c r="S309" s="6"/>
    </row>
    <row r="310" spans="2:19" x14ac:dyDescent="0.15">
      <c r="C310" s="6"/>
      <c r="D310" s="6" t="s">
        <v>47</v>
      </c>
      <c r="E310" s="9" t="s">
        <v>494</v>
      </c>
      <c r="F310" s="14" t="s">
        <v>490</v>
      </c>
      <c r="G310" s="6">
        <v>10</v>
      </c>
      <c r="H310" s="6"/>
      <c r="I310" s="1" t="str">
        <f t="shared" si="122"/>
        <v>100</v>
      </c>
      <c r="J310" s="6" t="b">
        <f t="shared" si="123"/>
        <v>0</v>
      </c>
      <c r="K310" s="6"/>
      <c r="L310" s="6"/>
      <c r="M310" s="1" t="s">
        <v>21</v>
      </c>
      <c r="N310" s="6" t="b">
        <v>0</v>
      </c>
      <c r="O310" s="6"/>
      <c r="P310" s="6"/>
      <c r="Q310" s="1" t="b">
        <f t="shared" si="110"/>
        <v>1</v>
      </c>
      <c r="R310" s="6" t="b">
        <f t="shared" si="111"/>
        <v>1</v>
      </c>
      <c r="S310" s="6"/>
    </row>
    <row r="311" spans="2:19" x14ac:dyDescent="0.15">
      <c r="C311" s="6"/>
      <c r="D311" t="s">
        <v>49</v>
      </c>
      <c r="E311" s="9" t="s">
        <v>495</v>
      </c>
      <c r="F311" s="14" t="s">
        <v>493</v>
      </c>
      <c r="G311">
        <v>16</v>
      </c>
      <c r="H311" s="6"/>
      <c r="I311" s="1" t="str">
        <f t="shared" si="122"/>
        <v>100</v>
      </c>
      <c r="J311" s="6" t="b">
        <f t="shared" si="123"/>
        <v>0</v>
      </c>
      <c r="K311" s="6"/>
      <c r="L311" s="6"/>
      <c r="M311" s="1" t="s">
        <v>21</v>
      </c>
      <c r="N311" s="6" t="b">
        <v>0</v>
      </c>
      <c r="O311" s="6"/>
      <c r="P311" s="6"/>
      <c r="Q311" s="1" t="b">
        <f t="shared" si="110"/>
        <v>1</v>
      </c>
      <c r="R311" s="6" t="b">
        <f t="shared" si="111"/>
        <v>1</v>
      </c>
      <c r="S311" s="6"/>
    </row>
    <row r="312" spans="2:19" x14ac:dyDescent="0.15">
      <c r="C312" s="2" t="s">
        <v>487</v>
      </c>
      <c r="D312" s="2" t="s">
        <v>46</v>
      </c>
      <c r="E312" s="11" t="s">
        <v>18</v>
      </c>
      <c r="F312" s="13" t="s">
        <v>31</v>
      </c>
      <c r="G312" s="2">
        <v>2</v>
      </c>
      <c r="H312" s="2"/>
      <c r="I312" s="3" t="str">
        <f t="shared" si="122"/>
        <v>100</v>
      </c>
      <c r="J312" s="2" t="b">
        <f t="shared" si="123"/>
        <v>1</v>
      </c>
      <c r="K312" s="2"/>
      <c r="L312" s="2"/>
      <c r="M312" s="3" t="s">
        <v>21</v>
      </c>
      <c r="N312" s="2" t="b">
        <v>1</v>
      </c>
      <c r="O312" s="2"/>
      <c r="P312" s="2"/>
      <c r="Q312" s="3" t="b">
        <f t="shared" si="110"/>
        <v>1</v>
      </c>
      <c r="R312" s="2" t="b">
        <f t="shared" si="111"/>
        <v>1</v>
      </c>
      <c r="S312" s="6"/>
    </row>
    <row r="313" spans="2:19" x14ac:dyDescent="0.15">
      <c r="C313" s="6"/>
      <c r="D313" s="6" t="s">
        <v>47</v>
      </c>
      <c r="E313" s="9" t="s">
        <v>227</v>
      </c>
      <c r="F313" s="14" t="s">
        <v>494</v>
      </c>
      <c r="G313" s="6">
        <v>10</v>
      </c>
      <c r="H313" s="6"/>
      <c r="I313" s="1" t="str">
        <f t="shared" si="122"/>
        <v>100</v>
      </c>
      <c r="J313" s="6" t="b">
        <f t="shared" si="123"/>
        <v>1</v>
      </c>
      <c r="K313" s="6"/>
      <c r="L313" s="6"/>
      <c r="M313" s="1" t="s">
        <v>21</v>
      </c>
      <c r="N313" s="6" t="b">
        <v>1</v>
      </c>
      <c r="O313" s="6"/>
      <c r="P313" s="6"/>
      <c r="Q313" s="1" t="b">
        <f t="shared" si="110"/>
        <v>1</v>
      </c>
      <c r="R313" s="6" t="b">
        <f t="shared" si="111"/>
        <v>1</v>
      </c>
      <c r="S313" s="6"/>
    </row>
    <row r="314" spans="2:19" x14ac:dyDescent="0.15">
      <c r="C314" s="6"/>
      <c r="D314" t="s">
        <v>49</v>
      </c>
      <c r="E314" s="9" t="s">
        <v>22</v>
      </c>
      <c r="F314" s="14" t="s">
        <v>495</v>
      </c>
      <c r="G314">
        <v>16</v>
      </c>
      <c r="H314" s="6"/>
      <c r="I314" s="1" t="str">
        <f t="shared" si="122"/>
        <v>100</v>
      </c>
      <c r="J314" s="6" t="b">
        <f t="shared" si="123"/>
        <v>1</v>
      </c>
      <c r="K314" s="6"/>
      <c r="L314" s="6"/>
      <c r="M314" s="1" t="s">
        <v>21</v>
      </c>
      <c r="N314" s="6" t="b">
        <v>1</v>
      </c>
      <c r="O314" s="6"/>
      <c r="P314" s="6"/>
      <c r="Q314" s="1" t="b">
        <f t="shared" si="110"/>
        <v>1</v>
      </c>
      <c r="R314" s="6" t="b">
        <f t="shared" si="111"/>
        <v>1</v>
      </c>
      <c r="S314" s="6"/>
    </row>
    <row r="315" spans="2:19" x14ac:dyDescent="0.15">
      <c r="C315" s="2" t="s">
        <v>488</v>
      </c>
      <c r="D315" s="2" t="s">
        <v>46</v>
      </c>
      <c r="E315" s="11" t="s">
        <v>496</v>
      </c>
      <c r="F315" s="13" t="s">
        <v>497</v>
      </c>
      <c r="G315" s="2">
        <v>2</v>
      </c>
      <c r="H315" s="2"/>
      <c r="I315" s="3" t="str">
        <f t="shared" si="122"/>
        <v>001</v>
      </c>
      <c r="J315" s="2" t="b">
        <f t="shared" si="123"/>
        <v>0</v>
      </c>
      <c r="K315" s="2"/>
      <c r="L315" s="2"/>
      <c r="M315" s="3" t="s">
        <v>81</v>
      </c>
      <c r="N315" s="2" t="b">
        <v>0</v>
      </c>
      <c r="O315" s="2"/>
      <c r="P315" s="2"/>
      <c r="Q315" s="3" t="b">
        <f t="shared" si="110"/>
        <v>1</v>
      </c>
      <c r="R315" s="2" t="b">
        <f t="shared" si="111"/>
        <v>1</v>
      </c>
      <c r="S315" s="6"/>
    </row>
    <row r="316" spans="2:19" x14ac:dyDescent="0.15">
      <c r="C316" s="6"/>
      <c r="D316" s="6" t="s">
        <v>47</v>
      </c>
      <c r="E316" s="9" t="s">
        <v>498</v>
      </c>
      <c r="F316" s="14" t="s">
        <v>499</v>
      </c>
      <c r="G316" s="6">
        <v>10</v>
      </c>
      <c r="H316" s="6"/>
      <c r="I316" s="1" t="str">
        <f t="shared" si="122"/>
        <v>001</v>
      </c>
      <c r="J316" s="6" t="b">
        <f t="shared" si="123"/>
        <v>0</v>
      </c>
      <c r="K316" s="6"/>
      <c r="L316" s="6"/>
      <c r="M316" s="1" t="s">
        <v>81</v>
      </c>
      <c r="N316" s="6" t="b">
        <v>0</v>
      </c>
      <c r="O316" s="6"/>
      <c r="P316" s="6"/>
      <c r="Q316" s="1" t="b">
        <f t="shared" si="110"/>
        <v>1</v>
      </c>
      <c r="R316" s="6" t="b">
        <f t="shared" si="111"/>
        <v>1</v>
      </c>
      <c r="S316" s="6"/>
    </row>
    <row r="317" spans="2:19" x14ac:dyDescent="0.15">
      <c r="C317" s="6"/>
      <c r="D317" t="s">
        <v>49</v>
      </c>
      <c r="E317" s="9" t="s">
        <v>500</v>
      </c>
      <c r="F317" s="14" t="s">
        <v>501</v>
      </c>
      <c r="G317">
        <v>16</v>
      </c>
      <c r="H317" s="6"/>
      <c r="I317" s="1" t="str">
        <f t="shared" si="122"/>
        <v>001</v>
      </c>
      <c r="J317" s="6" t="b">
        <f t="shared" si="123"/>
        <v>0</v>
      </c>
      <c r="K317" s="6"/>
      <c r="L317" s="6"/>
      <c r="M317" s="1" t="s">
        <v>81</v>
      </c>
      <c r="N317" s="6" t="b">
        <v>0</v>
      </c>
      <c r="O317" s="6"/>
      <c r="P317" s="6"/>
      <c r="Q317" s="1" t="b">
        <f t="shared" si="110"/>
        <v>1</v>
      </c>
      <c r="R317" s="6" t="b">
        <f t="shared" si="111"/>
        <v>1</v>
      </c>
      <c r="S317" s="6"/>
    </row>
    <row r="318" spans="2:19" x14ac:dyDescent="0.15">
      <c r="C318" s="2" t="s">
        <v>502</v>
      </c>
      <c r="D318" s="2" t="s">
        <v>46</v>
      </c>
      <c r="E318" s="11" t="s">
        <v>503</v>
      </c>
      <c r="F318" s="13" t="s">
        <v>489</v>
      </c>
      <c r="G318" s="2">
        <v>2</v>
      </c>
      <c r="H318" s="2"/>
      <c r="I318" s="3" t="str">
        <f t="shared" ref="I318:I320" si="124">TESTsubtract(E318,F318,G318)</f>
        <v>001</v>
      </c>
      <c r="J318" s="2" t="b">
        <f t="shared" ref="J318:J320" si="125">TESTsubtractByRef1(E318,F318,G318)</f>
        <v>1</v>
      </c>
      <c r="K318" s="2"/>
      <c r="L318" s="2"/>
      <c r="M318" s="3" t="s">
        <v>81</v>
      </c>
      <c r="N318" s="2" t="b">
        <v>1</v>
      </c>
      <c r="O318" s="2"/>
      <c r="P318" s="2"/>
      <c r="Q318" s="3" t="b">
        <f t="shared" si="110"/>
        <v>1</v>
      </c>
      <c r="R318" s="2" t="b">
        <f t="shared" si="111"/>
        <v>1</v>
      </c>
      <c r="S318" s="6"/>
    </row>
    <row r="319" spans="2:19" x14ac:dyDescent="0.15">
      <c r="C319" s="6"/>
      <c r="D319" s="6" t="s">
        <v>47</v>
      </c>
      <c r="E319" s="9" t="s">
        <v>499</v>
      </c>
      <c r="F319" s="14" t="s">
        <v>498</v>
      </c>
      <c r="G319" s="6">
        <v>10</v>
      </c>
      <c r="H319" s="6"/>
      <c r="I319" s="1" t="str">
        <f t="shared" si="124"/>
        <v>001</v>
      </c>
      <c r="J319" s="6" t="b">
        <f t="shared" si="125"/>
        <v>1</v>
      </c>
      <c r="K319" s="6"/>
      <c r="L319" s="6"/>
      <c r="M319" s="1" t="s">
        <v>81</v>
      </c>
      <c r="N319" s="6" t="b">
        <v>1</v>
      </c>
      <c r="O319" s="6"/>
      <c r="P319" s="6"/>
      <c r="Q319" s="1" t="b">
        <f t="shared" si="110"/>
        <v>1</v>
      </c>
      <c r="R319" s="6" t="b">
        <f t="shared" si="111"/>
        <v>1</v>
      </c>
      <c r="S319" s="6"/>
    </row>
    <row r="320" spans="2:19" x14ac:dyDescent="0.15">
      <c r="C320" s="6"/>
      <c r="D320" t="s">
        <v>49</v>
      </c>
      <c r="E320" s="9" t="s">
        <v>504</v>
      </c>
      <c r="F320" s="14" t="s">
        <v>492</v>
      </c>
      <c r="G320">
        <v>16</v>
      </c>
      <c r="H320" s="6"/>
      <c r="I320" s="1" t="str">
        <f t="shared" si="124"/>
        <v>001</v>
      </c>
      <c r="J320" s="6" t="b">
        <f t="shared" si="125"/>
        <v>1</v>
      </c>
      <c r="K320" s="6"/>
      <c r="L320" s="6"/>
      <c r="M320" s="1" t="s">
        <v>81</v>
      </c>
      <c r="N320" s="6" t="b">
        <v>1</v>
      </c>
      <c r="O320" s="6"/>
      <c r="P320" s="6"/>
      <c r="Q320" s="1" t="b">
        <f t="shared" si="110"/>
        <v>1</v>
      </c>
      <c r="R320" s="6" t="b">
        <f t="shared" si="111"/>
        <v>1</v>
      </c>
      <c r="S320" s="6"/>
    </row>
    <row r="321" spans="2:19" x14ac:dyDescent="0.15">
      <c r="C321" s="2" t="s">
        <v>505</v>
      </c>
      <c r="D321" s="2" t="s">
        <v>46</v>
      </c>
      <c r="E321" s="11" t="s">
        <v>508</v>
      </c>
      <c r="F321" s="13" t="s">
        <v>491</v>
      </c>
      <c r="G321" s="2">
        <v>2</v>
      </c>
      <c r="H321" s="2"/>
      <c r="I321" s="3" t="str">
        <f t="shared" ref="I321:I323" si="126">TESTsubtract(E321,F321,G321)</f>
        <v>00001</v>
      </c>
      <c r="J321" s="2" t="b">
        <f t="shared" ref="J321:J323" si="127">TESTsubtractByRef1(E321,F321,G321)</f>
        <v>0</v>
      </c>
      <c r="K321" s="2"/>
      <c r="L321" s="2"/>
      <c r="M321" s="3" t="s">
        <v>517</v>
      </c>
      <c r="N321" s="2" t="b">
        <v>0</v>
      </c>
      <c r="O321" s="2"/>
      <c r="P321" s="2"/>
      <c r="Q321" s="3" t="b">
        <f t="shared" ref="Q321:Q323" si="128">getText(I321)=getText(M321)</f>
        <v>1</v>
      </c>
      <c r="R321" s="2" t="b">
        <f t="shared" ref="R321:R323" si="129">getText(J321)=getText(N321)</f>
        <v>1</v>
      </c>
      <c r="S321" s="6"/>
    </row>
    <row r="322" spans="2:19" x14ac:dyDescent="0.15">
      <c r="C322" s="6"/>
      <c r="D322" s="6" t="s">
        <v>47</v>
      </c>
      <c r="E322" s="9" t="s">
        <v>514</v>
      </c>
      <c r="F322" s="14" t="s">
        <v>510</v>
      </c>
      <c r="G322" s="6">
        <v>10</v>
      </c>
      <c r="H322" s="6"/>
      <c r="I322" s="1" t="str">
        <f t="shared" si="126"/>
        <v>00001</v>
      </c>
      <c r="J322" s="6" t="b">
        <f t="shared" si="127"/>
        <v>0</v>
      </c>
      <c r="K322" s="6"/>
      <c r="L322" s="6"/>
      <c r="M322" s="1" t="s">
        <v>517</v>
      </c>
      <c r="N322" s="6" t="b">
        <v>0</v>
      </c>
      <c r="O322" s="6"/>
      <c r="P322" s="6"/>
      <c r="Q322" s="1" t="b">
        <f t="shared" si="128"/>
        <v>1</v>
      </c>
      <c r="R322" s="6" t="b">
        <f t="shared" si="129"/>
        <v>1</v>
      </c>
      <c r="S322" s="6"/>
    </row>
    <row r="323" spans="2:19" x14ac:dyDescent="0.15">
      <c r="C323" s="6"/>
      <c r="D323" t="s">
        <v>49</v>
      </c>
      <c r="E323" s="9" t="s">
        <v>516</v>
      </c>
      <c r="F323" s="14" t="s">
        <v>512</v>
      </c>
      <c r="G323">
        <v>16</v>
      </c>
      <c r="H323" s="6"/>
      <c r="I323" s="1" t="str">
        <f t="shared" si="126"/>
        <v>00001</v>
      </c>
      <c r="J323" s="6" t="b">
        <f t="shared" si="127"/>
        <v>0</v>
      </c>
      <c r="K323" s="6"/>
      <c r="L323" s="6"/>
      <c r="M323" s="1" t="s">
        <v>517</v>
      </c>
      <c r="N323" s="6" t="b">
        <v>0</v>
      </c>
      <c r="O323" s="6"/>
      <c r="P323" s="6"/>
      <c r="Q323" s="1" t="b">
        <f t="shared" si="128"/>
        <v>1</v>
      </c>
      <c r="R323" s="6" t="b">
        <f t="shared" si="129"/>
        <v>1</v>
      </c>
      <c r="S323" s="6"/>
    </row>
    <row r="324" spans="2:19" x14ac:dyDescent="0.15">
      <c r="C324" s="2" t="s">
        <v>506</v>
      </c>
      <c r="D324" s="2" t="s">
        <v>46</v>
      </c>
      <c r="E324" s="11" t="s">
        <v>18</v>
      </c>
      <c r="F324" s="13" t="s">
        <v>507</v>
      </c>
      <c r="G324" s="2">
        <v>2</v>
      </c>
      <c r="H324" s="2"/>
      <c r="I324" s="3" t="str">
        <f t="shared" ref="I324:I326" si="130">TESTsubtract(E324,F324,G324)</f>
        <v>00001</v>
      </c>
      <c r="J324" s="2" t="b">
        <f t="shared" ref="J324:J326" si="131">TESTsubtractByRef1(E324,F324,G324)</f>
        <v>1</v>
      </c>
      <c r="K324" s="2"/>
      <c r="L324" s="2"/>
      <c r="M324" s="3" t="s">
        <v>517</v>
      </c>
      <c r="N324" s="2" t="b">
        <v>1</v>
      </c>
      <c r="O324" s="2"/>
      <c r="P324" s="2"/>
      <c r="Q324" s="3" t="b">
        <f t="shared" ref="Q324:Q326" si="132">getText(I324)=getText(M324)</f>
        <v>1</v>
      </c>
      <c r="R324" s="2" t="b">
        <f t="shared" ref="R324:R326" si="133">getText(J324)=getText(N324)</f>
        <v>1</v>
      </c>
      <c r="S324" s="6"/>
    </row>
    <row r="325" spans="2:19" x14ac:dyDescent="0.15">
      <c r="C325" s="6"/>
      <c r="D325" s="6" t="s">
        <v>47</v>
      </c>
      <c r="E325" s="9" t="s">
        <v>509</v>
      </c>
      <c r="F325" s="14" t="s">
        <v>513</v>
      </c>
      <c r="G325" s="6">
        <v>10</v>
      </c>
      <c r="H325" s="6"/>
      <c r="I325" s="1" t="str">
        <f t="shared" si="130"/>
        <v>00001</v>
      </c>
      <c r="J325" s="6" t="b">
        <f t="shared" si="131"/>
        <v>1</v>
      </c>
      <c r="K325" s="6"/>
      <c r="L325" s="6"/>
      <c r="M325" s="1" t="s">
        <v>517</v>
      </c>
      <c r="N325" s="6" t="b">
        <v>1</v>
      </c>
      <c r="O325" s="6"/>
      <c r="P325" s="6"/>
      <c r="Q325" s="1" t="b">
        <f t="shared" si="132"/>
        <v>1</v>
      </c>
      <c r="R325" s="6" t="b">
        <f t="shared" si="133"/>
        <v>1</v>
      </c>
      <c r="S325" s="6"/>
    </row>
    <row r="326" spans="2:19" x14ac:dyDescent="0.15">
      <c r="C326" s="6"/>
      <c r="D326" t="s">
        <v>49</v>
      </c>
      <c r="E326" s="9" t="s">
        <v>511</v>
      </c>
      <c r="F326" s="14" t="s">
        <v>515</v>
      </c>
      <c r="G326">
        <v>16</v>
      </c>
      <c r="H326" s="6"/>
      <c r="I326" s="1" t="str">
        <f t="shared" si="130"/>
        <v>00001</v>
      </c>
      <c r="J326" s="6" t="b">
        <f t="shared" si="131"/>
        <v>1</v>
      </c>
      <c r="K326" s="6"/>
      <c r="L326" s="6"/>
      <c r="M326" s="1" t="s">
        <v>517</v>
      </c>
      <c r="N326" s="6" t="b">
        <v>1</v>
      </c>
      <c r="O326" s="6"/>
      <c r="P326" s="6"/>
      <c r="Q326" s="1" t="b">
        <f t="shared" si="132"/>
        <v>1</v>
      </c>
      <c r="R326" s="6" t="b">
        <f t="shared" si="133"/>
        <v>1</v>
      </c>
      <c r="S326" s="6"/>
    </row>
    <row r="327" spans="2:19" x14ac:dyDescent="0.15">
      <c r="B327" s="2" t="s">
        <v>520</v>
      </c>
      <c r="C327" s="2" t="s">
        <v>264</v>
      </c>
      <c r="D327" s="2" t="s">
        <v>46</v>
      </c>
      <c r="E327" s="11" t="s">
        <v>518</v>
      </c>
      <c r="F327" s="13" t="s">
        <v>518</v>
      </c>
      <c r="G327" s="2">
        <v>2</v>
      </c>
      <c r="H327" s="2"/>
      <c r="I327" s="3" t="str">
        <f t="shared" ref="I327:I340" si="134">TESTsubtract(E327,F327,G327)</f>
        <v>00</v>
      </c>
      <c r="J327" s="2" t="b">
        <f t="shared" ref="J327:J340" si="135">TESTsubtractByRef1(E327,F327,G327)</f>
        <v>0</v>
      </c>
      <c r="K327" s="2"/>
      <c r="L327" s="2"/>
      <c r="M327" s="3" t="s">
        <v>97</v>
      </c>
      <c r="N327" s="2" t="b">
        <v>0</v>
      </c>
      <c r="O327" s="2"/>
      <c r="P327" s="2"/>
      <c r="Q327" s="3" t="b">
        <f t="shared" ref="Q327:Q340" si="136">getText(I327)=getText(M327)</f>
        <v>1</v>
      </c>
      <c r="R327" s="2" t="b">
        <f t="shared" ref="R327:R340" si="137">getText(J327)=getText(N327)</f>
        <v>1</v>
      </c>
      <c r="S327" s="6"/>
    </row>
    <row r="328" spans="2:19" x14ac:dyDescent="0.15">
      <c r="D328" s="6" t="s">
        <v>47</v>
      </c>
      <c r="E328" s="9" t="s">
        <v>519</v>
      </c>
      <c r="F328" s="17" t="s">
        <v>519</v>
      </c>
      <c r="G328" s="6">
        <v>10</v>
      </c>
      <c r="I328" s="1" t="str">
        <f t="shared" si="134"/>
        <v>00</v>
      </c>
      <c r="J328" t="b">
        <f t="shared" si="135"/>
        <v>0</v>
      </c>
      <c r="M328" s="1" t="s">
        <v>97</v>
      </c>
      <c r="N328" t="b">
        <v>0</v>
      </c>
      <c r="Q328" s="1" t="b">
        <f t="shared" si="136"/>
        <v>1</v>
      </c>
      <c r="R328" s="6" t="b">
        <f t="shared" si="137"/>
        <v>1</v>
      </c>
      <c r="S328" s="6"/>
    </row>
    <row r="329" spans="2:19" x14ac:dyDescent="0.15">
      <c r="D329" t="s">
        <v>49</v>
      </c>
      <c r="E329" s="9" t="s">
        <v>519</v>
      </c>
      <c r="F329" s="17" t="s">
        <v>519</v>
      </c>
      <c r="G329">
        <v>16</v>
      </c>
      <c r="I329" s="1" t="str">
        <f t="shared" si="134"/>
        <v>00</v>
      </c>
      <c r="J329" t="b">
        <f t="shared" si="135"/>
        <v>0</v>
      </c>
      <c r="M329" s="1" t="s">
        <v>97</v>
      </c>
      <c r="N329" t="b">
        <v>0</v>
      </c>
      <c r="Q329" s="1" t="b">
        <f t="shared" si="136"/>
        <v>1</v>
      </c>
      <c r="R329" s="6" t="b">
        <f t="shared" si="137"/>
        <v>1</v>
      </c>
      <c r="S329" s="6"/>
    </row>
    <row r="330" spans="2:19" x14ac:dyDescent="0.15">
      <c r="C330" s="2" t="s">
        <v>265</v>
      </c>
      <c r="D330" s="2" t="s">
        <v>46</v>
      </c>
      <c r="E330" s="11" t="s">
        <v>521</v>
      </c>
      <c r="F330" s="13" t="s">
        <v>536</v>
      </c>
      <c r="G330" s="2">
        <v>2</v>
      </c>
      <c r="H330" s="2"/>
      <c r="I330" s="3" t="str">
        <f t="shared" si="134"/>
        <v>01</v>
      </c>
      <c r="J330" s="2" t="b">
        <f t="shared" si="135"/>
        <v>0</v>
      </c>
      <c r="K330" s="2"/>
      <c r="L330" s="2"/>
      <c r="M330" s="3" t="s">
        <v>247</v>
      </c>
      <c r="N330" s="2" t="b">
        <v>0</v>
      </c>
      <c r="O330" s="2"/>
      <c r="P330" s="2"/>
      <c r="Q330" s="3" t="b">
        <f t="shared" si="136"/>
        <v>1</v>
      </c>
      <c r="R330" s="2" t="b">
        <f t="shared" si="137"/>
        <v>1</v>
      </c>
      <c r="S330" s="6"/>
    </row>
    <row r="331" spans="2:19" x14ac:dyDescent="0.15">
      <c r="D331" s="6" t="s">
        <v>47</v>
      </c>
      <c r="E331" s="9" t="s">
        <v>412</v>
      </c>
      <c r="F331" s="17" t="s">
        <v>112</v>
      </c>
      <c r="G331" s="6">
        <v>10</v>
      </c>
      <c r="I331" s="1" t="str">
        <f t="shared" si="134"/>
        <v>09</v>
      </c>
      <c r="J331" t="b">
        <f t="shared" si="135"/>
        <v>0</v>
      </c>
      <c r="M331" s="1" t="s">
        <v>249</v>
      </c>
      <c r="N331" t="b">
        <v>0</v>
      </c>
      <c r="Q331" s="1" t="b">
        <f t="shared" si="136"/>
        <v>1</v>
      </c>
      <c r="R331" s="6" t="b">
        <f t="shared" si="137"/>
        <v>1</v>
      </c>
      <c r="S331" s="6"/>
    </row>
    <row r="332" spans="2:19" x14ac:dyDescent="0.15">
      <c r="D332" t="s">
        <v>49</v>
      </c>
      <c r="E332" s="9" t="s">
        <v>556</v>
      </c>
      <c r="F332" s="17" t="s">
        <v>99</v>
      </c>
      <c r="G332">
        <v>16</v>
      </c>
      <c r="I332" s="1" t="str">
        <f t="shared" si="134"/>
        <v>0F</v>
      </c>
      <c r="J332" t="b">
        <f t="shared" si="135"/>
        <v>0</v>
      </c>
      <c r="M332" s="1" t="s">
        <v>252</v>
      </c>
      <c r="N332" t="b">
        <v>0</v>
      </c>
      <c r="Q332" s="1" t="b">
        <f t="shared" si="136"/>
        <v>1</v>
      </c>
      <c r="R332" s="6" t="b">
        <f t="shared" si="137"/>
        <v>1</v>
      </c>
      <c r="S332" s="6"/>
    </row>
    <row r="333" spans="2:19" x14ac:dyDescent="0.15">
      <c r="C333" s="2" t="s">
        <v>266</v>
      </c>
      <c r="D333" s="2" t="s">
        <v>46</v>
      </c>
      <c r="E333" s="11" t="s">
        <v>524</v>
      </c>
      <c r="F333" s="13" t="s">
        <v>522</v>
      </c>
      <c r="G333" s="2">
        <v>2</v>
      </c>
      <c r="H333" s="2"/>
      <c r="I333" s="3" t="str">
        <f t="shared" si="134"/>
        <v>1</v>
      </c>
      <c r="J333" s="2" t="b">
        <f t="shared" si="135"/>
        <v>0</v>
      </c>
      <c r="K333" s="2"/>
      <c r="L333" s="2"/>
      <c r="M333" s="3" t="s">
        <v>44</v>
      </c>
      <c r="N333" s="2" t="b">
        <v>0</v>
      </c>
      <c r="O333" s="2"/>
      <c r="P333" s="2"/>
      <c r="Q333" s="3" t="b">
        <f t="shared" si="136"/>
        <v>1</v>
      </c>
      <c r="R333" s="2" t="b">
        <f t="shared" si="137"/>
        <v>1</v>
      </c>
      <c r="S333" s="6"/>
    </row>
    <row r="334" spans="2:19" x14ac:dyDescent="0.15">
      <c r="D334" s="6" t="s">
        <v>47</v>
      </c>
      <c r="E334" s="9" t="s">
        <v>110</v>
      </c>
      <c r="F334" s="14" t="s">
        <v>522</v>
      </c>
      <c r="G334" s="6">
        <v>10</v>
      </c>
      <c r="H334" s="6"/>
      <c r="I334" s="1" t="str">
        <f t="shared" si="134"/>
        <v>1</v>
      </c>
      <c r="J334" s="6" t="b">
        <f t="shared" si="135"/>
        <v>0</v>
      </c>
      <c r="K334" s="6"/>
      <c r="L334" s="6"/>
      <c r="M334" s="1" t="s">
        <v>44</v>
      </c>
      <c r="N334" s="6" t="b">
        <v>0</v>
      </c>
      <c r="O334" s="6"/>
      <c r="P334" s="6"/>
      <c r="Q334" s="1" t="b">
        <f t="shared" si="136"/>
        <v>1</v>
      </c>
      <c r="R334" s="6" t="b">
        <f t="shared" si="137"/>
        <v>1</v>
      </c>
      <c r="S334" s="6"/>
    </row>
    <row r="335" spans="2:19" x14ac:dyDescent="0.15">
      <c r="D335" t="s">
        <v>49</v>
      </c>
      <c r="E335" s="9" t="s">
        <v>535</v>
      </c>
      <c r="F335" s="17" t="s">
        <v>523</v>
      </c>
      <c r="G335">
        <v>16</v>
      </c>
      <c r="I335" s="1" t="str">
        <f t="shared" si="134"/>
        <v>1</v>
      </c>
      <c r="J335" t="b">
        <f t="shared" si="135"/>
        <v>0</v>
      </c>
      <c r="M335" s="1" t="s">
        <v>44</v>
      </c>
      <c r="N335" t="b">
        <v>0</v>
      </c>
      <c r="Q335" s="1" t="b">
        <f t="shared" si="136"/>
        <v>1</v>
      </c>
      <c r="R335" s="6" t="b">
        <f t="shared" si="137"/>
        <v>1</v>
      </c>
      <c r="S335" s="6"/>
    </row>
    <row r="336" spans="2:19" x14ac:dyDescent="0.15">
      <c r="C336" s="2" t="s">
        <v>267</v>
      </c>
      <c r="D336" s="2" t="s">
        <v>46</v>
      </c>
      <c r="E336" s="11" t="s">
        <v>110</v>
      </c>
      <c r="F336" s="13" t="s">
        <v>110</v>
      </c>
      <c r="G336" s="2">
        <v>2</v>
      </c>
      <c r="H336" s="2"/>
      <c r="I336" s="3" t="str">
        <f t="shared" si="134"/>
        <v>0</v>
      </c>
      <c r="J336" s="2" t="b">
        <f t="shared" si="135"/>
        <v>0</v>
      </c>
      <c r="K336" s="2"/>
      <c r="L336" s="2"/>
      <c r="M336" s="3" t="s">
        <v>14</v>
      </c>
      <c r="N336" s="2" t="b">
        <v>0</v>
      </c>
      <c r="O336" s="2"/>
      <c r="P336" s="2"/>
      <c r="Q336" s="3" t="b">
        <f t="shared" si="136"/>
        <v>1</v>
      </c>
      <c r="R336" s="2" t="b">
        <f t="shared" si="137"/>
        <v>1</v>
      </c>
      <c r="S336" s="6"/>
    </row>
    <row r="337" spans="2:19" x14ac:dyDescent="0.15">
      <c r="D337" s="6" t="s">
        <v>283</v>
      </c>
      <c r="E337" s="9" t="s">
        <v>112</v>
      </c>
      <c r="F337" s="17" t="s">
        <v>112</v>
      </c>
      <c r="G337" s="6">
        <v>10</v>
      </c>
      <c r="I337" s="1" t="str">
        <f t="shared" si="134"/>
        <v>0</v>
      </c>
      <c r="J337" t="b">
        <f t="shared" si="135"/>
        <v>0</v>
      </c>
      <c r="M337" s="1" t="s">
        <v>14</v>
      </c>
      <c r="N337" t="b">
        <v>0</v>
      </c>
      <c r="Q337" s="1" t="b">
        <f t="shared" si="136"/>
        <v>1</v>
      </c>
      <c r="R337" s="6" t="b">
        <f t="shared" si="137"/>
        <v>1</v>
      </c>
      <c r="S337" s="6"/>
    </row>
    <row r="338" spans="2:19" x14ac:dyDescent="0.15">
      <c r="D338" t="s">
        <v>284</v>
      </c>
      <c r="E338" s="9" t="s">
        <v>110</v>
      </c>
      <c r="F338" s="17" t="s">
        <v>110</v>
      </c>
      <c r="G338" s="7">
        <v>10</v>
      </c>
      <c r="I338" s="1" t="str">
        <f t="shared" si="134"/>
        <v>0</v>
      </c>
      <c r="J338" t="b">
        <f t="shared" si="135"/>
        <v>0</v>
      </c>
      <c r="M338" s="1" t="s">
        <v>14</v>
      </c>
      <c r="N338" t="b">
        <v>0</v>
      </c>
      <c r="Q338" s="1" t="b">
        <f t="shared" si="136"/>
        <v>1</v>
      </c>
      <c r="R338" s="6" t="b">
        <f t="shared" si="137"/>
        <v>1</v>
      </c>
      <c r="S338" s="6"/>
    </row>
    <row r="339" spans="2:19" x14ac:dyDescent="0.15">
      <c r="D339" t="s">
        <v>285</v>
      </c>
      <c r="E339" s="9" t="s">
        <v>537</v>
      </c>
      <c r="F339" s="17" t="s">
        <v>537</v>
      </c>
      <c r="G339">
        <v>16</v>
      </c>
      <c r="I339" s="1" t="str">
        <f t="shared" si="134"/>
        <v>0</v>
      </c>
      <c r="J339" t="b">
        <f t="shared" si="135"/>
        <v>0</v>
      </c>
      <c r="M339" s="1" t="s">
        <v>14</v>
      </c>
      <c r="N339" t="b">
        <v>0</v>
      </c>
      <c r="Q339" s="1" t="b">
        <f t="shared" si="136"/>
        <v>1</v>
      </c>
      <c r="R339" s="6" t="b">
        <f t="shared" si="137"/>
        <v>1</v>
      </c>
      <c r="S339" s="6"/>
    </row>
    <row r="340" spans="2:19" x14ac:dyDescent="0.15">
      <c r="D340" t="s">
        <v>286</v>
      </c>
      <c r="E340" s="9" t="s">
        <v>110</v>
      </c>
      <c r="F340" s="17" t="s">
        <v>110</v>
      </c>
      <c r="G340">
        <v>16</v>
      </c>
      <c r="I340" s="1" t="str">
        <f t="shared" si="134"/>
        <v>0</v>
      </c>
      <c r="J340" t="b">
        <f t="shared" si="135"/>
        <v>0</v>
      </c>
      <c r="M340" s="1" t="s">
        <v>14</v>
      </c>
      <c r="N340" t="b">
        <v>0</v>
      </c>
      <c r="Q340" s="1" t="b">
        <f t="shared" si="136"/>
        <v>1</v>
      </c>
      <c r="R340" s="6" t="b">
        <f t="shared" si="137"/>
        <v>1</v>
      </c>
      <c r="S340" s="6"/>
    </row>
    <row r="341" spans="2:19" x14ac:dyDescent="0.15">
      <c r="B341" s="6"/>
      <c r="C341" s="2" t="s">
        <v>237</v>
      </c>
      <c r="D341" s="2" t="s">
        <v>46</v>
      </c>
      <c r="E341" s="11" t="s">
        <v>525</v>
      </c>
      <c r="F341" s="13" t="s">
        <v>525</v>
      </c>
      <c r="G341" s="2">
        <v>2</v>
      </c>
      <c r="H341" s="2"/>
      <c r="I341" s="3" t="str">
        <f t="shared" ref="I341:I343" si="138">TESTsubtract(E341,F341,G341)</f>
        <v>0</v>
      </c>
      <c r="J341" s="2" t="b">
        <f t="shared" ref="J341:J343" si="139">TESTsubtractByRef1(E341,F341,G341)</f>
        <v>0</v>
      </c>
      <c r="K341" s="2"/>
      <c r="L341" s="2"/>
      <c r="M341" s="3" t="s">
        <v>14</v>
      </c>
      <c r="N341" s="2" t="b">
        <v>0</v>
      </c>
      <c r="O341" s="2"/>
      <c r="P341" s="2"/>
      <c r="Q341" s="3" t="b">
        <f t="shared" ref="Q341:Q364" si="140">getText(I341)=getText(M341)</f>
        <v>1</v>
      </c>
      <c r="R341" s="2" t="b">
        <f t="shared" ref="R341:R364" si="141">getText(J341)=getText(N341)</f>
        <v>1</v>
      </c>
      <c r="S341" s="6"/>
    </row>
    <row r="342" spans="2:19" x14ac:dyDescent="0.15">
      <c r="B342" s="6"/>
      <c r="C342" s="6"/>
      <c r="D342" s="6" t="s">
        <v>47</v>
      </c>
      <c r="E342" s="9" t="s">
        <v>526</v>
      </c>
      <c r="F342" s="14" t="s">
        <v>527</v>
      </c>
      <c r="G342" s="6">
        <v>10</v>
      </c>
      <c r="H342" s="6"/>
      <c r="I342" s="1" t="str">
        <f t="shared" si="138"/>
        <v>0</v>
      </c>
      <c r="J342" s="6" t="b">
        <f t="shared" si="139"/>
        <v>0</v>
      </c>
      <c r="K342" s="6"/>
      <c r="L342" s="6"/>
      <c r="M342" s="1" t="s">
        <v>14</v>
      </c>
      <c r="N342" s="6" t="b">
        <v>0</v>
      </c>
      <c r="O342" s="6"/>
      <c r="P342" s="6"/>
      <c r="Q342" s="1" t="b">
        <f t="shared" si="140"/>
        <v>1</v>
      </c>
      <c r="R342" s="6" t="b">
        <f t="shared" si="141"/>
        <v>1</v>
      </c>
      <c r="S342" s="6"/>
    </row>
    <row r="343" spans="2:19" x14ac:dyDescent="0.15">
      <c r="B343" s="6"/>
      <c r="C343" s="6"/>
      <c r="D343" t="s">
        <v>49</v>
      </c>
      <c r="E343" s="9" t="s">
        <v>528</v>
      </c>
      <c r="F343" s="14" t="s">
        <v>529</v>
      </c>
      <c r="G343">
        <v>16</v>
      </c>
      <c r="H343" s="6"/>
      <c r="I343" s="1" t="str">
        <f t="shared" si="138"/>
        <v>0</v>
      </c>
      <c r="J343" s="6" t="b">
        <f t="shared" si="139"/>
        <v>0</v>
      </c>
      <c r="K343" s="6"/>
      <c r="L343" s="6"/>
      <c r="M343" s="1" t="s">
        <v>14</v>
      </c>
      <c r="N343" s="6" t="b">
        <v>0</v>
      </c>
      <c r="O343" s="6"/>
      <c r="P343" s="6"/>
      <c r="Q343" s="1" t="b">
        <f t="shared" si="140"/>
        <v>1</v>
      </c>
      <c r="R343" s="6" t="b">
        <f t="shared" si="141"/>
        <v>1</v>
      </c>
      <c r="S343" s="6"/>
    </row>
    <row r="344" spans="2:19" x14ac:dyDescent="0.15">
      <c r="B344" s="6"/>
      <c r="C344" s="2" t="s">
        <v>238</v>
      </c>
      <c r="D344" s="2" t="s">
        <v>46</v>
      </c>
      <c r="E344" s="11" t="s">
        <v>530</v>
      </c>
      <c r="F344" s="13" t="s">
        <v>525</v>
      </c>
      <c r="G344" s="2">
        <v>2</v>
      </c>
      <c r="H344" s="2"/>
      <c r="I344" s="3" t="str">
        <f t="shared" ref="I344:I364" si="142">TESTsubtract(E344,F344,G344)</f>
        <v>011</v>
      </c>
      <c r="J344" s="2" t="b">
        <f t="shared" ref="J344:J364" si="143">TESTsubtractByRef1(E344,F344,G344)</f>
        <v>0</v>
      </c>
      <c r="K344" s="2"/>
      <c r="L344" s="2"/>
      <c r="M344" s="3" t="s">
        <v>77</v>
      </c>
      <c r="N344" s="2" t="b">
        <v>0</v>
      </c>
      <c r="O344" s="2"/>
      <c r="P344" s="2"/>
      <c r="Q344" s="3" t="b">
        <f t="shared" si="140"/>
        <v>1</v>
      </c>
      <c r="R344" s="2" t="b">
        <f t="shared" si="141"/>
        <v>1</v>
      </c>
      <c r="S344" s="6"/>
    </row>
    <row r="345" spans="2:19" x14ac:dyDescent="0.15">
      <c r="B345" s="6"/>
      <c r="C345" s="6"/>
      <c r="D345" s="6" t="s">
        <v>47</v>
      </c>
      <c r="E345" s="9" t="s">
        <v>543</v>
      </c>
      <c r="F345" s="14" t="s">
        <v>544</v>
      </c>
      <c r="G345" s="6">
        <v>10</v>
      </c>
      <c r="H345" s="6"/>
      <c r="I345" s="1" t="str">
        <f t="shared" si="142"/>
        <v>099</v>
      </c>
      <c r="J345" s="6" t="b">
        <f t="shared" si="143"/>
        <v>0</v>
      </c>
      <c r="K345" s="6"/>
      <c r="L345" s="6"/>
      <c r="M345" s="1" t="s">
        <v>153</v>
      </c>
      <c r="N345" s="6" t="b">
        <v>0</v>
      </c>
      <c r="O345" s="6"/>
      <c r="P345" s="6"/>
      <c r="Q345" s="1" t="b">
        <f t="shared" si="140"/>
        <v>1</v>
      </c>
      <c r="R345" s="6" t="b">
        <f t="shared" si="141"/>
        <v>1</v>
      </c>
      <c r="S345" s="6"/>
    </row>
    <row r="346" spans="2:19" x14ac:dyDescent="0.15">
      <c r="B346" s="6"/>
      <c r="C346" s="6"/>
      <c r="D346" t="s">
        <v>49</v>
      </c>
      <c r="E346" s="9" t="s">
        <v>545</v>
      </c>
      <c r="F346" s="14" t="s">
        <v>546</v>
      </c>
      <c r="G346">
        <v>16</v>
      </c>
      <c r="H346" s="6"/>
      <c r="I346" s="1" t="str">
        <f t="shared" si="142"/>
        <v>0FF</v>
      </c>
      <c r="J346" s="6" t="b">
        <f t="shared" si="143"/>
        <v>0</v>
      </c>
      <c r="K346" s="6"/>
      <c r="L346" s="6"/>
      <c r="M346" s="1" t="s">
        <v>156</v>
      </c>
      <c r="N346" s="6" t="b">
        <v>0</v>
      </c>
      <c r="O346" s="6"/>
      <c r="P346" s="6"/>
      <c r="Q346" s="1" t="b">
        <f t="shared" si="140"/>
        <v>1</v>
      </c>
      <c r="R346" s="6" t="b">
        <f t="shared" si="141"/>
        <v>1</v>
      </c>
      <c r="S346" s="6"/>
    </row>
    <row r="347" spans="2:19" x14ac:dyDescent="0.15">
      <c r="B347" s="6"/>
      <c r="C347" s="2" t="s">
        <v>239</v>
      </c>
      <c r="D347" s="2" t="s">
        <v>46</v>
      </c>
      <c r="E347" s="11" t="s">
        <v>547</v>
      </c>
      <c r="F347" s="13" t="s">
        <v>533</v>
      </c>
      <c r="G347" s="2">
        <v>2</v>
      </c>
      <c r="H347" s="2"/>
      <c r="I347" s="3" t="str">
        <f t="shared" si="142"/>
        <v>010</v>
      </c>
      <c r="J347" s="2" t="b">
        <f t="shared" si="143"/>
        <v>0</v>
      </c>
      <c r="K347" s="2"/>
      <c r="L347" s="2"/>
      <c r="M347" s="3" t="s">
        <v>78</v>
      </c>
      <c r="N347" s="2" t="b">
        <v>0</v>
      </c>
      <c r="O347" s="2"/>
      <c r="P347" s="2"/>
      <c r="Q347" s="3" t="b">
        <f t="shared" si="140"/>
        <v>1</v>
      </c>
      <c r="R347" s="2" t="b">
        <f t="shared" si="141"/>
        <v>1</v>
      </c>
      <c r="S347" s="6"/>
    </row>
    <row r="348" spans="2:19" x14ac:dyDescent="0.15">
      <c r="B348" s="6"/>
      <c r="C348" s="6"/>
      <c r="D348" s="6" t="s">
        <v>47</v>
      </c>
      <c r="E348" s="9" t="s">
        <v>539</v>
      </c>
      <c r="F348" s="14" t="s">
        <v>540</v>
      </c>
      <c r="G348" s="6">
        <v>10</v>
      </c>
      <c r="H348" s="6"/>
      <c r="I348" s="1" t="str">
        <f t="shared" si="142"/>
        <v>090</v>
      </c>
      <c r="J348" s="6" t="b">
        <f t="shared" si="143"/>
        <v>0</v>
      </c>
      <c r="K348" s="6"/>
      <c r="L348" s="6"/>
      <c r="M348" s="1" t="s">
        <v>557</v>
      </c>
      <c r="N348" s="6" t="b">
        <v>0</v>
      </c>
      <c r="O348" s="6"/>
      <c r="P348" s="6"/>
      <c r="Q348" s="1" t="b">
        <f t="shared" si="140"/>
        <v>1</v>
      </c>
      <c r="R348" s="6" t="b">
        <f t="shared" si="141"/>
        <v>1</v>
      </c>
      <c r="S348" s="6"/>
    </row>
    <row r="349" spans="2:19" x14ac:dyDescent="0.15">
      <c r="B349" s="6"/>
      <c r="C349" s="6"/>
      <c r="D349" t="s">
        <v>49</v>
      </c>
      <c r="E349" s="9" t="s">
        <v>542</v>
      </c>
      <c r="F349" s="14" t="s">
        <v>549</v>
      </c>
      <c r="G349">
        <v>16</v>
      </c>
      <c r="H349" s="6"/>
      <c r="I349" s="1" t="str">
        <f t="shared" si="142"/>
        <v>0F0</v>
      </c>
      <c r="J349" s="6" t="b">
        <f t="shared" si="143"/>
        <v>0</v>
      </c>
      <c r="K349" s="6"/>
      <c r="L349" s="6"/>
      <c r="M349" s="1" t="s">
        <v>558</v>
      </c>
      <c r="N349" s="6" t="b">
        <v>0</v>
      </c>
      <c r="O349" s="6"/>
      <c r="P349" s="6"/>
      <c r="Q349" s="1" t="b">
        <f t="shared" si="140"/>
        <v>1</v>
      </c>
      <c r="R349" s="6" t="b">
        <f t="shared" si="141"/>
        <v>1</v>
      </c>
      <c r="S349" s="6"/>
    </row>
    <row r="350" spans="2:19" x14ac:dyDescent="0.15">
      <c r="B350" s="6"/>
      <c r="C350" s="2" t="s">
        <v>240</v>
      </c>
      <c r="D350" s="2" t="s">
        <v>46</v>
      </c>
      <c r="E350" s="11" t="s">
        <v>531</v>
      </c>
      <c r="F350" s="13" t="s">
        <v>533</v>
      </c>
      <c r="G350" s="2">
        <v>2</v>
      </c>
      <c r="H350" s="2"/>
      <c r="I350" s="3" t="str">
        <f t="shared" si="142"/>
        <v>001</v>
      </c>
      <c r="J350" s="2" t="b">
        <f t="shared" si="143"/>
        <v>0</v>
      </c>
      <c r="K350" s="2"/>
      <c r="L350" s="2"/>
      <c r="M350" s="3" t="s">
        <v>81</v>
      </c>
      <c r="N350" s="2" t="b">
        <v>0</v>
      </c>
      <c r="O350" s="2"/>
      <c r="P350" s="2"/>
      <c r="Q350" s="3" t="b">
        <f t="shared" si="140"/>
        <v>1</v>
      </c>
      <c r="R350" s="2" t="b">
        <f t="shared" si="141"/>
        <v>1</v>
      </c>
      <c r="S350" s="6"/>
    </row>
    <row r="351" spans="2:19" x14ac:dyDescent="0.15">
      <c r="B351" s="6"/>
      <c r="C351" s="6"/>
      <c r="D351" s="6" t="s">
        <v>47</v>
      </c>
      <c r="E351" s="9" t="s">
        <v>543</v>
      </c>
      <c r="F351" s="14" t="s">
        <v>540</v>
      </c>
      <c r="G351" s="6">
        <v>10</v>
      </c>
      <c r="H351" s="6"/>
      <c r="I351" s="1" t="str">
        <f t="shared" si="142"/>
        <v>089</v>
      </c>
      <c r="J351" s="6" t="b">
        <f t="shared" si="143"/>
        <v>0</v>
      </c>
      <c r="K351" s="6"/>
      <c r="L351" s="6"/>
      <c r="M351" s="1" t="s">
        <v>559</v>
      </c>
      <c r="N351" s="6" t="b">
        <v>0</v>
      </c>
      <c r="O351" s="6"/>
      <c r="P351" s="6"/>
      <c r="Q351" s="1" t="b">
        <f t="shared" si="140"/>
        <v>1</v>
      </c>
      <c r="R351" s="6" t="b">
        <f t="shared" si="141"/>
        <v>1</v>
      </c>
      <c r="S351" s="6"/>
    </row>
    <row r="352" spans="2:19" x14ac:dyDescent="0.15">
      <c r="B352" s="6"/>
      <c r="C352" s="6"/>
      <c r="D352" t="s">
        <v>49</v>
      </c>
      <c r="E352" s="9" t="s">
        <v>550</v>
      </c>
      <c r="F352" s="14" t="s">
        <v>551</v>
      </c>
      <c r="G352">
        <v>16</v>
      </c>
      <c r="H352" s="6"/>
      <c r="I352" s="1" t="str">
        <f t="shared" si="142"/>
        <v>0EF</v>
      </c>
      <c r="J352" s="6" t="b">
        <f t="shared" si="143"/>
        <v>0</v>
      </c>
      <c r="K352" s="6"/>
      <c r="L352" s="6"/>
      <c r="M352" s="1" t="s">
        <v>560</v>
      </c>
      <c r="N352" s="6" t="b">
        <v>0</v>
      </c>
      <c r="O352" s="6"/>
      <c r="P352" s="6"/>
      <c r="Q352" s="1" t="b">
        <f t="shared" si="140"/>
        <v>1</v>
      </c>
      <c r="R352" s="6" t="b">
        <f t="shared" si="141"/>
        <v>1</v>
      </c>
      <c r="S352" s="6"/>
    </row>
    <row r="353" spans="1:19" x14ac:dyDescent="0.15">
      <c r="B353" s="6"/>
      <c r="C353" s="2" t="s">
        <v>241</v>
      </c>
      <c r="D353" s="2" t="s">
        <v>46</v>
      </c>
      <c r="E353" s="11" t="s">
        <v>533</v>
      </c>
      <c r="F353" s="13" t="s">
        <v>548</v>
      </c>
      <c r="G353" s="2">
        <v>2</v>
      </c>
      <c r="H353" s="2"/>
      <c r="I353" s="3" t="str">
        <f t="shared" si="142"/>
        <v>10</v>
      </c>
      <c r="J353" s="2" t="b">
        <f t="shared" si="143"/>
        <v>0</v>
      </c>
      <c r="K353" s="2"/>
      <c r="L353" s="2"/>
      <c r="M353" s="3" t="s">
        <v>15</v>
      </c>
      <c r="N353" s="2" t="b">
        <v>0</v>
      </c>
      <c r="O353" s="2"/>
      <c r="P353" s="2"/>
      <c r="Q353" s="3" t="b">
        <f t="shared" si="140"/>
        <v>1</v>
      </c>
      <c r="R353" s="2" t="b">
        <f t="shared" si="141"/>
        <v>1</v>
      </c>
      <c r="S353" s="6"/>
    </row>
    <row r="354" spans="1:19" x14ac:dyDescent="0.15">
      <c r="B354" s="6"/>
      <c r="C354" s="6"/>
      <c r="D354" s="6" t="s">
        <v>47</v>
      </c>
      <c r="E354" s="9" t="s">
        <v>540</v>
      </c>
      <c r="F354" s="14" t="s">
        <v>544</v>
      </c>
      <c r="G354" s="6">
        <v>10</v>
      </c>
      <c r="H354" s="6"/>
      <c r="I354" s="1" t="str">
        <f t="shared" si="142"/>
        <v>10</v>
      </c>
      <c r="J354" s="6" t="b">
        <f t="shared" si="143"/>
        <v>0</v>
      </c>
      <c r="K354" s="6"/>
      <c r="L354" s="6"/>
      <c r="M354" s="1" t="s">
        <v>15</v>
      </c>
      <c r="N354" s="6" t="b">
        <v>0</v>
      </c>
      <c r="O354" s="6"/>
      <c r="P354" s="6"/>
      <c r="Q354" s="1" t="b">
        <f t="shared" si="140"/>
        <v>1</v>
      </c>
      <c r="R354" s="6" t="b">
        <f t="shared" si="141"/>
        <v>1</v>
      </c>
      <c r="S354" s="6"/>
    </row>
    <row r="355" spans="1:19" x14ac:dyDescent="0.15">
      <c r="B355" s="6"/>
      <c r="C355" s="6"/>
      <c r="D355" t="s">
        <v>49</v>
      </c>
      <c r="E355" s="9" t="s">
        <v>552</v>
      </c>
      <c r="F355" s="14" t="s">
        <v>546</v>
      </c>
      <c r="G355">
        <v>16</v>
      </c>
      <c r="H355" s="6"/>
      <c r="I355" s="1" t="str">
        <f t="shared" si="142"/>
        <v>10</v>
      </c>
      <c r="J355" s="6" t="b">
        <f t="shared" si="143"/>
        <v>0</v>
      </c>
      <c r="K355" s="6"/>
      <c r="L355" s="6"/>
      <c r="M355" s="1" t="s">
        <v>15</v>
      </c>
      <c r="N355" s="6" t="b">
        <v>0</v>
      </c>
      <c r="O355" s="6"/>
      <c r="P355" s="6"/>
      <c r="Q355" s="1" t="b">
        <f t="shared" si="140"/>
        <v>1</v>
      </c>
      <c r="R355" s="6" t="b">
        <f t="shared" si="141"/>
        <v>1</v>
      </c>
      <c r="S355" s="6"/>
    </row>
    <row r="356" spans="1:19" x14ac:dyDescent="0.15">
      <c r="B356" s="6"/>
      <c r="C356" s="2" t="s">
        <v>242</v>
      </c>
      <c r="D356" s="2" t="s">
        <v>46</v>
      </c>
      <c r="E356" s="11" t="s">
        <v>534</v>
      </c>
      <c r="F356" s="13" t="s">
        <v>532</v>
      </c>
      <c r="G356" s="2">
        <v>2</v>
      </c>
      <c r="H356" s="2"/>
      <c r="I356" s="3" t="str">
        <f t="shared" si="142"/>
        <v>101</v>
      </c>
      <c r="J356" s="2" t="b">
        <f t="shared" si="143"/>
        <v>0</v>
      </c>
      <c r="K356" s="2"/>
      <c r="L356" s="2"/>
      <c r="M356" s="3" t="s">
        <v>279</v>
      </c>
      <c r="N356" s="2" t="b">
        <v>0</v>
      </c>
      <c r="O356" s="2"/>
      <c r="P356" s="2"/>
      <c r="Q356" s="3" t="b">
        <f t="shared" si="140"/>
        <v>1</v>
      </c>
      <c r="R356" s="2" t="b">
        <f t="shared" si="141"/>
        <v>1</v>
      </c>
      <c r="S356" s="6"/>
    </row>
    <row r="357" spans="1:19" x14ac:dyDescent="0.15">
      <c r="B357" s="6"/>
      <c r="C357" s="6"/>
      <c r="D357" s="6" t="s">
        <v>47</v>
      </c>
      <c r="E357" s="9" t="s">
        <v>554</v>
      </c>
      <c r="F357" s="14" t="s">
        <v>544</v>
      </c>
      <c r="G357" s="6">
        <v>10</v>
      </c>
      <c r="H357" s="6"/>
      <c r="I357" s="1" t="str">
        <f t="shared" si="142"/>
        <v>109</v>
      </c>
      <c r="J357" s="6" t="b">
        <f t="shared" si="143"/>
        <v>0</v>
      </c>
      <c r="K357" s="6"/>
      <c r="L357" s="6"/>
      <c r="M357" s="1" t="s">
        <v>538</v>
      </c>
      <c r="N357" s="6" t="b">
        <v>0</v>
      </c>
      <c r="O357" s="6"/>
      <c r="P357" s="6"/>
      <c r="Q357" s="1" t="b">
        <f t="shared" si="140"/>
        <v>1</v>
      </c>
      <c r="R357" s="6" t="b">
        <f t="shared" si="141"/>
        <v>1</v>
      </c>
      <c r="S357" s="6"/>
    </row>
    <row r="358" spans="1:19" x14ac:dyDescent="0.15">
      <c r="B358" s="6"/>
      <c r="C358" s="6"/>
      <c r="D358" t="s">
        <v>49</v>
      </c>
      <c r="E358" s="9" t="s">
        <v>555</v>
      </c>
      <c r="F358" s="14" t="s">
        <v>553</v>
      </c>
      <c r="G358">
        <v>16</v>
      </c>
      <c r="H358" s="6"/>
      <c r="I358" s="1" t="str">
        <f t="shared" si="142"/>
        <v>10F</v>
      </c>
      <c r="J358" s="6" t="b">
        <f t="shared" si="143"/>
        <v>0</v>
      </c>
      <c r="K358" s="6"/>
      <c r="L358" s="6"/>
      <c r="M358" s="1" t="s">
        <v>541</v>
      </c>
      <c r="N358" s="6" t="b">
        <v>0</v>
      </c>
      <c r="O358" s="6"/>
      <c r="P358" s="6"/>
      <c r="Q358" s="1" t="b">
        <f t="shared" si="140"/>
        <v>1</v>
      </c>
      <c r="R358" s="6" t="b">
        <f t="shared" si="141"/>
        <v>1</v>
      </c>
      <c r="S358" s="6"/>
    </row>
    <row r="359" spans="1:19" x14ac:dyDescent="0.15">
      <c r="B359" s="6"/>
      <c r="C359" s="2" t="s">
        <v>243</v>
      </c>
      <c r="D359" s="2" t="s">
        <v>46</v>
      </c>
      <c r="E359" s="11" t="s">
        <v>533</v>
      </c>
      <c r="F359" s="13" t="s">
        <v>533</v>
      </c>
      <c r="G359" s="2">
        <v>2</v>
      </c>
      <c r="H359" s="2"/>
      <c r="I359" s="3" t="str">
        <f t="shared" si="142"/>
        <v>00</v>
      </c>
      <c r="J359" s="2" t="b">
        <f t="shared" si="143"/>
        <v>0</v>
      </c>
      <c r="K359" s="2"/>
      <c r="L359" s="2"/>
      <c r="M359" s="3" t="s">
        <v>97</v>
      </c>
      <c r="N359" s="2" t="b">
        <v>0</v>
      </c>
      <c r="O359" s="2"/>
      <c r="P359" s="2"/>
      <c r="Q359" s="3" t="b">
        <f t="shared" si="140"/>
        <v>1</v>
      </c>
      <c r="R359" s="2" t="b">
        <f t="shared" si="141"/>
        <v>1</v>
      </c>
      <c r="S359" s="6"/>
    </row>
    <row r="360" spans="1:19" x14ac:dyDescent="0.15">
      <c r="B360" s="6"/>
      <c r="C360" s="6"/>
      <c r="D360" s="6" t="s">
        <v>47</v>
      </c>
      <c r="E360" s="9" t="s">
        <v>540</v>
      </c>
      <c r="F360" s="14" t="s">
        <v>540</v>
      </c>
      <c r="G360" s="6">
        <v>10</v>
      </c>
      <c r="H360" s="6"/>
      <c r="I360" s="1" t="str">
        <f t="shared" si="142"/>
        <v>00</v>
      </c>
      <c r="J360" s="6" t="b">
        <f t="shared" si="143"/>
        <v>0</v>
      </c>
      <c r="K360" s="6"/>
      <c r="L360" s="6"/>
      <c r="M360" s="1" t="s">
        <v>97</v>
      </c>
      <c r="N360" s="6" t="b">
        <v>0</v>
      </c>
      <c r="O360" s="6"/>
      <c r="P360" s="6"/>
      <c r="Q360" s="1" t="b">
        <f t="shared" si="140"/>
        <v>1</v>
      </c>
      <c r="R360" s="6" t="b">
        <f t="shared" si="141"/>
        <v>1</v>
      </c>
      <c r="S360" s="6"/>
    </row>
    <row r="361" spans="1:19" x14ac:dyDescent="0.15">
      <c r="B361" s="6"/>
      <c r="C361" s="6"/>
      <c r="D361" t="s">
        <v>49</v>
      </c>
      <c r="E361" s="9" t="s">
        <v>552</v>
      </c>
      <c r="F361" s="14" t="s">
        <v>552</v>
      </c>
      <c r="G361">
        <v>16</v>
      </c>
      <c r="H361" s="6"/>
      <c r="I361" s="1" t="str">
        <f t="shared" si="142"/>
        <v>00</v>
      </c>
      <c r="J361" s="6" t="b">
        <f t="shared" si="143"/>
        <v>0</v>
      </c>
      <c r="K361" s="6"/>
      <c r="L361" s="6"/>
      <c r="M361" s="1" t="s">
        <v>97</v>
      </c>
      <c r="N361" s="6" t="b">
        <v>0</v>
      </c>
      <c r="O361" s="6"/>
      <c r="P361" s="6"/>
      <c r="Q361" s="1" t="b">
        <f t="shared" si="140"/>
        <v>1</v>
      </c>
      <c r="R361" s="6" t="b">
        <f t="shared" si="141"/>
        <v>1</v>
      </c>
      <c r="S361" s="6"/>
    </row>
    <row r="362" spans="1:19" x14ac:dyDescent="0.15">
      <c r="B362" s="6"/>
      <c r="C362" s="2" t="s">
        <v>244</v>
      </c>
      <c r="D362" s="2" t="s">
        <v>46</v>
      </c>
      <c r="E362" s="11" t="s">
        <v>534</v>
      </c>
      <c r="F362" s="13" t="s">
        <v>533</v>
      </c>
      <c r="G362" s="2">
        <v>2</v>
      </c>
      <c r="H362" s="2"/>
      <c r="I362" s="3" t="str">
        <f t="shared" si="142"/>
        <v>011</v>
      </c>
      <c r="J362" s="2" t="b">
        <f t="shared" si="143"/>
        <v>0</v>
      </c>
      <c r="K362" s="2"/>
      <c r="L362" s="2"/>
      <c r="M362" s="3" t="s">
        <v>77</v>
      </c>
      <c r="N362" s="2" t="b">
        <v>0</v>
      </c>
      <c r="O362" s="2"/>
      <c r="P362" s="2"/>
      <c r="Q362" s="3" t="b">
        <f t="shared" si="140"/>
        <v>1</v>
      </c>
      <c r="R362" s="2" t="b">
        <f t="shared" si="141"/>
        <v>1</v>
      </c>
      <c r="S362" s="6"/>
    </row>
    <row r="363" spans="1:19" x14ac:dyDescent="0.15">
      <c r="B363" s="6"/>
      <c r="C363" s="6"/>
      <c r="D363" s="6" t="s">
        <v>47</v>
      </c>
      <c r="E363" s="9" t="s">
        <v>554</v>
      </c>
      <c r="F363" s="14" t="s">
        <v>540</v>
      </c>
      <c r="G363" s="6">
        <v>10</v>
      </c>
      <c r="H363" s="6"/>
      <c r="I363" s="1" t="str">
        <f t="shared" si="142"/>
        <v>099</v>
      </c>
      <c r="J363" s="6" t="b">
        <f t="shared" si="143"/>
        <v>0</v>
      </c>
      <c r="K363" s="6"/>
      <c r="L363" s="6"/>
      <c r="M363" s="1" t="s">
        <v>153</v>
      </c>
      <c r="N363" s="6" t="b">
        <v>0</v>
      </c>
      <c r="O363" s="6"/>
      <c r="P363" s="6"/>
      <c r="Q363" s="1" t="b">
        <f t="shared" si="140"/>
        <v>1</v>
      </c>
      <c r="R363" s="6" t="b">
        <f t="shared" si="141"/>
        <v>1</v>
      </c>
      <c r="S363" s="6"/>
    </row>
    <row r="364" spans="1:19" x14ac:dyDescent="0.15">
      <c r="B364" s="6"/>
      <c r="C364" s="6"/>
      <c r="D364" t="s">
        <v>49</v>
      </c>
      <c r="E364" s="9" t="s">
        <v>555</v>
      </c>
      <c r="F364" s="14" t="s">
        <v>552</v>
      </c>
      <c r="G364">
        <v>16</v>
      </c>
      <c r="H364" s="6"/>
      <c r="I364" s="1" t="str">
        <f t="shared" si="142"/>
        <v>0FF</v>
      </c>
      <c r="J364" s="6" t="b">
        <f t="shared" si="143"/>
        <v>0</v>
      </c>
      <c r="K364" s="6"/>
      <c r="L364" s="6"/>
      <c r="M364" s="1" t="s">
        <v>156</v>
      </c>
      <c r="N364" s="6" t="b">
        <v>0</v>
      </c>
      <c r="O364" s="6"/>
      <c r="P364" s="6"/>
      <c r="Q364" s="1" t="b">
        <f t="shared" si="140"/>
        <v>1</v>
      </c>
      <c r="R364" s="6" t="b">
        <f t="shared" si="141"/>
        <v>1</v>
      </c>
      <c r="S364" s="6"/>
    </row>
    <row r="365" spans="1:19" x14ac:dyDescent="0.15">
      <c r="B365" s="2" t="s">
        <v>561</v>
      </c>
      <c r="C365" s="2"/>
      <c r="D365" s="2" t="s">
        <v>46</v>
      </c>
      <c r="E365" s="11" t="s">
        <v>562</v>
      </c>
      <c r="F365" s="13" t="s">
        <v>563</v>
      </c>
      <c r="G365" s="2">
        <v>2</v>
      </c>
      <c r="H365" s="2"/>
      <c r="I365" s="3" t="str">
        <f t="shared" ref="I365:I367" si="144">TESTsubtract(E365,F365,G365)</f>
        <v>1</v>
      </c>
      <c r="J365" s="2" t="b">
        <f t="shared" ref="J365:J367" si="145">TESTsubtractByRef1(E365,F365,G365)</f>
        <v>1</v>
      </c>
      <c r="K365" s="2"/>
      <c r="L365" s="2"/>
      <c r="M365" s="3" t="s">
        <v>44</v>
      </c>
      <c r="N365" s="2" t="b">
        <v>1</v>
      </c>
      <c r="O365" s="2"/>
      <c r="P365" s="2"/>
      <c r="Q365" s="3" t="b">
        <f t="shared" ref="Q365:Q367" si="146">getText(I365)=getText(M365)</f>
        <v>1</v>
      </c>
      <c r="R365" s="2" t="b">
        <f t="shared" ref="R365:R367" si="147">getText(J365)=getText(N365)</f>
        <v>1</v>
      </c>
      <c r="S365" s="6"/>
    </row>
    <row r="366" spans="1:19" x14ac:dyDescent="0.15">
      <c r="B366" s="6"/>
      <c r="C366" s="6"/>
      <c r="D366" s="6" t="s">
        <v>47</v>
      </c>
      <c r="E366" s="9" t="s">
        <v>564</v>
      </c>
      <c r="F366" s="14" t="s">
        <v>565</v>
      </c>
      <c r="G366" s="6">
        <v>10</v>
      </c>
      <c r="H366" s="6"/>
      <c r="I366" s="1" t="str">
        <f t="shared" si="144"/>
        <v>1</v>
      </c>
      <c r="J366" s="6" t="b">
        <f t="shared" si="145"/>
        <v>1</v>
      </c>
      <c r="K366" s="6"/>
      <c r="L366" s="6"/>
      <c r="M366" s="1" t="s">
        <v>44</v>
      </c>
      <c r="N366" s="6" t="b">
        <v>1</v>
      </c>
      <c r="O366" s="6"/>
      <c r="P366" s="6"/>
      <c r="Q366" s="1" t="b">
        <f t="shared" si="146"/>
        <v>1</v>
      </c>
      <c r="R366" s="6" t="b">
        <f t="shared" si="147"/>
        <v>1</v>
      </c>
      <c r="S366" s="6"/>
    </row>
    <row r="367" spans="1:19" x14ac:dyDescent="0.15">
      <c r="B367" s="6"/>
      <c r="C367" s="6"/>
      <c r="D367" t="s">
        <v>49</v>
      </c>
      <c r="E367" s="9" t="s">
        <v>566</v>
      </c>
      <c r="F367" s="14" t="s">
        <v>567</v>
      </c>
      <c r="G367">
        <v>16</v>
      </c>
      <c r="H367" s="6"/>
      <c r="I367" s="1" t="str">
        <f t="shared" si="144"/>
        <v>1</v>
      </c>
      <c r="J367" s="6" t="b">
        <f t="shared" si="145"/>
        <v>1</v>
      </c>
      <c r="K367" s="6"/>
      <c r="L367" s="6"/>
      <c r="M367" s="1" t="s">
        <v>44</v>
      </c>
      <c r="N367" s="6" t="b">
        <v>1</v>
      </c>
      <c r="O367" s="6"/>
      <c r="P367" s="6"/>
      <c r="Q367" s="36" t="b">
        <f t="shared" si="146"/>
        <v>1</v>
      </c>
      <c r="R367" s="35" t="b">
        <f t="shared" si="147"/>
        <v>1</v>
      </c>
      <c r="S367" s="6"/>
    </row>
    <row r="368" spans="1:19" x14ac:dyDescent="0.15">
      <c r="A368" s="2" t="s">
        <v>386</v>
      </c>
      <c r="B368" s="2" t="s">
        <v>218</v>
      </c>
      <c r="C368" s="22">
        <v>0</v>
      </c>
      <c r="D368" s="2" t="s">
        <v>46</v>
      </c>
      <c r="E368" s="11" t="s">
        <v>391</v>
      </c>
      <c r="F368" s="13" t="s">
        <v>388</v>
      </c>
      <c r="G368" s="2">
        <v>2</v>
      </c>
      <c r="H368" s="2"/>
      <c r="I368" s="3" t="str">
        <f>TESTmultiple(E368,F368,G368)</f>
        <v>00</v>
      </c>
      <c r="J368" s="2"/>
      <c r="K368" s="2"/>
      <c r="L368" s="2"/>
      <c r="M368" s="3" t="s">
        <v>97</v>
      </c>
      <c r="N368" s="2"/>
      <c r="O368" s="2"/>
      <c r="P368" s="2"/>
      <c r="Q368" s="3" t="b">
        <f t="shared" ref="Q368:Q370" si="148">getText(I368)=getText(M368)</f>
        <v>1</v>
      </c>
      <c r="R368" s="2"/>
      <c r="S368" s="6"/>
    </row>
    <row r="369" spans="2:19" x14ac:dyDescent="0.15">
      <c r="C369" s="27"/>
      <c r="D369" s="6" t="s">
        <v>47</v>
      </c>
      <c r="E369" s="9" t="s">
        <v>390</v>
      </c>
      <c r="F369" s="14" t="s">
        <v>392</v>
      </c>
      <c r="G369" s="6">
        <v>10</v>
      </c>
      <c r="H369" s="6"/>
      <c r="I369" s="1" t="str">
        <f t="shared" ref="I369:I370" si="149">TESTmultiple(E369,F369,G369)</f>
        <v>00</v>
      </c>
      <c r="J369" s="6"/>
      <c r="K369" s="6"/>
      <c r="L369" s="6"/>
      <c r="M369" s="1" t="s">
        <v>97</v>
      </c>
      <c r="N369" s="6"/>
      <c r="O369" s="6"/>
      <c r="P369" s="6"/>
      <c r="Q369" s="1" t="b">
        <f t="shared" si="148"/>
        <v>1</v>
      </c>
      <c r="R369" s="6"/>
      <c r="S369" s="6"/>
    </row>
    <row r="370" spans="2:19" x14ac:dyDescent="0.15">
      <c r="C370" s="27"/>
      <c r="D370" s="6" t="s">
        <v>49</v>
      </c>
      <c r="E370" s="9" t="s">
        <v>390</v>
      </c>
      <c r="F370" s="14" t="s">
        <v>392</v>
      </c>
      <c r="G370" s="6">
        <v>16</v>
      </c>
      <c r="H370" s="6"/>
      <c r="I370" s="1" t="str">
        <f t="shared" si="149"/>
        <v>00</v>
      </c>
      <c r="J370" s="6"/>
      <c r="K370" s="6"/>
      <c r="L370" s="6"/>
      <c r="M370" s="1" t="s">
        <v>97</v>
      </c>
      <c r="N370" s="6"/>
      <c r="O370" s="6"/>
      <c r="P370" s="6"/>
      <c r="Q370" s="1" t="b">
        <f t="shared" si="148"/>
        <v>1</v>
      </c>
      <c r="R370" s="6"/>
      <c r="S370" s="6"/>
    </row>
    <row r="371" spans="2:19" x14ac:dyDescent="0.15">
      <c r="C371" s="22">
        <v>1</v>
      </c>
      <c r="D371" s="2" t="s">
        <v>46</v>
      </c>
      <c r="E371" s="11" t="s">
        <v>390</v>
      </c>
      <c r="F371" s="13" t="s">
        <v>393</v>
      </c>
      <c r="G371" s="2">
        <v>2</v>
      </c>
      <c r="H371" s="2"/>
      <c r="I371" s="3" t="str">
        <f t="shared" ref="I371:I373" si="150">TESTmultiple(E371,F371,G371)</f>
        <v>11</v>
      </c>
      <c r="J371" s="2"/>
      <c r="K371" s="2"/>
      <c r="L371" s="2"/>
      <c r="M371" s="3" t="s">
        <v>18</v>
      </c>
      <c r="N371" s="2"/>
      <c r="O371" s="2"/>
      <c r="P371" s="2"/>
      <c r="Q371" s="3" t="b">
        <f t="shared" ref="Q371:Q373" si="151">getText(I371)=getText(M371)</f>
        <v>1</v>
      </c>
      <c r="R371" s="6"/>
      <c r="S371" s="6"/>
    </row>
    <row r="372" spans="2:19" x14ac:dyDescent="0.15">
      <c r="C372" s="27"/>
      <c r="D372" s="6" t="s">
        <v>47</v>
      </c>
      <c r="E372" s="9" t="s">
        <v>390</v>
      </c>
      <c r="F372" s="14" t="s">
        <v>393</v>
      </c>
      <c r="G372" s="6">
        <v>10</v>
      </c>
      <c r="H372" s="6"/>
      <c r="I372" s="1" t="str">
        <f t="shared" si="150"/>
        <v>11</v>
      </c>
      <c r="J372" s="6"/>
      <c r="K372" s="6"/>
      <c r="L372" s="6"/>
      <c r="M372" s="1" t="s">
        <v>18</v>
      </c>
      <c r="N372" s="6"/>
      <c r="O372" s="6"/>
      <c r="P372" s="6"/>
      <c r="Q372" s="1" t="b">
        <f t="shared" si="151"/>
        <v>1</v>
      </c>
      <c r="R372" s="6"/>
      <c r="S372" s="6"/>
    </row>
    <row r="373" spans="2:19" x14ac:dyDescent="0.15">
      <c r="C373" s="27"/>
      <c r="D373" s="6" t="s">
        <v>49</v>
      </c>
      <c r="E373" s="9" t="s">
        <v>390</v>
      </c>
      <c r="F373" s="14" t="s">
        <v>393</v>
      </c>
      <c r="G373" s="6">
        <v>16</v>
      </c>
      <c r="H373" s="6"/>
      <c r="I373" s="1" t="str">
        <f t="shared" si="150"/>
        <v>11</v>
      </c>
      <c r="J373" s="6"/>
      <c r="K373" s="6"/>
      <c r="L373" s="6"/>
      <c r="M373" s="1" t="s">
        <v>18</v>
      </c>
      <c r="N373" s="6"/>
      <c r="O373" s="6"/>
      <c r="P373" s="6"/>
      <c r="Q373" s="1" t="b">
        <f t="shared" si="151"/>
        <v>1</v>
      </c>
      <c r="R373" s="6"/>
      <c r="S373" s="6"/>
    </row>
    <row r="374" spans="2:19" x14ac:dyDescent="0.15">
      <c r="C374" s="22" t="s">
        <v>389</v>
      </c>
      <c r="D374" s="2" t="s">
        <v>303</v>
      </c>
      <c r="E374" s="11" t="s">
        <v>390</v>
      </c>
      <c r="F374" s="13" t="s">
        <v>403</v>
      </c>
      <c r="G374" s="2">
        <v>3</v>
      </c>
      <c r="H374" s="2"/>
      <c r="I374" s="3" t="str">
        <f t="shared" ref="I374:I376" si="152">TESTmultiple(E374,F374,G374)</f>
        <v>22</v>
      </c>
      <c r="J374" s="2"/>
      <c r="K374" s="2"/>
      <c r="L374" s="2"/>
      <c r="M374" s="3" t="s">
        <v>401</v>
      </c>
      <c r="N374" s="2"/>
      <c r="O374" s="2"/>
      <c r="P374" s="2"/>
      <c r="Q374" s="3" t="b">
        <f t="shared" ref="Q374:Q379" si="153">getText(I374)=getText(M374)</f>
        <v>1</v>
      </c>
      <c r="R374" s="6"/>
      <c r="S374" s="6"/>
    </row>
    <row r="375" spans="2:19" x14ac:dyDescent="0.15">
      <c r="C375" s="6"/>
      <c r="D375" s="6" t="s">
        <v>47</v>
      </c>
      <c r="E375" s="9" t="s">
        <v>390</v>
      </c>
      <c r="F375" s="14" t="s">
        <v>394</v>
      </c>
      <c r="G375" s="6">
        <v>10</v>
      </c>
      <c r="H375" s="6"/>
      <c r="I375" s="1" t="str">
        <f t="shared" si="152"/>
        <v>99</v>
      </c>
      <c r="J375" s="6"/>
      <c r="K375" s="6"/>
      <c r="L375" s="6"/>
      <c r="M375" s="1" t="s">
        <v>227</v>
      </c>
      <c r="N375" s="6"/>
      <c r="O375" s="6"/>
      <c r="P375" s="6"/>
      <c r="Q375" s="1" t="b">
        <f t="shared" si="153"/>
        <v>1</v>
      </c>
      <c r="R375" s="6"/>
      <c r="S375" s="6"/>
    </row>
    <row r="376" spans="2:19" x14ac:dyDescent="0.15">
      <c r="C376" s="6"/>
      <c r="D376" s="6" t="s">
        <v>49</v>
      </c>
      <c r="E376" s="9" t="s">
        <v>390</v>
      </c>
      <c r="F376" s="14" t="s">
        <v>395</v>
      </c>
      <c r="G376" s="6">
        <v>16</v>
      </c>
      <c r="H376" s="6"/>
      <c r="I376" s="1" t="str">
        <f t="shared" si="152"/>
        <v>FF</v>
      </c>
      <c r="J376" s="6"/>
      <c r="K376" s="6"/>
      <c r="L376" s="6"/>
      <c r="M376" s="1" t="s">
        <v>22</v>
      </c>
      <c r="N376" s="6"/>
      <c r="O376" s="6"/>
      <c r="P376" s="6"/>
      <c r="Q376" s="1" t="b">
        <f t="shared" si="153"/>
        <v>1</v>
      </c>
      <c r="R376" s="6"/>
      <c r="S376" s="6"/>
    </row>
    <row r="377" spans="2:19" x14ac:dyDescent="0.15">
      <c r="B377" s="2" t="s">
        <v>223</v>
      </c>
      <c r="C377" s="22">
        <v>10</v>
      </c>
      <c r="D377" s="2" t="s">
        <v>46</v>
      </c>
      <c r="E377" s="11" t="s">
        <v>391</v>
      </c>
      <c r="F377" s="13" t="s">
        <v>396</v>
      </c>
      <c r="G377" s="2">
        <v>2</v>
      </c>
      <c r="H377" s="2"/>
      <c r="I377" s="3" t="str">
        <f>TESTmultiple(E377,F377,G377)</f>
        <v>110</v>
      </c>
      <c r="J377" s="2"/>
      <c r="K377" s="2"/>
      <c r="L377" s="2"/>
      <c r="M377" s="3" t="s">
        <v>290</v>
      </c>
      <c r="N377" s="2"/>
      <c r="O377" s="2"/>
      <c r="P377" s="2"/>
      <c r="Q377" s="3" t="b">
        <f t="shared" si="153"/>
        <v>1</v>
      </c>
      <c r="R377" s="6"/>
      <c r="S377" s="6"/>
    </row>
    <row r="378" spans="2:19" x14ac:dyDescent="0.15">
      <c r="C378" s="27"/>
      <c r="D378" s="6" t="s">
        <v>47</v>
      </c>
      <c r="E378" s="9" t="s">
        <v>390</v>
      </c>
      <c r="F378" s="14" t="s">
        <v>396</v>
      </c>
      <c r="G378" s="6">
        <v>10</v>
      </c>
      <c r="H378" s="6"/>
      <c r="I378" s="1" t="str">
        <f t="shared" ref="I378:I379" si="154">TESTmultiple(E378,F378,G378)</f>
        <v>110</v>
      </c>
      <c r="J378" s="6"/>
      <c r="K378" s="6"/>
      <c r="L378" s="6"/>
      <c r="M378" s="1" t="s">
        <v>290</v>
      </c>
      <c r="N378" s="6"/>
      <c r="O378" s="6"/>
      <c r="P378" s="6"/>
      <c r="Q378" s="1" t="b">
        <f t="shared" si="153"/>
        <v>1</v>
      </c>
      <c r="R378" s="6"/>
      <c r="S378" s="6"/>
    </row>
    <row r="379" spans="2:19" x14ac:dyDescent="0.15">
      <c r="C379" s="27"/>
      <c r="D379" s="6" t="s">
        <v>49</v>
      </c>
      <c r="E379" s="9" t="s">
        <v>390</v>
      </c>
      <c r="F379" s="14" t="s">
        <v>396</v>
      </c>
      <c r="G379" s="6">
        <v>16</v>
      </c>
      <c r="H379" s="6"/>
      <c r="I379" s="1" t="str">
        <f t="shared" si="154"/>
        <v>110</v>
      </c>
      <c r="J379" s="6"/>
      <c r="K379" s="6"/>
      <c r="L379" s="6"/>
      <c r="M379" s="1" t="s">
        <v>290</v>
      </c>
      <c r="N379" s="6"/>
      <c r="O379" s="6"/>
      <c r="P379" s="6"/>
      <c r="Q379" s="1" t="b">
        <f t="shared" si="153"/>
        <v>1</v>
      </c>
      <c r="R379" s="6"/>
      <c r="S379" s="6"/>
    </row>
    <row r="380" spans="2:19" x14ac:dyDescent="0.15">
      <c r="C380" s="22">
        <v>11</v>
      </c>
      <c r="D380" s="2" t="s">
        <v>46</v>
      </c>
      <c r="E380" s="11" t="s">
        <v>390</v>
      </c>
      <c r="F380" s="13" t="s">
        <v>390</v>
      </c>
      <c r="G380" s="2">
        <v>2</v>
      </c>
      <c r="H380" s="2"/>
      <c r="I380" s="3" t="str">
        <f t="shared" ref="I380:I382" si="155">TESTmultiple(E380,F380,G380)</f>
        <v>1001</v>
      </c>
      <c r="J380" s="2"/>
      <c r="K380" s="2"/>
      <c r="L380" s="2"/>
      <c r="M380" s="3" t="s">
        <v>400</v>
      </c>
      <c r="N380" s="2"/>
      <c r="O380" s="2"/>
      <c r="P380" s="2"/>
      <c r="Q380" s="3" t="b">
        <f t="shared" ref="Q380:Q382" si="156">getText(I380)=getText(M380)</f>
        <v>1</v>
      </c>
      <c r="R380" s="6"/>
      <c r="S380" s="6"/>
    </row>
    <row r="381" spans="2:19" x14ac:dyDescent="0.15">
      <c r="C381" s="6"/>
      <c r="D381" s="6" t="s">
        <v>47</v>
      </c>
      <c r="E381" s="9" t="s">
        <v>390</v>
      </c>
      <c r="F381" s="14" t="s">
        <v>390</v>
      </c>
      <c r="G381" s="6">
        <v>10</v>
      </c>
      <c r="H381" s="6"/>
      <c r="I381" s="1" t="str">
        <f t="shared" si="155"/>
        <v>121</v>
      </c>
      <c r="J381" s="6"/>
      <c r="K381" s="6"/>
      <c r="L381" s="6"/>
      <c r="M381" s="1" t="s">
        <v>318</v>
      </c>
      <c r="N381" s="6"/>
      <c r="O381" s="6"/>
      <c r="P381" s="6"/>
      <c r="Q381" s="1" t="b">
        <f t="shared" si="156"/>
        <v>1</v>
      </c>
      <c r="R381" s="6"/>
      <c r="S381" s="6"/>
    </row>
    <row r="382" spans="2:19" x14ac:dyDescent="0.15">
      <c r="C382" s="6"/>
      <c r="D382" s="6" t="s">
        <v>49</v>
      </c>
      <c r="E382" s="9" t="s">
        <v>390</v>
      </c>
      <c r="F382" s="14" t="s">
        <v>390</v>
      </c>
      <c r="G382" s="6">
        <v>16</v>
      </c>
      <c r="H382" s="6"/>
      <c r="I382" s="1" t="str">
        <f t="shared" si="155"/>
        <v>121</v>
      </c>
      <c r="J382" s="6"/>
      <c r="K382" s="6"/>
      <c r="L382" s="6"/>
      <c r="M382" s="1" t="s">
        <v>318</v>
      </c>
      <c r="N382" s="6"/>
      <c r="O382" s="6"/>
      <c r="P382" s="6"/>
      <c r="Q382" s="1" t="b">
        <f t="shared" si="156"/>
        <v>1</v>
      </c>
      <c r="R382" s="6"/>
      <c r="S382" s="6"/>
    </row>
    <row r="383" spans="2:19" x14ac:dyDescent="0.15">
      <c r="C383" s="22" t="s">
        <v>397</v>
      </c>
      <c r="D383" s="2" t="s">
        <v>303</v>
      </c>
      <c r="E383" s="11" t="s">
        <v>390</v>
      </c>
      <c r="F383" s="13" t="s">
        <v>402</v>
      </c>
      <c r="G383" s="2">
        <v>3</v>
      </c>
      <c r="H383" s="2"/>
      <c r="I383" s="3" t="str">
        <f t="shared" ref="I383:I385" si="157">TESTmultiple(E383,F383,G383)</f>
        <v>1012</v>
      </c>
      <c r="J383" s="2"/>
      <c r="K383" s="2"/>
      <c r="L383" s="2"/>
      <c r="M383" s="3" t="s">
        <v>404</v>
      </c>
      <c r="N383" s="2"/>
      <c r="O383" s="2"/>
      <c r="P383" s="2"/>
      <c r="Q383" s="3" t="b">
        <f t="shared" ref="Q383:Q385" si="158">getText(I383)=getText(M383)</f>
        <v>1</v>
      </c>
      <c r="R383" s="6"/>
      <c r="S383" s="6"/>
    </row>
    <row r="384" spans="2:19" x14ac:dyDescent="0.15">
      <c r="C384" s="6"/>
      <c r="D384" s="6" t="s">
        <v>47</v>
      </c>
      <c r="E384" s="9" t="s">
        <v>390</v>
      </c>
      <c r="F384" s="14" t="s">
        <v>398</v>
      </c>
      <c r="G384" s="6">
        <v>10</v>
      </c>
      <c r="H384" s="6"/>
      <c r="I384" s="1" t="str">
        <f t="shared" si="157"/>
        <v>1089</v>
      </c>
      <c r="J384" s="6"/>
      <c r="K384" s="6"/>
      <c r="L384" s="6"/>
      <c r="M384" s="1" t="s">
        <v>405</v>
      </c>
      <c r="N384" s="6"/>
      <c r="O384" s="6"/>
      <c r="P384" s="6"/>
      <c r="Q384" s="1" t="b">
        <f t="shared" si="158"/>
        <v>1</v>
      </c>
      <c r="R384" s="6"/>
      <c r="S384" s="6"/>
    </row>
    <row r="385" spans="2:19" x14ac:dyDescent="0.15">
      <c r="C385" s="6"/>
      <c r="D385" s="6" t="s">
        <v>49</v>
      </c>
      <c r="E385" s="9" t="s">
        <v>390</v>
      </c>
      <c r="F385" s="14" t="s">
        <v>399</v>
      </c>
      <c r="G385" s="6">
        <v>16</v>
      </c>
      <c r="H385" s="6"/>
      <c r="I385" s="1" t="str">
        <f t="shared" si="157"/>
        <v>10EF</v>
      </c>
      <c r="J385" s="6"/>
      <c r="K385" s="6"/>
      <c r="L385" s="6"/>
      <c r="M385" s="1" t="s">
        <v>406</v>
      </c>
      <c r="N385" s="6"/>
      <c r="O385" s="6"/>
      <c r="P385" s="6"/>
      <c r="Q385" s="1" t="b">
        <f t="shared" si="158"/>
        <v>1</v>
      </c>
      <c r="R385" s="6"/>
      <c r="S385" s="6"/>
    </row>
    <row r="386" spans="2:19" x14ac:dyDescent="0.15">
      <c r="C386" s="2" t="s">
        <v>420</v>
      </c>
      <c r="D386" s="2" t="s">
        <v>303</v>
      </c>
      <c r="E386" s="11" t="s">
        <v>408</v>
      </c>
      <c r="F386" s="13" t="s">
        <v>409</v>
      </c>
      <c r="G386" s="2">
        <v>3</v>
      </c>
      <c r="H386" s="2"/>
      <c r="I386" s="3" t="str">
        <f t="shared" ref="I386" si="159">TESTmultiple(E386,F386,G386)</f>
        <v>1010</v>
      </c>
      <c r="J386" s="2"/>
      <c r="K386" s="2"/>
      <c r="L386" s="2"/>
      <c r="M386" s="3" t="s">
        <v>387</v>
      </c>
      <c r="N386" s="2"/>
      <c r="O386" s="2"/>
      <c r="P386" s="2"/>
      <c r="Q386" s="3" t="b">
        <f t="shared" ref="Q386:Q387" si="160">getText(I386)=getText(M386)</f>
        <v>1</v>
      </c>
      <c r="R386" s="6"/>
      <c r="S386" s="6"/>
    </row>
    <row r="387" spans="2:19" x14ac:dyDescent="0.15">
      <c r="C387" s="6" t="s">
        <v>407</v>
      </c>
      <c r="D387" s="6" t="s">
        <v>47</v>
      </c>
      <c r="E387" s="9" t="s">
        <v>408</v>
      </c>
      <c r="F387" s="14" t="s">
        <v>410</v>
      </c>
      <c r="G387" s="6">
        <v>10</v>
      </c>
      <c r="H387" s="6"/>
      <c r="I387" s="1" t="str">
        <f t="shared" ref="I387:I388" si="161">TESTmultiple(E387,F387,G387)</f>
        <v>300</v>
      </c>
      <c r="J387" s="6"/>
      <c r="K387" s="6"/>
      <c r="L387" s="6"/>
      <c r="M387" s="1" t="s">
        <v>411</v>
      </c>
      <c r="N387" s="6"/>
      <c r="O387" s="6"/>
      <c r="P387" s="6"/>
      <c r="Q387" s="1" t="b">
        <f t="shared" si="160"/>
        <v>1</v>
      </c>
      <c r="R387" s="6"/>
      <c r="S387" s="6"/>
    </row>
    <row r="388" spans="2:19" x14ac:dyDescent="0.15">
      <c r="C388" s="6"/>
      <c r="D388" s="6" t="s">
        <v>49</v>
      </c>
      <c r="E388" s="9" t="s">
        <v>408</v>
      </c>
      <c r="F388" s="14" t="s">
        <v>412</v>
      </c>
      <c r="G388" s="6">
        <v>16</v>
      </c>
      <c r="H388" s="6"/>
      <c r="I388" s="1" t="str">
        <f t="shared" si="161"/>
        <v>300</v>
      </c>
      <c r="J388" s="6"/>
      <c r="K388" s="6"/>
      <c r="L388" s="6"/>
      <c r="M388" s="1" t="s">
        <v>411</v>
      </c>
      <c r="N388" s="6"/>
      <c r="O388" s="6"/>
      <c r="P388" s="6"/>
      <c r="Q388" s="1" t="b">
        <f t="shared" ref="Q388:Q402" si="162">getText(I388)=getText(M388)</f>
        <v>1</v>
      </c>
      <c r="R388" s="6"/>
      <c r="S388" s="6"/>
    </row>
    <row r="389" spans="2:19" x14ac:dyDescent="0.15">
      <c r="C389" s="2" t="s">
        <v>421</v>
      </c>
      <c r="D389" s="2" t="s">
        <v>303</v>
      </c>
      <c r="E389" s="11" t="s">
        <v>408</v>
      </c>
      <c r="F389" s="13" t="s">
        <v>414</v>
      </c>
      <c r="G389" s="2">
        <v>3</v>
      </c>
      <c r="H389" s="2"/>
      <c r="I389" s="3" t="str">
        <f t="shared" ref="I389:I390" si="163">TESTmultiple(E389,F389,G389)</f>
        <v>1120</v>
      </c>
      <c r="J389" s="2"/>
      <c r="K389" s="2"/>
      <c r="L389" s="2"/>
      <c r="M389" s="3" t="s">
        <v>415</v>
      </c>
      <c r="N389" s="2"/>
      <c r="O389" s="2"/>
      <c r="P389" s="2"/>
      <c r="Q389" s="3" t="b">
        <f t="shared" si="162"/>
        <v>1</v>
      </c>
      <c r="R389" s="6"/>
      <c r="S389" s="6"/>
    </row>
    <row r="390" spans="2:19" x14ac:dyDescent="0.15">
      <c r="C390" s="6" t="s">
        <v>413</v>
      </c>
      <c r="D390" s="6" t="s">
        <v>47</v>
      </c>
      <c r="E390" s="9" t="s">
        <v>408</v>
      </c>
      <c r="F390" s="14" t="s">
        <v>416</v>
      </c>
      <c r="G390" s="6">
        <v>10</v>
      </c>
      <c r="H390" s="6"/>
      <c r="I390" s="1" t="str">
        <f t="shared" si="163"/>
        <v>1020</v>
      </c>
      <c r="J390" s="6"/>
      <c r="K390" s="6"/>
      <c r="L390" s="6"/>
      <c r="M390" s="1" t="s">
        <v>418</v>
      </c>
      <c r="N390" s="6"/>
      <c r="O390" s="6"/>
      <c r="P390" s="6"/>
      <c r="Q390" s="1" t="b">
        <f t="shared" si="162"/>
        <v>1</v>
      </c>
      <c r="R390" s="6"/>
      <c r="S390" s="6"/>
    </row>
    <row r="391" spans="2:19" x14ac:dyDescent="0.15">
      <c r="C391" s="6"/>
      <c r="D391" s="6" t="s">
        <v>49</v>
      </c>
      <c r="E391" s="9" t="s">
        <v>408</v>
      </c>
      <c r="F391" s="14" t="s">
        <v>417</v>
      </c>
      <c r="G391" s="6">
        <v>16</v>
      </c>
      <c r="H391" s="6"/>
      <c r="I391" s="1" t="str">
        <f t="shared" ref="I391" si="164">TESTmultiple(E391,F391,G391)</f>
        <v>1020</v>
      </c>
      <c r="J391" s="6"/>
      <c r="K391" s="6"/>
      <c r="L391" s="6"/>
      <c r="M391" s="1" t="s">
        <v>418</v>
      </c>
      <c r="N391" s="6"/>
      <c r="O391" s="6"/>
      <c r="P391" s="6"/>
      <c r="Q391" s="1" t="b">
        <f t="shared" si="162"/>
        <v>1</v>
      </c>
      <c r="R391" s="6"/>
      <c r="S391" s="6"/>
    </row>
    <row r="392" spans="2:19" x14ac:dyDescent="0.15">
      <c r="C392" s="2" t="s">
        <v>420</v>
      </c>
      <c r="D392" s="2" t="s">
        <v>303</v>
      </c>
      <c r="E392" s="11" t="s">
        <v>402</v>
      </c>
      <c r="F392" s="13" t="s">
        <v>422</v>
      </c>
      <c r="G392" s="2">
        <v>3</v>
      </c>
      <c r="H392" s="2"/>
      <c r="I392" s="3" t="str">
        <f t="shared" ref="I392" si="165">TESTmultiple(E392,F392,G392)</f>
        <v>2101</v>
      </c>
      <c r="J392" s="2"/>
      <c r="K392" s="2"/>
      <c r="L392" s="2"/>
      <c r="M392" s="3" t="s">
        <v>423</v>
      </c>
      <c r="N392" s="2"/>
      <c r="O392" s="2"/>
      <c r="P392" s="2"/>
      <c r="Q392" s="3" t="b">
        <f t="shared" si="162"/>
        <v>1</v>
      </c>
      <c r="R392" s="6"/>
      <c r="S392" s="6"/>
    </row>
    <row r="393" spans="2:19" x14ac:dyDescent="0.15">
      <c r="C393" s="6" t="s">
        <v>419</v>
      </c>
      <c r="D393" s="6" t="s">
        <v>47</v>
      </c>
      <c r="E393" s="9" t="s">
        <v>422</v>
      </c>
      <c r="F393" s="14" t="s">
        <v>424</v>
      </c>
      <c r="G393" s="6">
        <v>10</v>
      </c>
      <c r="H393" s="6"/>
      <c r="I393" s="1" t="str">
        <f t="shared" ref="I393" si="166">TESTmultiple(E393,F393,G393)</f>
        <v>1210</v>
      </c>
      <c r="J393" s="6"/>
      <c r="K393" s="6"/>
      <c r="L393" s="6"/>
      <c r="M393" s="1" t="s">
        <v>425</v>
      </c>
      <c r="N393" s="6"/>
      <c r="O393" s="6"/>
      <c r="P393" s="6"/>
      <c r="Q393" s="1" t="b">
        <f t="shared" si="162"/>
        <v>1</v>
      </c>
      <c r="R393" s="6"/>
      <c r="S393" s="6"/>
    </row>
    <row r="394" spans="2:19" x14ac:dyDescent="0.15">
      <c r="C394" s="6"/>
      <c r="D394" s="6" t="s">
        <v>49</v>
      </c>
      <c r="E394" s="9" t="s">
        <v>422</v>
      </c>
      <c r="F394" s="14" t="s">
        <v>426</v>
      </c>
      <c r="G394" s="6">
        <v>16</v>
      </c>
      <c r="H394" s="6"/>
      <c r="I394" s="1" t="str">
        <f t="shared" ref="I394" si="167">TESTmultiple(E394,F394,G394)</f>
        <v>1210</v>
      </c>
      <c r="J394" s="6"/>
      <c r="K394" s="6"/>
      <c r="L394" s="6"/>
      <c r="M394" s="1" t="s">
        <v>425</v>
      </c>
      <c r="N394" s="6"/>
      <c r="O394" s="6"/>
      <c r="P394" s="6"/>
      <c r="Q394" s="1" t="b">
        <f t="shared" si="162"/>
        <v>1</v>
      </c>
      <c r="R394" s="6"/>
      <c r="S394" s="6"/>
    </row>
    <row r="395" spans="2:19" x14ac:dyDescent="0.15">
      <c r="B395" s="2" t="s">
        <v>427</v>
      </c>
      <c r="C395" s="24" t="s">
        <v>434</v>
      </c>
      <c r="D395" s="2" t="s">
        <v>303</v>
      </c>
      <c r="E395" s="11" t="s">
        <v>402</v>
      </c>
      <c r="F395" s="13" t="s">
        <v>435</v>
      </c>
      <c r="G395" s="2">
        <v>3</v>
      </c>
      <c r="H395" s="2"/>
      <c r="I395" s="3" t="str">
        <f t="shared" ref="I395:I397" si="168">TESTmultiple(E395,F395,G395)</f>
        <v>12100</v>
      </c>
      <c r="J395" s="2"/>
      <c r="K395" s="2"/>
      <c r="L395" s="2"/>
      <c r="M395" s="3" t="s">
        <v>438</v>
      </c>
      <c r="N395" s="2"/>
      <c r="O395" s="2"/>
      <c r="P395" s="2"/>
      <c r="Q395" s="3" t="b">
        <f t="shared" si="162"/>
        <v>1</v>
      </c>
      <c r="R395" s="6"/>
      <c r="S395" s="6"/>
    </row>
    <row r="396" spans="2:19" x14ac:dyDescent="0.15">
      <c r="C396" s="6"/>
      <c r="D396" s="6" t="s">
        <v>47</v>
      </c>
      <c r="E396" s="9" t="s">
        <v>402</v>
      </c>
      <c r="F396" s="14" t="s">
        <v>436</v>
      </c>
      <c r="G396" s="6">
        <v>10</v>
      </c>
      <c r="H396" s="6"/>
      <c r="I396" s="1" t="str">
        <f t="shared" si="168"/>
        <v>11000</v>
      </c>
      <c r="J396" s="6"/>
      <c r="K396" s="6"/>
      <c r="L396" s="6"/>
      <c r="M396" s="1" t="s">
        <v>439</v>
      </c>
      <c r="N396" s="6"/>
      <c r="O396" s="6"/>
      <c r="P396" s="6"/>
      <c r="Q396" s="1" t="b">
        <f t="shared" si="162"/>
        <v>1</v>
      </c>
      <c r="R396" s="6"/>
      <c r="S396" s="6"/>
    </row>
    <row r="397" spans="2:19" x14ac:dyDescent="0.15">
      <c r="C397" s="6"/>
      <c r="D397" s="6" t="s">
        <v>49</v>
      </c>
      <c r="E397" s="9" t="s">
        <v>402</v>
      </c>
      <c r="F397" s="14" t="s">
        <v>437</v>
      </c>
      <c r="G397" s="6">
        <v>16</v>
      </c>
      <c r="H397" s="6"/>
      <c r="I397" s="1" t="str">
        <f t="shared" si="168"/>
        <v>11000</v>
      </c>
      <c r="J397" s="6"/>
      <c r="K397" s="6"/>
      <c r="L397" s="6"/>
      <c r="M397" s="1" t="s">
        <v>439</v>
      </c>
      <c r="N397" s="6"/>
      <c r="O397" s="6"/>
      <c r="P397" s="6"/>
      <c r="Q397" s="1" t="b">
        <f t="shared" si="162"/>
        <v>1</v>
      </c>
      <c r="R397" s="6"/>
      <c r="S397" s="6"/>
    </row>
    <row r="398" spans="2:19" x14ac:dyDescent="0.15">
      <c r="C398" s="24" t="s">
        <v>428</v>
      </c>
      <c r="D398" s="2" t="s">
        <v>303</v>
      </c>
      <c r="E398" s="11" t="s">
        <v>402</v>
      </c>
      <c r="F398" s="13" t="s">
        <v>429</v>
      </c>
      <c r="G398" s="2">
        <v>3</v>
      </c>
      <c r="H398" s="2"/>
      <c r="I398" s="3" t="str">
        <f t="shared" ref="I398:I400" si="169">TESTmultiple(E398,F398,G398)</f>
        <v>21201</v>
      </c>
      <c r="J398" s="2"/>
      <c r="K398" s="2"/>
      <c r="L398" s="2"/>
      <c r="M398" s="3" t="s">
        <v>432</v>
      </c>
      <c r="N398" s="2"/>
      <c r="O398" s="2"/>
      <c r="P398" s="2"/>
      <c r="Q398" s="3" t="b">
        <f t="shared" si="162"/>
        <v>1</v>
      </c>
      <c r="R398" s="6"/>
      <c r="S398" s="6"/>
    </row>
    <row r="399" spans="2:19" x14ac:dyDescent="0.15">
      <c r="C399" s="6"/>
      <c r="D399" s="6" t="s">
        <v>47</v>
      </c>
      <c r="E399" s="9" t="s">
        <v>402</v>
      </c>
      <c r="F399" s="14" t="s">
        <v>430</v>
      </c>
      <c r="G399" s="6">
        <v>10</v>
      </c>
      <c r="H399" s="6"/>
      <c r="I399" s="1" t="str">
        <f t="shared" si="169"/>
        <v>12210</v>
      </c>
      <c r="J399" s="6"/>
      <c r="K399" s="6"/>
      <c r="L399" s="6"/>
      <c r="M399" s="1" t="s">
        <v>433</v>
      </c>
      <c r="N399" s="6"/>
      <c r="O399" s="6"/>
      <c r="P399" s="6"/>
      <c r="Q399" s="1" t="b">
        <f t="shared" si="162"/>
        <v>1</v>
      </c>
      <c r="R399" s="6"/>
      <c r="S399" s="6"/>
    </row>
    <row r="400" spans="2:19" x14ac:dyDescent="0.15">
      <c r="C400" s="6"/>
      <c r="D400" s="6" t="s">
        <v>49</v>
      </c>
      <c r="E400" s="9" t="s">
        <v>402</v>
      </c>
      <c r="F400" s="14" t="s">
        <v>431</v>
      </c>
      <c r="G400" s="6">
        <v>16</v>
      </c>
      <c r="H400" s="6"/>
      <c r="I400" s="1" t="str">
        <f t="shared" si="169"/>
        <v>12210</v>
      </c>
      <c r="J400" s="6"/>
      <c r="K400" s="6"/>
      <c r="L400" s="6"/>
      <c r="M400" s="1" t="s">
        <v>433</v>
      </c>
      <c r="N400" s="6"/>
      <c r="O400" s="6"/>
      <c r="P400" s="6"/>
      <c r="Q400" s="1" t="b">
        <f t="shared" si="162"/>
        <v>1</v>
      </c>
      <c r="R400" s="6"/>
      <c r="S400" s="6"/>
    </row>
    <row r="401" spans="1:19" x14ac:dyDescent="0.15">
      <c r="A401" s="2" t="s">
        <v>293</v>
      </c>
      <c r="B401" s="2" t="s">
        <v>294</v>
      </c>
      <c r="C401" s="2"/>
      <c r="D401" s="2"/>
      <c r="E401" s="11" t="s">
        <v>299</v>
      </c>
      <c r="F401" s="13" t="s">
        <v>296</v>
      </c>
      <c r="G401" s="24">
        <v>2</v>
      </c>
      <c r="H401" s="2"/>
      <c r="I401" s="3" t="str">
        <f t="shared" ref="I401:I402" si="170">TESTmultipleByOneDigit(E401,F401,G401)</f>
        <v>00</v>
      </c>
      <c r="J401" s="24"/>
      <c r="K401" s="2"/>
      <c r="L401" s="2"/>
      <c r="M401" s="3" t="s">
        <v>97</v>
      </c>
      <c r="N401" s="2"/>
      <c r="O401" s="2"/>
      <c r="P401" s="2"/>
      <c r="Q401" s="3" t="b">
        <f t="shared" si="162"/>
        <v>1</v>
      </c>
      <c r="R401" s="6"/>
      <c r="S401" s="6"/>
    </row>
    <row r="402" spans="1:19" x14ac:dyDescent="0.15">
      <c r="B402" s="28" t="s">
        <v>295</v>
      </c>
      <c r="C402" s="28"/>
      <c r="D402" s="28"/>
      <c r="E402" s="29" t="s">
        <v>300</v>
      </c>
      <c r="F402" s="30" t="s">
        <v>297</v>
      </c>
      <c r="G402" s="31">
        <v>2</v>
      </c>
      <c r="H402" s="28"/>
      <c r="I402" s="32" t="str">
        <f t="shared" si="170"/>
        <v>101</v>
      </c>
      <c r="J402" s="28"/>
      <c r="K402" s="28"/>
      <c r="L402" s="28"/>
      <c r="M402" s="32" t="s">
        <v>279</v>
      </c>
      <c r="N402" s="28"/>
      <c r="O402" s="28"/>
      <c r="P402" s="28"/>
      <c r="Q402" s="32" t="b">
        <f t="shared" si="162"/>
        <v>1</v>
      </c>
      <c r="R402" s="6"/>
      <c r="S402" s="6"/>
    </row>
    <row r="403" spans="1:19" x14ac:dyDescent="0.15">
      <c r="B403" t="s">
        <v>301</v>
      </c>
      <c r="C403" s="6" t="s">
        <v>302</v>
      </c>
      <c r="D403" s="7" t="s">
        <v>303</v>
      </c>
      <c r="E403" s="9" t="s">
        <v>307</v>
      </c>
      <c r="F403" s="14" t="s">
        <v>309</v>
      </c>
      <c r="G403" s="7">
        <v>3</v>
      </c>
      <c r="H403" s="6"/>
      <c r="I403" s="1" t="str">
        <f t="shared" ref="I403" si="171">TESTmultipleByOneDigit(E403,F403,G403)</f>
        <v>11</v>
      </c>
      <c r="J403" s="6"/>
      <c r="K403" s="6"/>
      <c r="L403" s="6"/>
      <c r="M403" s="1" t="s">
        <v>18</v>
      </c>
      <c r="N403" s="6"/>
      <c r="O403" s="6"/>
      <c r="P403" s="6"/>
      <c r="Q403" s="1" t="b">
        <f t="shared" ref="Q403:Q405" si="172">getText(I403)=getText(M403)</f>
        <v>1</v>
      </c>
      <c r="R403" s="6"/>
      <c r="S403" s="6"/>
    </row>
    <row r="404" spans="1:19" x14ac:dyDescent="0.15">
      <c r="C404" s="6"/>
      <c r="D404" s="7" t="s">
        <v>304</v>
      </c>
      <c r="E404" s="9" t="s">
        <v>307</v>
      </c>
      <c r="F404" s="14" t="s">
        <v>310</v>
      </c>
      <c r="G404" s="7">
        <v>10</v>
      </c>
      <c r="H404" s="6"/>
      <c r="I404" s="1" t="str">
        <f t="shared" ref="I404:I406" si="173">TESTmultipleByOneDigit(E404,F404,G404)</f>
        <v>4</v>
      </c>
      <c r="J404" s="6"/>
      <c r="K404" s="6"/>
      <c r="L404" s="6"/>
      <c r="M404" s="1" t="s">
        <v>313</v>
      </c>
      <c r="N404" s="6"/>
      <c r="O404" s="6"/>
      <c r="P404" s="6"/>
      <c r="Q404" s="1" t="b">
        <f t="shared" si="172"/>
        <v>1</v>
      </c>
      <c r="R404" s="6"/>
      <c r="S404" s="6"/>
    </row>
    <row r="405" spans="1:19" x14ac:dyDescent="0.15">
      <c r="C405" s="6"/>
      <c r="D405" s="7" t="s">
        <v>305</v>
      </c>
      <c r="E405" s="9" t="s">
        <v>312</v>
      </c>
      <c r="F405" s="14" t="s">
        <v>311</v>
      </c>
      <c r="G405" s="7">
        <v>16</v>
      </c>
      <c r="H405" s="6"/>
      <c r="I405" s="1" t="str">
        <f t="shared" si="173"/>
        <v>A</v>
      </c>
      <c r="J405" s="6"/>
      <c r="K405" s="6"/>
      <c r="L405" s="6"/>
      <c r="M405" s="1" t="s">
        <v>314</v>
      </c>
      <c r="N405" s="6"/>
      <c r="O405" s="6"/>
      <c r="P405" s="6"/>
      <c r="Q405" s="1" t="b">
        <f t="shared" si="172"/>
        <v>1</v>
      </c>
      <c r="R405" s="6"/>
      <c r="S405" s="6"/>
    </row>
    <row r="406" spans="1:19" x14ac:dyDescent="0.15">
      <c r="C406" s="2" t="s">
        <v>317</v>
      </c>
      <c r="D406" s="24" t="s">
        <v>303</v>
      </c>
      <c r="E406" s="11" t="s">
        <v>315</v>
      </c>
      <c r="F406" s="13" t="s">
        <v>309</v>
      </c>
      <c r="G406" s="24">
        <v>3</v>
      </c>
      <c r="H406" s="2"/>
      <c r="I406" s="3" t="str">
        <f t="shared" si="173"/>
        <v>121</v>
      </c>
      <c r="J406" s="2"/>
      <c r="K406" s="2"/>
      <c r="L406" s="2"/>
      <c r="M406" s="3" t="s">
        <v>318</v>
      </c>
      <c r="N406" s="2"/>
      <c r="O406" s="2"/>
      <c r="P406" s="2"/>
      <c r="Q406" s="3" t="b">
        <f t="shared" ref="Q406:Q408" si="174">getText(I406)=getText(M406)</f>
        <v>1</v>
      </c>
      <c r="R406" s="6"/>
      <c r="S406" s="6"/>
    </row>
    <row r="407" spans="1:19" x14ac:dyDescent="0.15">
      <c r="C407" s="6"/>
      <c r="D407" s="7" t="s">
        <v>304</v>
      </c>
      <c r="E407" s="9" t="s">
        <v>315</v>
      </c>
      <c r="F407" s="14" t="s">
        <v>310</v>
      </c>
      <c r="G407" s="7">
        <v>10</v>
      </c>
      <c r="H407" s="6"/>
      <c r="I407" s="1" t="str">
        <f t="shared" ref="I407:I409" si="175">TESTmultipleByOneDigit(E407,F407,G407)</f>
        <v>44</v>
      </c>
      <c r="J407" s="6"/>
      <c r="K407" s="6"/>
      <c r="L407" s="6"/>
      <c r="M407" s="1" t="s">
        <v>319</v>
      </c>
      <c r="N407" s="6"/>
      <c r="O407" s="6"/>
      <c r="P407" s="6"/>
      <c r="Q407" s="1" t="b">
        <f t="shared" si="174"/>
        <v>1</v>
      </c>
      <c r="R407" s="6"/>
      <c r="S407" s="6"/>
    </row>
    <row r="408" spans="1:19" x14ac:dyDescent="0.15">
      <c r="C408" s="6"/>
      <c r="D408" s="7" t="s">
        <v>305</v>
      </c>
      <c r="E408" s="9" t="s">
        <v>316</v>
      </c>
      <c r="F408" s="14" t="s">
        <v>311</v>
      </c>
      <c r="G408" s="7">
        <v>16</v>
      </c>
      <c r="H408" s="6"/>
      <c r="I408" s="1" t="str">
        <f t="shared" si="175"/>
        <v>AA</v>
      </c>
      <c r="J408" s="6"/>
      <c r="K408" s="6"/>
      <c r="L408" s="6"/>
      <c r="M408" s="1" t="s">
        <v>320</v>
      </c>
      <c r="N408" s="6"/>
      <c r="O408" s="6"/>
      <c r="P408" s="6"/>
      <c r="Q408" s="1" t="b">
        <f t="shared" si="174"/>
        <v>1</v>
      </c>
      <c r="R408" s="6"/>
      <c r="S408" s="6"/>
    </row>
    <row r="409" spans="1:19" x14ac:dyDescent="0.15">
      <c r="C409" s="2" t="s">
        <v>321</v>
      </c>
      <c r="D409" s="24" t="s">
        <v>303</v>
      </c>
      <c r="E409" s="11" t="s">
        <v>322</v>
      </c>
      <c r="F409" s="13" t="s">
        <v>309</v>
      </c>
      <c r="G409" s="24">
        <v>3</v>
      </c>
      <c r="H409" s="2"/>
      <c r="I409" s="3" t="str">
        <f t="shared" si="175"/>
        <v>1221</v>
      </c>
      <c r="J409" s="2"/>
      <c r="K409" s="2"/>
      <c r="L409" s="2"/>
      <c r="M409" s="3" t="s">
        <v>324</v>
      </c>
      <c r="N409" s="2"/>
      <c r="O409" s="2"/>
      <c r="P409" s="2"/>
      <c r="Q409" s="3" t="b">
        <f t="shared" ref="Q409:Q411" si="176">getText(I409)=getText(M409)</f>
        <v>1</v>
      </c>
      <c r="R409" s="6"/>
      <c r="S409" s="6"/>
    </row>
    <row r="410" spans="1:19" x14ac:dyDescent="0.15">
      <c r="C410" s="6"/>
      <c r="D410" s="7" t="s">
        <v>304</v>
      </c>
      <c r="E410" s="9" t="s">
        <v>322</v>
      </c>
      <c r="F410" s="14" t="s">
        <v>310</v>
      </c>
      <c r="G410" s="7">
        <v>10</v>
      </c>
      <c r="H410" s="6"/>
      <c r="I410" s="1" t="str">
        <f t="shared" ref="I410:I411" si="177">TESTmultipleByOneDigit(E410,F410,G410)</f>
        <v>444</v>
      </c>
      <c r="J410" s="6"/>
      <c r="K410" s="6"/>
      <c r="L410" s="6"/>
      <c r="M410" s="1" t="s">
        <v>325</v>
      </c>
      <c r="N410" s="6"/>
      <c r="O410" s="6"/>
      <c r="P410" s="6"/>
      <c r="Q410" s="1" t="b">
        <f t="shared" si="176"/>
        <v>1</v>
      </c>
      <c r="R410" s="6"/>
      <c r="S410" s="6"/>
    </row>
    <row r="411" spans="1:19" x14ac:dyDescent="0.15">
      <c r="C411" s="6"/>
      <c r="D411" s="7" t="s">
        <v>305</v>
      </c>
      <c r="E411" s="9" t="s">
        <v>323</v>
      </c>
      <c r="F411" s="14" t="s">
        <v>311</v>
      </c>
      <c r="G411" s="7">
        <v>16</v>
      </c>
      <c r="H411" s="6"/>
      <c r="I411" s="1" t="str">
        <f t="shared" si="177"/>
        <v>AAA</v>
      </c>
      <c r="J411" s="6"/>
      <c r="K411" s="6"/>
      <c r="L411" s="6"/>
      <c r="M411" s="1" t="s">
        <v>326</v>
      </c>
      <c r="N411" s="6"/>
      <c r="O411" s="6"/>
      <c r="P411" s="6"/>
      <c r="Q411" s="1" t="b">
        <f t="shared" si="176"/>
        <v>1</v>
      </c>
      <c r="R411" s="6"/>
      <c r="S411" s="6"/>
    </row>
    <row r="412" spans="1:19" x14ac:dyDescent="0.15">
      <c r="B412" s="2" t="s">
        <v>328</v>
      </c>
      <c r="C412" s="2" t="s">
        <v>327</v>
      </c>
      <c r="D412" s="24" t="s">
        <v>303</v>
      </c>
      <c r="E412" s="11" t="s">
        <v>329</v>
      </c>
      <c r="F412" s="13" t="s">
        <v>329</v>
      </c>
      <c r="G412" s="24">
        <v>3</v>
      </c>
      <c r="H412" s="2"/>
      <c r="I412" s="3" t="str">
        <f t="shared" ref="I412:I414" si="178">TESTmultipleByOneDigit(E412,F412,G412)</f>
        <v>0</v>
      </c>
      <c r="J412" s="2"/>
      <c r="K412" s="2"/>
      <c r="L412" s="2"/>
      <c r="M412" s="3" t="s">
        <v>14</v>
      </c>
      <c r="N412" s="2"/>
      <c r="O412" s="2"/>
      <c r="P412" s="2"/>
      <c r="Q412" s="3" t="b">
        <f t="shared" ref="Q412:Q414" si="179">getText(I412)=getText(M412)</f>
        <v>1</v>
      </c>
      <c r="R412" s="6"/>
      <c r="S412" s="6"/>
    </row>
    <row r="413" spans="1:19" x14ac:dyDescent="0.15">
      <c r="B413" t="s">
        <v>332</v>
      </c>
      <c r="C413" s="6"/>
      <c r="D413" s="7" t="s">
        <v>304</v>
      </c>
      <c r="E413" s="9" t="s">
        <v>330</v>
      </c>
      <c r="F413" s="14" t="s">
        <v>330</v>
      </c>
      <c r="G413" s="7">
        <v>10</v>
      </c>
      <c r="H413" s="6"/>
      <c r="I413" s="1" t="str">
        <f t="shared" si="178"/>
        <v>0</v>
      </c>
      <c r="J413" s="6"/>
      <c r="K413" s="6"/>
      <c r="L413" s="6"/>
      <c r="M413" s="1" t="s">
        <v>14</v>
      </c>
      <c r="N413" s="6"/>
      <c r="O413" s="6"/>
      <c r="P413" s="6"/>
      <c r="Q413" s="1" t="b">
        <f t="shared" si="179"/>
        <v>1</v>
      </c>
      <c r="R413" s="6"/>
      <c r="S413" s="6"/>
    </row>
    <row r="414" spans="1:19" x14ac:dyDescent="0.15">
      <c r="B414" t="s">
        <v>333</v>
      </c>
      <c r="C414" s="6"/>
      <c r="D414" s="7" t="s">
        <v>305</v>
      </c>
      <c r="E414" s="9" t="s">
        <v>330</v>
      </c>
      <c r="F414" s="14" t="s">
        <v>330</v>
      </c>
      <c r="G414" s="7">
        <v>16</v>
      </c>
      <c r="H414" s="6"/>
      <c r="I414" s="1" t="str">
        <f t="shared" si="178"/>
        <v>0</v>
      </c>
      <c r="J414" s="6"/>
      <c r="K414" s="6"/>
      <c r="L414" s="6"/>
      <c r="M414" s="1" t="s">
        <v>14</v>
      </c>
      <c r="N414" s="6"/>
      <c r="O414" s="6"/>
      <c r="P414" s="6"/>
      <c r="Q414" s="1" t="b">
        <f t="shared" si="179"/>
        <v>1</v>
      </c>
      <c r="R414" s="6"/>
      <c r="S414" s="6"/>
    </row>
    <row r="415" spans="1:19" x14ac:dyDescent="0.15">
      <c r="C415" s="2" t="s">
        <v>331</v>
      </c>
      <c r="D415" s="24" t="s">
        <v>303</v>
      </c>
      <c r="E415" s="11" t="s">
        <v>334</v>
      </c>
      <c r="F415" s="13" t="s">
        <v>335</v>
      </c>
      <c r="G415" s="24">
        <v>3</v>
      </c>
      <c r="H415" s="2"/>
      <c r="I415" s="3" t="str">
        <f t="shared" ref="I415:I417" si="180">TESTmultipleByOneDigit(E415,F415,G415)</f>
        <v>0</v>
      </c>
      <c r="J415" s="2"/>
      <c r="K415" s="2"/>
      <c r="L415" s="2"/>
      <c r="M415" s="3" t="s">
        <v>14</v>
      </c>
      <c r="N415" s="2"/>
      <c r="O415" s="2"/>
      <c r="P415" s="2"/>
      <c r="Q415" s="3" t="b">
        <f t="shared" ref="Q415:Q417" si="181">getText(I415)=getText(M415)</f>
        <v>1</v>
      </c>
      <c r="R415" s="6"/>
      <c r="S415" s="6"/>
    </row>
    <row r="416" spans="1:19" x14ac:dyDescent="0.15">
      <c r="C416" s="6"/>
      <c r="D416" s="7" t="s">
        <v>304</v>
      </c>
      <c r="E416" s="9" t="s">
        <v>334</v>
      </c>
      <c r="F416" s="14" t="s">
        <v>336</v>
      </c>
      <c r="G416" s="7">
        <v>10</v>
      </c>
      <c r="H416" s="6"/>
      <c r="I416" s="1" t="str">
        <f t="shared" si="180"/>
        <v>0</v>
      </c>
      <c r="J416" s="6"/>
      <c r="K416" s="6"/>
      <c r="L416" s="6"/>
      <c r="M416" s="1" t="s">
        <v>14</v>
      </c>
      <c r="N416" s="6"/>
      <c r="O416" s="6"/>
      <c r="P416" s="6"/>
      <c r="Q416" s="1" t="b">
        <f t="shared" si="181"/>
        <v>1</v>
      </c>
      <c r="R416" s="6"/>
      <c r="S416" s="6"/>
    </row>
    <row r="417" spans="2:19" x14ac:dyDescent="0.15">
      <c r="C417" s="6"/>
      <c r="D417" s="7" t="s">
        <v>305</v>
      </c>
      <c r="E417" s="9" t="s">
        <v>334</v>
      </c>
      <c r="F417" s="14" t="s">
        <v>337</v>
      </c>
      <c r="G417" s="7">
        <v>16</v>
      </c>
      <c r="H417" s="6"/>
      <c r="I417" s="1" t="str">
        <f t="shared" si="180"/>
        <v>0</v>
      </c>
      <c r="J417" s="6"/>
      <c r="K417" s="6"/>
      <c r="L417" s="6"/>
      <c r="M417" s="1" t="s">
        <v>14</v>
      </c>
      <c r="N417" s="6"/>
      <c r="O417" s="6"/>
      <c r="P417" s="6"/>
      <c r="Q417" s="1" t="b">
        <f t="shared" si="181"/>
        <v>1</v>
      </c>
      <c r="R417" s="6"/>
      <c r="S417" s="6"/>
    </row>
    <row r="418" spans="2:19" x14ac:dyDescent="0.15">
      <c r="C418" s="2" t="s">
        <v>338</v>
      </c>
      <c r="D418" s="24" t="s">
        <v>303</v>
      </c>
      <c r="E418" s="11" t="s">
        <v>339</v>
      </c>
      <c r="F418" s="13" t="s">
        <v>329</v>
      </c>
      <c r="G418" s="24">
        <v>3</v>
      </c>
      <c r="H418" s="2"/>
      <c r="I418" s="3" t="str">
        <f t="shared" ref="I418:I421" si="182">TESTmultipleByOneDigit(E418,F418,G418)</f>
        <v>0</v>
      </c>
      <c r="J418" s="2"/>
      <c r="K418" s="2"/>
      <c r="L418" s="2"/>
      <c r="M418" s="3" t="s">
        <v>14</v>
      </c>
      <c r="N418" s="2"/>
      <c r="O418" s="2"/>
      <c r="P418" s="2"/>
      <c r="Q418" s="3" t="b">
        <f t="shared" ref="Q418:Q420" si="183">getText(I418)=getText(M418)</f>
        <v>1</v>
      </c>
      <c r="R418" s="6"/>
      <c r="S418" s="6"/>
    </row>
    <row r="419" spans="2:19" x14ac:dyDescent="0.15">
      <c r="C419" s="6"/>
      <c r="D419" s="7" t="s">
        <v>304</v>
      </c>
      <c r="E419" s="9" t="s">
        <v>340</v>
      </c>
      <c r="F419" s="14" t="s">
        <v>329</v>
      </c>
      <c r="G419" s="7">
        <v>10</v>
      </c>
      <c r="H419" s="6"/>
      <c r="I419" s="1" t="str">
        <f t="shared" si="182"/>
        <v>0</v>
      </c>
      <c r="J419" s="6"/>
      <c r="K419" s="6"/>
      <c r="L419" s="6"/>
      <c r="M419" s="1" t="s">
        <v>14</v>
      </c>
      <c r="N419" s="6"/>
      <c r="O419" s="6"/>
      <c r="P419" s="6"/>
      <c r="Q419" s="1" t="b">
        <f t="shared" si="183"/>
        <v>1</v>
      </c>
      <c r="R419" s="6"/>
      <c r="S419" s="6"/>
    </row>
    <row r="420" spans="2:19" x14ac:dyDescent="0.15">
      <c r="C420" s="6"/>
      <c r="D420" s="7" t="s">
        <v>305</v>
      </c>
      <c r="E420" s="9" t="s">
        <v>341</v>
      </c>
      <c r="F420" s="14" t="s">
        <v>334</v>
      </c>
      <c r="G420" s="7">
        <v>16</v>
      </c>
      <c r="H420" s="6"/>
      <c r="I420" s="1" t="str">
        <f t="shared" si="182"/>
        <v>0</v>
      </c>
      <c r="J420" s="6"/>
      <c r="K420" s="6"/>
      <c r="L420" s="6"/>
      <c r="M420" s="1" t="s">
        <v>14</v>
      </c>
      <c r="N420" s="6"/>
      <c r="O420" s="6"/>
      <c r="P420" s="6"/>
      <c r="Q420" s="1" t="b">
        <f t="shared" si="183"/>
        <v>1</v>
      </c>
      <c r="R420" s="6"/>
      <c r="S420" s="6"/>
    </row>
    <row r="421" spans="2:19" x14ac:dyDescent="0.15">
      <c r="C421" s="2" t="s">
        <v>342</v>
      </c>
      <c r="D421" s="33" t="s">
        <v>587</v>
      </c>
      <c r="E421" s="11" t="s">
        <v>381</v>
      </c>
      <c r="F421" s="13" t="s">
        <v>382</v>
      </c>
      <c r="G421" s="24">
        <v>3</v>
      </c>
      <c r="H421" s="2"/>
      <c r="I421" s="3" t="str">
        <f t="shared" si="182"/>
        <v>2</v>
      </c>
      <c r="J421" s="2"/>
      <c r="K421" s="2"/>
      <c r="L421" s="2"/>
      <c r="M421" s="3" t="s">
        <v>306</v>
      </c>
      <c r="N421" s="2"/>
      <c r="O421" s="2"/>
      <c r="P421" s="2"/>
      <c r="Q421" s="3" t="b">
        <f t="shared" ref="Q421:Q427" si="184">getText(I421)=getText(M421)</f>
        <v>1</v>
      </c>
      <c r="R421" s="6"/>
      <c r="S421" s="6"/>
    </row>
    <row r="422" spans="2:19" x14ac:dyDescent="0.15">
      <c r="C422" s="6"/>
      <c r="D422" s="7" t="s">
        <v>588</v>
      </c>
      <c r="E422" s="9" t="s">
        <v>306</v>
      </c>
      <c r="F422" s="14" t="s">
        <v>306</v>
      </c>
      <c r="G422" s="7">
        <v>3</v>
      </c>
      <c r="H422" s="6"/>
      <c r="I422" s="1" t="str">
        <f t="shared" ref="I422" si="185">TESTmultipleByOneDigit(E422,F422,G422)</f>
        <v>11</v>
      </c>
      <c r="J422" s="6"/>
      <c r="K422" s="6"/>
      <c r="L422" s="6"/>
      <c r="M422" s="1" t="s">
        <v>18</v>
      </c>
      <c r="N422" s="6"/>
      <c r="O422" s="6"/>
      <c r="P422" s="6"/>
      <c r="Q422" s="1" t="b">
        <f t="shared" si="184"/>
        <v>1</v>
      </c>
      <c r="R422" s="6"/>
      <c r="S422" s="6"/>
    </row>
    <row r="423" spans="2:19" x14ac:dyDescent="0.15">
      <c r="C423" s="6"/>
      <c r="D423" s="7" t="s">
        <v>589</v>
      </c>
      <c r="E423" s="9" t="s">
        <v>383</v>
      </c>
      <c r="F423" s="14" t="s">
        <v>383</v>
      </c>
      <c r="G423" s="7">
        <v>10</v>
      </c>
      <c r="H423" s="6"/>
      <c r="I423" s="1" t="str">
        <f t="shared" ref="I423" si="186">TESTmultipleByOneDigit(E423,F423,G423)</f>
        <v>9</v>
      </c>
      <c r="J423" s="6"/>
      <c r="K423" s="6"/>
      <c r="L423" s="6"/>
      <c r="M423" s="1" t="s">
        <v>100</v>
      </c>
      <c r="N423" s="6"/>
      <c r="O423" s="6"/>
      <c r="P423" s="6"/>
      <c r="Q423" s="1" t="b">
        <f t="shared" si="184"/>
        <v>1</v>
      </c>
      <c r="R423" s="6"/>
      <c r="S423" s="6"/>
    </row>
    <row r="424" spans="2:19" x14ac:dyDescent="0.15">
      <c r="C424" s="6"/>
      <c r="D424" s="7" t="s">
        <v>590</v>
      </c>
      <c r="E424" s="9" t="s">
        <v>345</v>
      </c>
      <c r="F424" s="14" t="s">
        <v>346</v>
      </c>
      <c r="G424" s="7">
        <v>10</v>
      </c>
      <c r="H424" s="6"/>
      <c r="I424" s="1" t="str">
        <f t="shared" ref="I424" si="187">TESTmultipleByOneDigit(E424,F424,G424)</f>
        <v>10</v>
      </c>
      <c r="J424" s="6"/>
      <c r="K424" s="6"/>
      <c r="L424" s="6"/>
      <c r="M424" s="1" t="s">
        <v>15</v>
      </c>
      <c r="N424" s="6"/>
      <c r="O424" s="6"/>
      <c r="P424" s="6"/>
      <c r="Q424" s="1" t="b">
        <f t="shared" si="184"/>
        <v>1</v>
      </c>
      <c r="R424" s="6"/>
      <c r="S424" s="6"/>
    </row>
    <row r="425" spans="2:19" x14ac:dyDescent="0.15">
      <c r="C425" s="6"/>
      <c r="D425" s="7" t="s">
        <v>591</v>
      </c>
      <c r="E425" s="9" t="s">
        <v>340</v>
      </c>
      <c r="F425" s="14" t="s">
        <v>100</v>
      </c>
      <c r="G425" s="7">
        <v>10</v>
      </c>
      <c r="H425" s="6"/>
      <c r="I425" s="1" t="str">
        <f t="shared" ref="I425" si="188">TESTmultipleByOneDigit(E425,F425,G425)</f>
        <v>81</v>
      </c>
      <c r="J425" s="6"/>
      <c r="K425" s="6"/>
      <c r="L425" s="6"/>
      <c r="M425" s="1" t="s">
        <v>344</v>
      </c>
      <c r="N425" s="6"/>
      <c r="O425" s="6"/>
      <c r="P425" s="6"/>
      <c r="Q425" s="1" t="b">
        <f t="shared" si="184"/>
        <v>1</v>
      </c>
      <c r="R425" s="6"/>
      <c r="S425" s="6"/>
    </row>
    <row r="426" spans="2:19" x14ac:dyDescent="0.15">
      <c r="C426" s="6"/>
      <c r="D426" s="7" t="s">
        <v>592</v>
      </c>
      <c r="E426" s="9" t="s">
        <v>384</v>
      </c>
      <c r="F426" s="14" t="s">
        <v>385</v>
      </c>
      <c r="G426" s="7">
        <v>16</v>
      </c>
      <c r="H426" s="6"/>
      <c r="I426" s="1" t="str">
        <f t="shared" ref="I426" si="189">TESTmultipleByOneDigit(E426,F426,G426)</f>
        <v>F</v>
      </c>
      <c r="J426" s="6"/>
      <c r="K426" s="6"/>
      <c r="L426" s="6"/>
      <c r="M426" s="1" t="s">
        <v>98</v>
      </c>
      <c r="N426" s="6"/>
      <c r="O426" s="6"/>
      <c r="P426" s="6"/>
      <c r="Q426" s="1" t="b">
        <f t="shared" si="184"/>
        <v>1</v>
      </c>
      <c r="R426" s="6"/>
      <c r="S426" s="6"/>
    </row>
    <row r="427" spans="2:19" x14ac:dyDescent="0.15">
      <c r="C427" s="6"/>
      <c r="D427" s="7" t="s">
        <v>593</v>
      </c>
      <c r="E427" s="9" t="s">
        <v>347</v>
      </c>
      <c r="F427" s="14" t="s">
        <v>309</v>
      </c>
      <c r="G427" s="7">
        <v>16</v>
      </c>
      <c r="H427" s="6"/>
      <c r="I427" s="1" t="str">
        <f t="shared" ref="I427" si="190">TESTmultipleByOneDigit(E427,F427,G427)</f>
        <v>10</v>
      </c>
      <c r="J427" s="6"/>
      <c r="K427" s="6"/>
      <c r="L427" s="6"/>
      <c r="M427" s="1" t="s">
        <v>15</v>
      </c>
      <c r="N427" s="6"/>
      <c r="O427" s="6"/>
      <c r="P427" s="6"/>
      <c r="Q427" s="1" t="b">
        <f t="shared" si="184"/>
        <v>1</v>
      </c>
      <c r="R427" s="6"/>
      <c r="S427" s="6"/>
    </row>
    <row r="428" spans="2:19" x14ac:dyDescent="0.15">
      <c r="C428" s="6"/>
      <c r="D428" s="7" t="s">
        <v>594</v>
      </c>
      <c r="E428" s="9" t="s">
        <v>341</v>
      </c>
      <c r="F428" s="14" t="s">
        <v>98</v>
      </c>
      <c r="G428" s="7">
        <v>16</v>
      </c>
      <c r="H428" s="6"/>
      <c r="I428" s="1" t="str">
        <f>TESTmultipleByOneDigit(E428,F428,G428)</f>
        <v>E1</v>
      </c>
      <c r="J428" s="6"/>
      <c r="K428" s="6"/>
      <c r="L428" s="6"/>
      <c r="M428" s="1" t="s">
        <v>343</v>
      </c>
      <c r="N428" s="6"/>
      <c r="O428" s="6"/>
      <c r="P428" s="6"/>
      <c r="Q428" s="1" t="b">
        <f t="shared" ref="Q428" si="191">getText(I428)=getText(M428)</f>
        <v>1</v>
      </c>
      <c r="R428" s="6"/>
      <c r="S428" s="6"/>
    </row>
    <row r="429" spans="2:19" x14ac:dyDescent="0.15">
      <c r="C429" s="2" t="s">
        <v>348</v>
      </c>
      <c r="D429" s="24" t="s">
        <v>303</v>
      </c>
      <c r="E429" s="11" t="s">
        <v>357</v>
      </c>
      <c r="F429" s="13" t="s">
        <v>356</v>
      </c>
      <c r="G429" s="24">
        <v>3</v>
      </c>
      <c r="H429" s="2"/>
      <c r="I429" s="3" t="str">
        <f>TESTmultipleByOneDigit(E429,F429,G429)</f>
        <v>00</v>
      </c>
      <c r="J429" s="2"/>
      <c r="K429" s="2"/>
      <c r="L429" s="2"/>
      <c r="M429" s="3" t="s">
        <v>97</v>
      </c>
      <c r="N429" s="2"/>
      <c r="O429" s="2"/>
      <c r="P429" s="2"/>
      <c r="Q429" s="3" t="b">
        <f t="shared" ref="Q429:Q431" si="192">getText(I429)=getText(M429)</f>
        <v>1</v>
      </c>
      <c r="R429" s="6"/>
      <c r="S429" s="6"/>
    </row>
    <row r="430" spans="2:19" x14ac:dyDescent="0.15">
      <c r="C430" s="6"/>
      <c r="D430" s="7" t="s">
        <v>304</v>
      </c>
      <c r="E430" s="9" t="s">
        <v>97</v>
      </c>
      <c r="F430" s="14" t="s">
        <v>14</v>
      </c>
      <c r="G430" s="7">
        <v>10</v>
      </c>
      <c r="H430" s="6"/>
      <c r="I430" s="1" t="str">
        <f t="shared" ref="I430:I431" si="193">TESTmultipleByOneDigit(E430,F430,G430)</f>
        <v>00</v>
      </c>
      <c r="J430" s="6"/>
      <c r="K430" s="6"/>
      <c r="L430" s="6"/>
      <c r="M430" s="1" t="s">
        <v>97</v>
      </c>
      <c r="N430" s="6"/>
      <c r="O430" s="6"/>
      <c r="P430" s="6"/>
      <c r="Q430" s="1" t="b">
        <f t="shared" si="192"/>
        <v>1</v>
      </c>
      <c r="R430" s="6"/>
      <c r="S430" s="6"/>
    </row>
    <row r="431" spans="2:19" x14ac:dyDescent="0.15">
      <c r="C431" s="6"/>
      <c r="D431" s="7" t="s">
        <v>305</v>
      </c>
      <c r="E431" s="9" t="s">
        <v>97</v>
      </c>
      <c r="F431" s="14" t="s">
        <v>14</v>
      </c>
      <c r="G431" s="7">
        <v>16</v>
      </c>
      <c r="H431" s="6"/>
      <c r="I431" s="1" t="str">
        <f t="shared" si="193"/>
        <v>00</v>
      </c>
      <c r="J431" s="6"/>
      <c r="K431" s="6"/>
      <c r="L431" s="6"/>
      <c r="M431" s="1" t="s">
        <v>97</v>
      </c>
      <c r="N431" s="6"/>
      <c r="O431" s="6"/>
      <c r="P431" s="6"/>
      <c r="Q431" s="1" t="b">
        <f t="shared" si="192"/>
        <v>1</v>
      </c>
      <c r="R431" s="6"/>
      <c r="S431" s="6"/>
    </row>
    <row r="432" spans="2:19" x14ac:dyDescent="0.15">
      <c r="B432" s="4" t="s">
        <v>371</v>
      </c>
      <c r="C432" s="2" t="s">
        <v>349</v>
      </c>
      <c r="D432" s="24" t="s">
        <v>303</v>
      </c>
      <c r="E432" s="11" t="s">
        <v>359</v>
      </c>
      <c r="F432" s="13" t="s">
        <v>360</v>
      </c>
      <c r="G432" s="24">
        <v>3</v>
      </c>
      <c r="H432" s="2"/>
      <c r="I432" s="3"/>
      <c r="J432" s="2"/>
      <c r="K432" s="2"/>
      <c r="L432" s="2"/>
      <c r="M432" s="3"/>
      <c r="N432" s="2"/>
      <c r="O432" s="2"/>
      <c r="P432" s="2"/>
      <c r="Q432" s="3"/>
      <c r="R432" s="6"/>
      <c r="S432" s="6"/>
    </row>
    <row r="433" spans="2:19" x14ac:dyDescent="0.15">
      <c r="C433" s="6"/>
      <c r="D433" s="7" t="s">
        <v>304</v>
      </c>
      <c r="E433" s="9" t="s">
        <v>358</v>
      </c>
      <c r="F433" s="14" t="s">
        <v>358</v>
      </c>
      <c r="G433" s="7">
        <v>10</v>
      </c>
      <c r="H433" s="6"/>
      <c r="J433" s="6"/>
      <c r="K433" s="6"/>
      <c r="L433" s="6"/>
      <c r="N433" s="6"/>
      <c r="O433" s="6"/>
      <c r="P433" s="6"/>
      <c r="R433" s="6"/>
      <c r="S433" s="6"/>
    </row>
    <row r="434" spans="2:19" x14ac:dyDescent="0.15">
      <c r="C434" s="6"/>
      <c r="D434" s="7" t="s">
        <v>305</v>
      </c>
      <c r="E434" s="9" t="s">
        <v>358</v>
      </c>
      <c r="F434" s="14" t="s">
        <v>358</v>
      </c>
      <c r="G434" s="7">
        <v>16</v>
      </c>
      <c r="H434" s="6"/>
      <c r="J434" s="6"/>
      <c r="K434" s="6"/>
      <c r="L434" s="6"/>
      <c r="N434" s="6"/>
      <c r="O434" s="6"/>
      <c r="P434" s="6"/>
      <c r="R434" s="6"/>
      <c r="S434" s="6"/>
    </row>
    <row r="435" spans="2:19" x14ac:dyDescent="0.15">
      <c r="C435" s="2" t="s">
        <v>350</v>
      </c>
      <c r="D435" s="24" t="s">
        <v>303</v>
      </c>
      <c r="E435" s="11" t="s">
        <v>357</v>
      </c>
      <c r="F435" s="13" t="s">
        <v>361</v>
      </c>
      <c r="G435" s="24">
        <v>3</v>
      </c>
      <c r="H435" s="2"/>
      <c r="I435" s="3" t="str">
        <f t="shared" ref="I435:I437" si="194">TESTmultipleByOneDigit(E435,F435,G435)</f>
        <v>00</v>
      </c>
      <c r="J435" s="2"/>
      <c r="K435" s="2"/>
      <c r="L435" s="2"/>
      <c r="M435" s="3" t="s">
        <v>97</v>
      </c>
      <c r="N435" s="2"/>
      <c r="O435" s="2"/>
      <c r="P435" s="2"/>
      <c r="Q435" s="3" t="b">
        <f t="shared" ref="Q435:Q437" si="195">getText(I435)=getText(M435)</f>
        <v>1</v>
      </c>
      <c r="R435" s="6"/>
      <c r="S435" s="6"/>
    </row>
    <row r="436" spans="2:19" x14ac:dyDescent="0.15">
      <c r="C436" s="6"/>
      <c r="D436" s="7" t="s">
        <v>304</v>
      </c>
      <c r="E436" s="9" t="s">
        <v>357</v>
      </c>
      <c r="F436" s="14" t="s">
        <v>362</v>
      </c>
      <c r="G436" s="7">
        <v>10</v>
      </c>
      <c r="H436" s="6"/>
      <c r="I436" s="1" t="str">
        <f t="shared" si="194"/>
        <v>00</v>
      </c>
      <c r="J436" s="6"/>
      <c r="K436" s="6"/>
      <c r="L436" s="6"/>
      <c r="M436" s="1" t="s">
        <v>97</v>
      </c>
      <c r="N436" s="6"/>
      <c r="O436" s="6"/>
      <c r="P436" s="6"/>
      <c r="Q436" s="1" t="b">
        <f t="shared" si="195"/>
        <v>1</v>
      </c>
      <c r="R436" s="6"/>
      <c r="S436" s="6"/>
    </row>
    <row r="437" spans="2:19" x14ac:dyDescent="0.15">
      <c r="C437" s="6"/>
      <c r="D437" s="7" t="s">
        <v>305</v>
      </c>
      <c r="E437" s="9" t="s">
        <v>357</v>
      </c>
      <c r="F437" s="14" t="s">
        <v>363</v>
      </c>
      <c r="G437" s="7">
        <v>16</v>
      </c>
      <c r="H437" s="6"/>
      <c r="I437" s="1" t="str">
        <f t="shared" si="194"/>
        <v>00</v>
      </c>
      <c r="J437" s="6"/>
      <c r="K437" s="6"/>
      <c r="L437" s="6"/>
      <c r="M437" s="1" t="s">
        <v>97</v>
      </c>
      <c r="N437" s="6"/>
      <c r="O437" s="6"/>
      <c r="P437" s="6"/>
      <c r="Q437" s="1" t="b">
        <f t="shared" si="195"/>
        <v>1</v>
      </c>
      <c r="R437" s="6"/>
      <c r="S437" s="6"/>
    </row>
    <row r="438" spans="2:19" x14ac:dyDescent="0.15">
      <c r="C438" s="2" t="s">
        <v>351</v>
      </c>
      <c r="D438" s="24" t="s">
        <v>303</v>
      </c>
      <c r="E438" s="11" t="s">
        <v>365</v>
      </c>
      <c r="F438" s="13" t="s">
        <v>361</v>
      </c>
      <c r="G438" s="24">
        <v>3</v>
      </c>
      <c r="H438" s="2"/>
      <c r="I438" s="3" t="str">
        <f t="shared" ref="I438:I440" si="196">TESTmultipleByOneDigit(E438,F438,G438)</f>
        <v>11</v>
      </c>
      <c r="J438" s="2"/>
      <c r="K438" s="2"/>
      <c r="L438" s="2"/>
      <c r="M438" s="3" t="s">
        <v>18</v>
      </c>
      <c r="N438" s="2"/>
      <c r="O438" s="2"/>
      <c r="P438" s="2"/>
      <c r="Q438" s="3" t="b">
        <f t="shared" ref="Q438:Q440" si="197">getText(I438)=getText(M438)</f>
        <v>1</v>
      </c>
      <c r="R438" s="6"/>
      <c r="S438" s="6"/>
    </row>
    <row r="439" spans="2:19" x14ac:dyDescent="0.15">
      <c r="C439" s="6"/>
      <c r="D439" s="7" t="s">
        <v>304</v>
      </c>
      <c r="E439" s="9" t="s">
        <v>366</v>
      </c>
      <c r="F439" s="14" t="s">
        <v>362</v>
      </c>
      <c r="G439" s="7">
        <v>10</v>
      </c>
      <c r="H439" s="6"/>
      <c r="I439" s="1" t="str">
        <f t="shared" si="196"/>
        <v>81</v>
      </c>
      <c r="J439" s="6"/>
      <c r="K439" s="6"/>
      <c r="L439" s="6"/>
      <c r="M439" s="1" t="s">
        <v>344</v>
      </c>
      <c r="N439" s="6"/>
      <c r="O439" s="6"/>
      <c r="P439" s="6"/>
      <c r="Q439" s="1" t="b">
        <f t="shared" si="197"/>
        <v>1</v>
      </c>
      <c r="R439" s="6"/>
      <c r="S439" s="6"/>
    </row>
    <row r="440" spans="2:19" x14ac:dyDescent="0.15">
      <c r="C440" s="6"/>
      <c r="D440" s="7" t="s">
        <v>305</v>
      </c>
      <c r="E440" s="9" t="s">
        <v>367</v>
      </c>
      <c r="F440" s="14" t="s">
        <v>363</v>
      </c>
      <c r="G440" s="7">
        <v>16</v>
      </c>
      <c r="H440" s="6"/>
      <c r="I440" s="1" t="str">
        <f t="shared" si="196"/>
        <v>E1</v>
      </c>
      <c r="J440" s="6"/>
      <c r="K440" s="6"/>
      <c r="L440" s="6"/>
      <c r="M440" s="1" t="s">
        <v>343</v>
      </c>
      <c r="N440" s="6"/>
      <c r="O440" s="6"/>
      <c r="P440" s="6"/>
      <c r="Q440" s="1" t="b">
        <f t="shared" si="197"/>
        <v>1</v>
      </c>
      <c r="R440" s="6"/>
      <c r="S440" s="6"/>
    </row>
    <row r="441" spans="2:19" x14ac:dyDescent="0.15">
      <c r="C441" s="2" t="s">
        <v>352</v>
      </c>
      <c r="D441" s="24" t="s">
        <v>303</v>
      </c>
      <c r="E441" s="11" t="s">
        <v>298</v>
      </c>
      <c r="F441" s="13" t="s">
        <v>364</v>
      </c>
      <c r="G441" s="24">
        <v>3</v>
      </c>
      <c r="H441" s="2"/>
      <c r="I441" s="3" t="str">
        <f t="shared" ref="I441:I443" si="198">TESTmultipleByOneDigit(E441,F441,G441)</f>
        <v>00</v>
      </c>
      <c r="J441" s="2"/>
      <c r="K441" s="2"/>
      <c r="L441" s="2"/>
      <c r="M441" s="3" t="s">
        <v>97</v>
      </c>
      <c r="N441" s="2"/>
      <c r="O441" s="2"/>
      <c r="P441" s="2"/>
      <c r="Q441" s="3" t="b">
        <f t="shared" ref="Q441:Q443" si="199">getText(I441)=getText(M441)</f>
        <v>1</v>
      </c>
      <c r="R441" s="6"/>
      <c r="S441" s="6"/>
    </row>
    <row r="442" spans="2:19" x14ac:dyDescent="0.15">
      <c r="C442" s="6"/>
      <c r="D442" s="7" t="s">
        <v>304</v>
      </c>
      <c r="E442" s="9" t="s">
        <v>298</v>
      </c>
      <c r="F442" s="14" t="s">
        <v>368</v>
      </c>
      <c r="G442" s="7">
        <v>10</v>
      </c>
      <c r="H442" s="6"/>
      <c r="I442" s="1" t="str">
        <f t="shared" si="198"/>
        <v>00</v>
      </c>
      <c r="J442" s="6"/>
      <c r="K442" s="6"/>
      <c r="L442" s="6"/>
      <c r="M442" s="1" t="s">
        <v>97</v>
      </c>
      <c r="N442" s="6"/>
      <c r="O442" s="6"/>
      <c r="P442" s="6"/>
      <c r="Q442" s="1" t="b">
        <f t="shared" si="199"/>
        <v>1</v>
      </c>
      <c r="R442" s="6"/>
      <c r="S442" s="6"/>
    </row>
    <row r="443" spans="2:19" x14ac:dyDescent="0.15">
      <c r="C443" s="6"/>
      <c r="D443" s="7" t="s">
        <v>305</v>
      </c>
      <c r="E443" s="9" t="s">
        <v>298</v>
      </c>
      <c r="F443" s="14" t="s">
        <v>364</v>
      </c>
      <c r="G443" s="7">
        <v>16</v>
      </c>
      <c r="H443" s="6"/>
      <c r="I443" s="1" t="str">
        <f t="shared" si="198"/>
        <v>00</v>
      </c>
      <c r="J443" s="6"/>
      <c r="K443" s="6"/>
      <c r="L443" s="6"/>
      <c r="M443" s="1" t="s">
        <v>97</v>
      </c>
      <c r="N443" s="6"/>
      <c r="O443" s="6"/>
      <c r="P443" s="6"/>
      <c r="Q443" s="1" t="b">
        <f t="shared" si="199"/>
        <v>1</v>
      </c>
      <c r="R443" s="6"/>
      <c r="S443" s="6"/>
    </row>
    <row r="444" spans="2:19" x14ac:dyDescent="0.15">
      <c r="B444" s="4" t="s">
        <v>371</v>
      </c>
      <c r="C444" s="2" t="s">
        <v>353</v>
      </c>
      <c r="D444" s="24" t="s">
        <v>303</v>
      </c>
      <c r="E444" s="11" t="s">
        <v>369</v>
      </c>
      <c r="F444" s="13" t="s">
        <v>370</v>
      </c>
      <c r="G444" s="24">
        <v>3</v>
      </c>
      <c r="H444" s="2"/>
      <c r="I444" s="3"/>
      <c r="J444" s="2"/>
      <c r="K444" s="2"/>
      <c r="L444" s="2"/>
      <c r="M444" s="3"/>
      <c r="N444" s="2"/>
      <c r="O444" s="2"/>
      <c r="P444" s="2"/>
      <c r="Q444" s="3"/>
      <c r="R444" s="6"/>
      <c r="S444" s="6"/>
    </row>
    <row r="445" spans="2:19" x14ac:dyDescent="0.15">
      <c r="C445" s="6"/>
      <c r="D445" s="7" t="s">
        <v>304</v>
      </c>
      <c r="E445" s="9" t="s">
        <v>358</v>
      </c>
      <c r="F445" s="14" t="s">
        <v>358</v>
      </c>
      <c r="G445" s="7">
        <v>10</v>
      </c>
      <c r="H445" s="6"/>
      <c r="J445" s="6"/>
      <c r="K445" s="6"/>
      <c r="L445" s="6"/>
      <c r="N445" s="6"/>
      <c r="O445" s="6"/>
      <c r="P445" s="6"/>
      <c r="R445" s="6"/>
      <c r="S445" s="6"/>
    </row>
    <row r="446" spans="2:19" x14ac:dyDescent="0.15">
      <c r="C446" s="6"/>
      <c r="D446" s="7" t="s">
        <v>305</v>
      </c>
      <c r="E446" s="9" t="s">
        <v>358</v>
      </c>
      <c r="F446" s="14" t="s">
        <v>358</v>
      </c>
      <c r="G446" s="7">
        <v>16</v>
      </c>
      <c r="H446" s="6"/>
      <c r="J446" s="6"/>
      <c r="K446" s="6"/>
      <c r="L446" s="6"/>
      <c r="N446" s="6"/>
      <c r="O446" s="6"/>
      <c r="P446" s="6"/>
      <c r="R446" s="6"/>
      <c r="S446" s="6"/>
    </row>
    <row r="447" spans="2:19" x14ac:dyDescent="0.15">
      <c r="C447" s="2" t="s">
        <v>354</v>
      </c>
      <c r="D447" s="24" t="s">
        <v>303</v>
      </c>
      <c r="E447" s="11" t="s">
        <v>372</v>
      </c>
      <c r="F447" s="13" t="s">
        <v>361</v>
      </c>
      <c r="G447" s="24">
        <v>3</v>
      </c>
      <c r="H447" s="2"/>
      <c r="I447" s="3" t="str">
        <f t="shared" ref="I447:I449" si="200">TESTmultipleByOneDigit(E447,F447,G447)</f>
        <v>110</v>
      </c>
      <c r="J447" s="2"/>
      <c r="K447" s="2"/>
      <c r="L447" s="2"/>
      <c r="M447" s="3" t="s">
        <v>290</v>
      </c>
      <c r="N447" s="2"/>
      <c r="O447" s="2"/>
      <c r="P447" s="2"/>
      <c r="Q447" s="3" t="b">
        <f t="shared" ref="Q447:Q449" si="201">getText(I447)=getText(M447)</f>
        <v>1</v>
      </c>
      <c r="R447" s="6"/>
      <c r="S447" s="6"/>
    </row>
    <row r="448" spans="2:19" x14ac:dyDescent="0.15">
      <c r="C448" s="6"/>
      <c r="D448" s="7" t="s">
        <v>304</v>
      </c>
      <c r="E448" s="9" t="s">
        <v>373</v>
      </c>
      <c r="F448" s="14" t="s">
        <v>362</v>
      </c>
      <c r="G448" s="7">
        <v>10</v>
      </c>
      <c r="H448" s="6"/>
      <c r="I448" s="1" t="str">
        <f t="shared" si="200"/>
        <v>810</v>
      </c>
      <c r="J448" s="6"/>
      <c r="K448" s="6"/>
      <c r="L448" s="6"/>
      <c r="M448" s="1" t="s">
        <v>375</v>
      </c>
      <c r="N448" s="6"/>
      <c r="O448" s="6"/>
      <c r="P448" s="6"/>
      <c r="Q448" s="1" t="b">
        <f t="shared" si="201"/>
        <v>1</v>
      </c>
      <c r="R448" s="6"/>
      <c r="S448" s="6"/>
    </row>
    <row r="449" spans="1:19" x14ac:dyDescent="0.15">
      <c r="C449" s="6"/>
      <c r="D449" s="7" t="s">
        <v>305</v>
      </c>
      <c r="E449" s="9" t="s">
        <v>374</v>
      </c>
      <c r="F449" s="14" t="s">
        <v>363</v>
      </c>
      <c r="G449" s="7">
        <v>16</v>
      </c>
      <c r="H449" s="6"/>
      <c r="I449" s="1" t="str">
        <f t="shared" si="200"/>
        <v>E10</v>
      </c>
      <c r="J449" s="6"/>
      <c r="K449" s="6"/>
      <c r="L449" s="6"/>
      <c r="M449" s="1" t="s">
        <v>376</v>
      </c>
      <c r="N449" s="6"/>
      <c r="O449" s="6"/>
      <c r="P449" s="6"/>
      <c r="Q449" s="1" t="b">
        <f t="shared" si="201"/>
        <v>1</v>
      </c>
      <c r="R449" s="6"/>
      <c r="S449" s="6"/>
    </row>
    <row r="450" spans="1:19" x14ac:dyDescent="0.15">
      <c r="C450" s="2" t="s">
        <v>355</v>
      </c>
      <c r="D450" s="24" t="s">
        <v>303</v>
      </c>
      <c r="E450" s="11" t="s">
        <v>308</v>
      </c>
      <c r="F450" s="13" t="s">
        <v>306</v>
      </c>
      <c r="G450" s="24">
        <v>3</v>
      </c>
      <c r="H450" s="2"/>
      <c r="I450" s="3" t="str">
        <f t="shared" ref="I450:I452" si="202">TESTmultipleByOneDigit(E450,F450,G450)</f>
        <v>121</v>
      </c>
      <c r="J450" s="2"/>
      <c r="K450" s="2"/>
      <c r="L450" s="2"/>
      <c r="M450" s="3" t="s">
        <v>318</v>
      </c>
      <c r="N450" s="2"/>
      <c r="O450" s="2"/>
      <c r="P450" s="2"/>
      <c r="Q450" s="3" t="b">
        <f t="shared" ref="Q450:Q452" si="203">getText(I450)=getText(M450)</f>
        <v>1</v>
      </c>
      <c r="R450" s="6"/>
      <c r="S450" s="6"/>
    </row>
    <row r="451" spans="1:19" x14ac:dyDescent="0.15">
      <c r="C451" s="6"/>
      <c r="D451" s="7" t="s">
        <v>304</v>
      </c>
      <c r="E451" s="9" t="s">
        <v>377</v>
      </c>
      <c r="F451" s="14" t="s">
        <v>100</v>
      </c>
      <c r="G451" s="7">
        <v>10</v>
      </c>
      <c r="H451" s="6"/>
      <c r="I451" s="1" t="str">
        <f t="shared" si="202"/>
        <v>891</v>
      </c>
      <c r="J451" s="6"/>
      <c r="K451" s="6"/>
      <c r="L451" s="6"/>
      <c r="M451" s="1" t="s">
        <v>379</v>
      </c>
      <c r="N451" s="6"/>
      <c r="O451" s="6"/>
      <c r="P451" s="6"/>
      <c r="Q451" s="1" t="b">
        <f t="shared" si="203"/>
        <v>1</v>
      </c>
      <c r="R451" s="6"/>
      <c r="S451" s="6"/>
    </row>
    <row r="452" spans="1:19" x14ac:dyDescent="0.15">
      <c r="C452" s="6"/>
      <c r="D452" s="7" t="s">
        <v>305</v>
      </c>
      <c r="E452" s="9" t="s">
        <v>378</v>
      </c>
      <c r="F452" s="14" t="s">
        <v>98</v>
      </c>
      <c r="G452" s="7">
        <v>16</v>
      </c>
      <c r="H452" s="6"/>
      <c r="I452" s="1" t="str">
        <f t="shared" si="202"/>
        <v>EF1</v>
      </c>
      <c r="J452" s="6"/>
      <c r="K452" s="6"/>
      <c r="L452" s="6"/>
      <c r="M452" s="1" t="s">
        <v>380</v>
      </c>
      <c r="N452" s="6"/>
      <c r="O452" s="6"/>
      <c r="P452" s="6"/>
      <c r="Q452" s="1" t="b">
        <f t="shared" si="203"/>
        <v>1</v>
      </c>
      <c r="R452" s="35"/>
      <c r="S452" s="35"/>
    </row>
    <row r="453" spans="1:19" s="2" customFormat="1" x14ac:dyDescent="0.15">
      <c r="A453" s="2" t="s">
        <v>59</v>
      </c>
      <c r="B453" s="2" t="s">
        <v>36</v>
      </c>
      <c r="C453" s="2" t="s">
        <v>38</v>
      </c>
      <c r="D453" s="2" t="s">
        <v>46</v>
      </c>
      <c r="E453" s="3">
        <v>1</v>
      </c>
      <c r="F453" s="13" t="s">
        <v>40</v>
      </c>
      <c r="G453" s="2">
        <v>2</v>
      </c>
      <c r="H453" s="2">
        <v>0</v>
      </c>
      <c r="I453" s="3" t="str">
        <f t="shared" ref="I453:I461" si="204">TESTdivide(E453,F453,G453,H453)</f>
        <v>0</v>
      </c>
      <c r="J453" s="2" t="str">
        <f t="shared" ref="J453:J461" si="205">TESTdivideByRef1(E453,F453,G453,H453)</f>
        <v>1</v>
      </c>
      <c r="K453" s="2">
        <f t="shared" ref="K453:K461" si="206">TESTdivideByRef2(E453,F453,G453,H453)</f>
        <v>0</v>
      </c>
      <c r="M453" s="3" t="s">
        <v>14</v>
      </c>
      <c r="N453" s="2" t="s">
        <v>44</v>
      </c>
      <c r="O453" s="2">
        <v>0</v>
      </c>
      <c r="Q453" s="3" t="b">
        <f t="shared" ref="Q453" si="207">getText(I453)=getText(M453)</f>
        <v>1</v>
      </c>
      <c r="R453" s="2" t="b">
        <f t="shared" ref="R453" si="208">getText(J453)=getText(N453)</f>
        <v>1</v>
      </c>
      <c r="S453" s="2" t="b">
        <f t="shared" ref="S453" si="209">getText(K453)=getText(O453)</f>
        <v>1</v>
      </c>
    </row>
    <row r="454" spans="1:19" x14ac:dyDescent="0.15">
      <c r="C454" t="s">
        <v>51</v>
      </c>
      <c r="D454" t="s">
        <v>47</v>
      </c>
      <c r="E454" s="1">
        <v>1</v>
      </c>
      <c r="F454" s="17">
        <v>2147483647</v>
      </c>
      <c r="G454">
        <v>10</v>
      </c>
      <c r="H454">
        <v>0</v>
      </c>
      <c r="I454" s="1" t="str">
        <f t="shared" si="204"/>
        <v>0</v>
      </c>
      <c r="J454" t="str">
        <f t="shared" si="205"/>
        <v>1</v>
      </c>
      <c r="K454">
        <f t="shared" si="206"/>
        <v>0</v>
      </c>
      <c r="M454" s="1" t="s">
        <v>14</v>
      </c>
      <c r="N454" t="s">
        <v>44</v>
      </c>
      <c r="O454">
        <v>0</v>
      </c>
      <c r="Q454" s="1" t="b">
        <f t="shared" ref="Q454:Q458" si="210">getText(I454)=getText(M454)</f>
        <v>1</v>
      </c>
      <c r="R454" t="b">
        <f t="shared" ref="R454:R458" si="211">getText(J454)=getText(N454)</f>
        <v>1</v>
      </c>
      <c r="S454" t="b">
        <f t="shared" ref="S454:S458" si="212">getText(K454)=getText(O454)</f>
        <v>1</v>
      </c>
    </row>
    <row r="455" spans="1:19" x14ac:dyDescent="0.15">
      <c r="D455" t="s">
        <v>49</v>
      </c>
      <c r="E455" s="1">
        <v>1</v>
      </c>
      <c r="F455" s="17" t="s">
        <v>50</v>
      </c>
      <c r="G455">
        <v>16</v>
      </c>
      <c r="H455">
        <v>0</v>
      </c>
      <c r="I455" s="1" t="str">
        <f t="shared" si="204"/>
        <v>0</v>
      </c>
      <c r="J455" t="str">
        <f t="shared" si="205"/>
        <v>1</v>
      </c>
      <c r="K455">
        <f t="shared" si="206"/>
        <v>0</v>
      </c>
      <c r="M455" s="1" t="s">
        <v>14</v>
      </c>
      <c r="N455" t="s">
        <v>44</v>
      </c>
      <c r="O455">
        <v>0</v>
      </c>
      <c r="Q455" s="1" t="b">
        <f t="shared" si="210"/>
        <v>1</v>
      </c>
      <c r="R455" t="b">
        <f t="shared" si="211"/>
        <v>1</v>
      </c>
      <c r="S455" t="b">
        <f t="shared" si="212"/>
        <v>1</v>
      </c>
    </row>
    <row r="456" spans="1:19" x14ac:dyDescent="0.15">
      <c r="C456" s="2" t="s">
        <v>39</v>
      </c>
      <c r="D456" s="2" t="s">
        <v>46</v>
      </c>
      <c r="E456" s="3">
        <v>1</v>
      </c>
      <c r="F456" s="13" t="s">
        <v>41</v>
      </c>
      <c r="G456" s="2">
        <v>2</v>
      </c>
      <c r="H456" s="2">
        <v>0</v>
      </c>
      <c r="I456" s="3" t="str">
        <f t="shared" si="204"/>
        <v/>
      </c>
      <c r="J456" s="2" t="str">
        <f t="shared" si="205"/>
        <v/>
      </c>
      <c r="K456" s="2" t="e">
        <f t="shared" si="206"/>
        <v>#NUM!</v>
      </c>
      <c r="L456" s="2"/>
      <c r="M456" s="3" t="s">
        <v>45</v>
      </c>
      <c r="N456" s="2" t="s">
        <v>45</v>
      </c>
      <c r="O456" s="2" t="e">
        <v>#NUM!</v>
      </c>
      <c r="P456" s="2"/>
      <c r="Q456" s="3" t="b">
        <f t="shared" si="210"/>
        <v>1</v>
      </c>
      <c r="R456" s="2" t="b">
        <f t="shared" si="211"/>
        <v>1</v>
      </c>
      <c r="S456" s="2" t="b">
        <f t="shared" si="212"/>
        <v>1</v>
      </c>
    </row>
    <row r="457" spans="1:19" x14ac:dyDescent="0.15">
      <c r="C457" t="s">
        <v>52</v>
      </c>
      <c r="D457" t="s">
        <v>47</v>
      </c>
      <c r="E457" s="1">
        <v>1</v>
      </c>
      <c r="F457">
        <v>2147483648</v>
      </c>
      <c r="G457">
        <v>10</v>
      </c>
      <c r="H457">
        <v>0</v>
      </c>
      <c r="I457" s="1" t="str">
        <f t="shared" si="204"/>
        <v/>
      </c>
      <c r="J457" t="str">
        <f t="shared" si="205"/>
        <v/>
      </c>
      <c r="K457" t="e">
        <f t="shared" si="206"/>
        <v>#NUM!</v>
      </c>
      <c r="M457" s="1" t="s">
        <v>45</v>
      </c>
      <c r="N457" t="s">
        <v>45</v>
      </c>
      <c r="O457" t="e">
        <v>#NUM!</v>
      </c>
      <c r="Q457" s="1" t="b">
        <f t="shared" si="210"/>
        <v>1</v>
      </c>
      <c r="R457" t="b">
        <f t="shared" si="211"/>
        <v>1</v>
      </c>
      <c r="S457" t="b">
        <f t="shared" si="212"/>
        <v>1</v>
      </c>
    </row>
    <row r="458" spans="1:19" x14ac:dyDescent="0.15">
      <c r="D458" t="s">
        <v>49</v>
      </c>
      <c r="E458" s="1">
        <v>1</v>
      </c>
      <c r="F458">
        <v>80000000</v>
      </c>
      <c r="G458">
        <v>16</v>
      </c>
      <c r="H458">
        <v>0</v>
      </c>
      <c r="I458" s="1" t="str">
        <f t="shared" si="204"/>
        <v/>
      </c>
      <c r="J458" t="str">
        <f t="shared" si="205"/>
        <v/>
      </c>
      <c r="K458" t="e">
        <f t="shared" si="206"/>
        <v>#NUM!</v>
      </c>
      <c r="M458" s="1" t="s">
        <v>45</v>
      </c>
      <c r="N458" t="s">
        <v>45</v>
      </c>
      <c r="O458" t="e">
        <v>#NUM!</v>
      </c>
      <c r="Q458" s="1" t="b">
        <f t="shared" si="210"/>
        <v>1</v>
      </c>
      <c r="R458" t="b">
        <f t="shared" si="211"/>
        <v>1</v>
      </c>
      <c r="S458" t="b">
        <f t="shared" si="212"/>
        <v>1</v>
      </c>
    </row>
    <row r="459" spans="1:19" x14ac:dyDescent="0.15">
      <c r="B459" s="2" t="s">
        <v>42</v>
      </c>
      <c r="C459" s="2"/>
      <c r="D459" s="2" t="s">
        <v>46</v>
      </c>
      <c r="E459" s="3">
        <v>1</v>
      </c>
      <c r="F459" s="2">
        <v>0</v>
      </c>
      <c r="G459" s="2">
        <v>2</v>
      </c>
      <c r="H459" s="2">
        <v>0</v>
      </c>
      <c r="I459" s="3" t="str">
        <f t="shared" si="204"/>
        <v/>
      </c>
      <c r="J459" s="2" t="str">
        <f t="shared" si="205"/>
        <v/>
      </c>
      <c r="K459" s="2" t="e">
        <f t="shared" si="206"/>
        <v>#DIV/0!</v>
      </c>
      <c r="L459" s="2"/>
      <c r="M459" s="3" t="s">
        <v>45</v>
      </c>
      <c r="N459" s="2" t="s">
        <v>45</v>
      </c>
      <c r="O459" s="2" t="e">
        <v>#DIV/0!</v>
      </c>
      <c r="P459" s="2"/>
      <c r="Q459" s="3" t="b">
        <f t="shared" ref="Q459:Q461" si="213">getText(I459)=getText(M459)</f>
        <v>1</v>
      </c>
      <c r="R459" s="2" t="b">
        <f t="shared" ref="R459:R461" si="214">getText(J459)=getText(N459)</f>
        <v>1</v>
      </c>
      <c r="S459" s="2" t="b">
        <f t="shared" ref="S459:S461" si="215">getText(K459)=getText(O459)</f>
        <v>1</v>
      </c>
    </row>
    <row r="460" spans="1:19" x14ac:dyDescent="0.15">
      <c r="B460" s="6"/>
      <c r="C460" s="6"/>
      <c r="D460" s="6" t="s">
        <v>47</v>
      </c>
      <c r="E460" s="1">
        <v>1</v>
      </c>
      <c r="F460" s="6">
        <v>0</v>
      </c>
      <c r="G460" s="6">
        <v>10</v>
      </c>
      <c r="H460" s="6">
        <v>0</v>
      </c>
      <c r="I460" s="1" t="str">
        <f t="shared" si="204"/>
        <v/>
      </c>
      <c r="J460" s="6" t="str">
        <f t="shared" si="205"/>
        <v/>
      </c>
      <c r="K460" s="6" t="e">
        <f t="shared" si="206"/>
        <v>#DIV/0!</v>
      </c>
      <c r="L460" s="6"/>
      <c r="M460" s="1" t="s">
        <v>45</v>
      </c>
      <c r="N460" s="6" t="s">
        <v>45</v>
      </c>
      <c r="O460" s="6" t="e">
        <v>#DIV/0!</v>
      </c>
      <c r="P460" s="6"/>
      <c r="Q460" s="1" t="b">
        <f t="shared" si="213"/>
        <v>1</v>
      </c>
      <c r="R460" s="6" t="b">
        <f t="shared" si="214"/>
        <v>1</v>
      </c>
      <c r="S460" s="6" t="b">
        <f t="shared" si="215"/>
        <v>1</v>
      </c>
    </row>
    <row r="461" spans="1:19" x14ac:dyDescent="0.15">
      <c r="B461" s="6"/>
      <c r="C461" s="6"/>
      <c r="D461" s="6" t="s">
        <v>49</v>
      </c>
      <c r="E461" s="1">
        <v>1</v>
      </c>
      <c r="F461" s="6">
        <v>0</v>
      </c>
      <c r="G461" s="6">
        <v>16</v>
      </c>
      <c r="H461" s="6">
        <v>0</v>
      </c>
      <c r="I461" s="1" t="str">
        <f t="shared" si="204"/>
        <v/>
      </c>
      <c r="J461" s="6" t="str">
        <f t="shared" si="205"/>
        <v/>
      </c>
      <c r="K461" s="6" t="e">
        <f t="shared" si="206"/>
        <v>#DIV/0!</v>
      </c>
      <c r="L461" s="6"/>
      <c r="M461" s="1" t="s">
        <v>45</v>
      </c>
      <c r="N461" s="6" t="s">
        <v>45</v>
      </c>
      <c r="O461" s="6" t="e">
        <v>#DIV/0!</v>
      </c>
      <c r="P461" s="6"/>
      <c r="Q461" s="1" t="b">
        <f t="shared" si="213"/>
        <v>1</v>
      </c>
      <c r="R461" s="6" t="b">
        <f t="shared" si="214"/>
        <v>1</v>
      </c>
      <c r="S461" s="6" t="b">
        <f t="shared" si="215"/>
        <v>1</v>
      </c>
    </row>
    <row r="462" spans="1:19" x14ac:dyDescent="0.15">
      <c r="B462" s="2" t="s">
        <v>43</v>
      </c>
      <c r="C462" s="2"/>
      <c r="D462" s="16" t="s">
        <v>46</v>
      </c>
      <c r="E462" s="11" t="s">
        <v>64</v>
      </c>
      <c r="F462" s="2">
        <v>1</v>
      </c>
      <c r="G462" s="2">
        <v>2</v>
      </c>
      <c r="H462" s="2">
        <v>0</v>
      </c>
      <c r="I462" s="3" t="str">
        <f t="shared" ref="I462:I464" si="216">TESTdivide(E462,F462,G462,H462)</f>
        <v>001000000000000000000000000000000000</v>
      </c>
      <c r="J462" s="2" t="str">
        <f t="shared" ref="J462:J464" si="217">TESTdivideByRef1(E462,F462,G462,H462)</f>
        <v/>
      </c>
      <c r="K462" s="2">
        <f t="shared" ref="K462:K464" si="218">TESTdivideByRef2(E462,F462,G462,H462)</f>
        <v>0</v>
      </c>
      <c r="L462" s="2"/>
      <c r="M462" s="20" t="s">
        <v>63</v>
      </c>
      <c r="N462" s="2"/>
      <c r="O462" s="2">
        <v>0</v>
      </c>
      <c r="P462" s="2"/>
      <c r="Q462" s="3" t="b">
        <f t="shared" ref="Q462:Q464" si="219">getText(I462)=getText(M462)</f>
        <v>1</v>
      </c>
      <c r="R462" s="2" t="b">
        <f t="shared" ref="R462:R464" si="220">getText(J462)=getText(N462)</f>
        <v>1</v>
      </c>
      <c r="S462" s="2" t="b">
        <f t="shared" ref="S462:S464" si="221">getText(K462)=getText(O462)</f>
        <v>1</v>
      </c>
    </row>
    <row r="463" spans="1:19" x14ac:dyDescent="0.15">
      <c r="D463" s="15" t="s">
        <v>47</v>
      </c>
      <c r="E463" s="9" t="s">
        <v>66</v>
      </c>
      <c r="F463">
        <v>1</v>
      </c>
      <c r="G463">
        <v>10</v>
      </c>
      <c r="H463">
        <v>0</v>
      </c>
      <c r="I463" s="1" t="str">
        <f t="shared" si="216"/>
        <v>00214748364800</v>
      </c>
      <c r="J463" t="str">
        <f t="shared" si="217"/>
        <v/>
      </c>
      <c r="K463">
        <f t="shared" si="218"/>
        <v>0</v>
      </c>
      <c r="M463" s="21" t="s">
        <v>65</v>
      </c>
      <c r="O463">
        <v>0</v>
      </c>
      <c r="Q463" s="1" t="b">
        <f t="shared" si="219"/>
        <v>1</v>
      </c>
      <c r="R463" t="b">
        <f t="shared" si="220"/>
        <v>1</v>
      </c>
      <c r="S463" t="b">
        <f t="shared" si="221"/>
        <v>1</v>
      </c>
    </row>
    <row r="464" spans="1:19" x14ac:dyDescent="0.15">
      <c r="D464" s="15" t="s">
        <v>49</v>
      </c>
      <c r="E464" s="9" t="s">
        <v>68</v>
      </c>
      <c r="F464">
        <v>1</v>
      </c>
      <c r="G464">
        <v>16</v>
      </c>
      <c r="H464">
        <v>0</v>
      </c>
      <c r="I464" s="1" t="str">
        <f t="shared" si="216"/>
        <v>008000000000</v>
      </c>
      <c r="J464" t="str">
        <f t="shared" si="217"/>
        <v/>
      </c>
      <c r="K464">
        <f t="shared" si="218"/>
        <v>0</v>
      </c>
      <c r="M464" s="21" t="s">
        <v>67</v>
      </c>
      <c r="O464">
        <v>0</v>
      </c>
      <c r="Q464" s="1" t="b">
        <f t="shared" si="219"/>
        <v>1</v>
      </c>
      <c r="R464" t="b">
        <f t="shared" si="220"/>
        <v>1</v>
      </c>
      <c r="S464" t="b">
        <f t="shared" si="221"/>
        <v>1</v>
      </c>
    </row>
    <row r="465" spans="1:19" x14ac:dyDescent="0.15">
      <c r="B465" s="2" t="s">
        <v>37</v>
      </c>
      <c r="C465" s="2" t="s">
        <v>38</v>
      </c>
      <c r="D465" s="2" t="s">
        <v>46</v>
      </c>
      <c r="E465" s="11" t="s">
        <v>102</v>
      </c>
      <c r="F465" s="13" t="s">
        <v>102</v>
      </c>
      <c r="G465" s="2">
        <v>2</v>
      </c>
      <c r="H465" s="2">
        <v>0</v>
      </c>
      <c r="I465" s="3" t="str">
        <f t="shared" ref="I465" si="222">TESTdivide(E465,F465,G465,H465)</f>
        <v>0000000000000000000000000000001</v>
      </c>
      <c r="J465" s="2" t="str">
        <f t="shared" ref="J465" si="223">TESTdivideByRef1(E465,F465,G465,H465)</f>
        <v>0</v>
      </c>
      <c r="K465" s="2">
        <f t="shared" ref="K465" si="224">TESTdivideByRef2(E465,F465,G465,H465)</f>
        <v>0</v>
      </c>
      <c r="L465" s="2"/>
      <c r="M465" s="3" t="s">
        <v>107</v>
      </c>
      <c r="N465" s="2" t="s">
        <v>14</v>
      </c>
      <c r="O465" s="2">
        <v>0</v>
      </c>
      <c r="P465" s="2"/>
      <c r="Q465" s="3" t="b">
        <f t="shared" ref="Q465:Q467" si="225">getText(I465)=getText(M465)</f>
        <v>1</v>
      </c>
      <c r="R465" s="2" t="b">
        <f t="shared" ref="R465:R467" si="226">getText(J465)=getText(N465)</f>
        <v>1</v>
      </c>
      <c r="S465" s="2" t="b">
        <f t="shared" ref="S465:S467" si="227">getText(K465)=getText(O465)</f>
        <v>1</v>
      </c>
    </row>
    <row r="466" spans="1:19" x14ac:dyDescent="0.15">
      <c r="C466" t="s">
        <v>51</v>
      </c>
      <c r="D466" t="s">
        <v>47</v>
      </c>
      <c r="E466" s="9" t="s">
        <v>103</v>
      </c>
      <c r="F466" s="14" t="s">
        <v>103</v>
      </c>
      <c r="G466">
        <v>10</v>
      </c>
      <c r="H466" s="7">
        <v>0</v>
      </c>
      <c r="I466" s="1" t="str">
        <f t="shared" ref="I466:I467" si="228">TESTdivide(E466,F466,G466,H466)</f>
        <v>0000000001</v>
      </c>
      <c r="J466" t="str">
        <f t="shared" ref="J466:J467" si="229">TESTdivideByRef1(E466,F466,G466,H466)</f>
        <v>0</v>
      </c>
      <c r="K466">
        <f t="shared" ref="K466:K467" si="230">TESTdivideByRef2(E466,F466,G466,H466)</f>
        <v>0</v>
      </c>
      <c r="M466" s="1" t="s">
        <v>108</v>
      </c>
      <c r="N466" t="s">
        <v>14</v>
      </c>
      <c r="O466">
        <v>0</v>
      </c>
      <c r="Q466" s="1" t="b">
        <f t="shared" si="225"/>
        <v>1</v>
      </c>
      <c r="R466" t="b">
        <f t="shared" si="226"/>
        <v>1</v>
      </c>
      <c r="S466" t="b">
        <f t="shared" si="227"/>
        <v>1</v>
      </c>
    </row>
    <row r="467" spans="1:19" x14ac:dyDescent="0.15">
      <c r="D467" t="s">
        <v>49</v>
      </c>
      <c r="E467" s="18" t="s">
        <v>50</v>
      </c>
      <c r="F467" s="19" t="s">
        <v>50</v>
      </c>
      <c r="G467">
        <v>16</v>
      </c>
      <c r="H467" s="7">
        <v>0</v>
      </c>
      <c r="I467" s="1" t="str">
        <f t="shared" si="228"/>
        <v>00000001</v>
      </c>
      <c r="J467" t="str">
        <f t="shared" si="229"/>
        <v>0</v>
      </c>
      <c r="K467">
        <f t="shared" si="230"/>
        <v>0</v>
      </c>
      <c r="M467" s="1" t="s">
        <v>109</v>
      </c>
      <c r="N467" t="s">
        <v>14</v>
      </c>
      <c r="O467">
        <v>0</v>
      </c>
      <c r="Q467" s="1" t="b">
        <f t="shared" si="225"/>
        <v>1</v>
      </c>
      <c r="R467" t="b">
        <f t="shared" si="226"/>
        <v>1</v>
      </c>
      <c r="S467" t="b">
        <f t="shared" si="227"/>
        <v>1</v>
      </c>
    </row>
    <row r="468" spans="1:19" x14ac:dyDescent="0.15">
      <c r="C468" s="2" t="s">
        <v>39</v>
      </c>
      <c r="D468" s="2" t="s">
        <v>46</v>
      </c>
      <c r="E468" s="11" t="s">
        <v>104</v>
      </c>
      <c r="F468" s="13" t="s">
        <v>102</v>
      </c>
      <c r="G468" s="2">
        <v>2</v>
      </c>
      <c r="H468" s="2">
        <v>0</v>
      </c>
      <c r="I468" s="3" t="str">
        <f t="shared" ref="I468:I473" si="231">TESTdivide(E468,F468,G468,H468)</f>
        <v/>
      </c>
      <c r="J468" s="2" t="str">
        <f t="shared" ref="J468:J473" si="232">TESTdivideByRef1(E468,F468,G468,H468)</f>
        <v/>
      </c>
      <c r="K468" s="2" t="e">
        <f t="shared" ref="K468:K473" si="233">TESTdivideByRef2(E468,F468,G468,H468)</f>
        <v>#NUM!</v>
      </c>
      <c r="L468" s="2"/>
      <c r="M468" s="3" t="s">
        <v>45</v>
      </c>
      <c r="N468" s="2" t="s">
        <v>45</v>
      </c>
      <c r="O468" s="2" t="e">
        <v>#NUM!</v>
      </c>
      <c r="P468" s="2"/>
      <c r="Q468" s="3" t="b">
        <f t="shared" ref="Q468:Q473" si="234">getText(I468)=getText(M468)</f>
        <v>1</v>
      </c>
      <c r="R468" s="2" t="b">
        <f t="shared" ref="R468:R473" si="235">getText(J468)=getText(N468)</f>
        <v>1</v>
      </c>
      <c r="S468" s="2" t="b">
        <f t="shared" ref="S468:S473" si="236">getText(K468)=getText(O468)</f>
        <v>1</v>
      </c>
    </row>
    <row r="469" spans="1:19" x14ac:dyDescent="0.15">
      <c r="C469" t="s">
        <v>52</v>
      </c>
      <c r="D469" t="s">
        <v>47</v>
      </c>
      <c r="E469" s="9" t="s">
        <v>105</v>
      </c>
      <c r="F469" s="14" t="s">
        <v>103</v>
      </c>
      <c r="G469">
        <v>10</v>
      </c>
      <c r="H469" s="7">
        <v>0</v>
      </c>
      <c r="I469" s="1" t="str">
        <f t="shared" si="231"/>
        <v/>
      </c>
      <c r="J469" t="str">
        <f t="shared" si="232"/>
        <v/>
      </c>
      <c r="K469" t="e">
        <f t="shared" si="233"/>
        <v>#NUM!</v>
      </c>
      <c r="M469" s="1" t="s">
        <v>45</v>
      </c>
      <c r="N469" t="s">
        <v>45</v>
      </c>
      <c r="O469" t="e">
        <v>#NUM!</v>
      </c>
      <c r="Q469" s="1" t="b">
        <f t="shared" si="234"/>
        <v>1</v>
      </c>
      <c r="R469" t="b">
        <f t="shared" si="235"/>
        <v>1</v>
      </c>
      <c r="S469" t="b">
        <f t="shared" si="236"/>
        <v>1</v>
      </c>
    </row>
    <row r="470" spans="1:19" x14ac:dyDescent="0.15">
      <c r="D470" t="s">
        <v>49</v>
      </c>
      <c r="E470" s="9" t="s">
        <v>106</v>
      </c>
      <c r="F470" s="14" t="s">
        <v>50</v>
      </c>
      <c r="G470">
        <v>16</v>
      </c>
      <c r="H470" s="7">
        <v>0</v>
      </c>
      <c r="I470" s="1" t="str">
        <f t="shared" si="231"/>
        <v/>
      </c>
      <c r="J470" t="str">
        <f t="shared" si="232"/>
        <v/>
      </c>
      <c r="K470" t="e">
        <f t="shared" si="233"/>
        <v>#NUM!</v>
      </c>
      <c r="M470" s="1" t="s">
        <v>45</v>
      </c>
      <c r="N470" t="s">
        <v>45</v>
      </c>
      <c r="O470" t="e">
        <v>#NUM!</v>
      </c>
      <c r="Q470" s="1" t="b">
        <f t="shared" si="234"/>
        <v>1</v>
      </c>
      <c r="R470" t="b">
        <f t="shared" si="235"/>
        <v>1</v>
      </c>
      <c r="S470" t="b">
        <f t="shared" si="236"/>
        <v>1</v>
      </c>
    </row>
    <row r="471" spans="1:19" x14ac:dyDescent="0.15">
      <c r="B471" s="2" t="s">
        <v>101</v>
      </c>
      <c r="C471" s="2"/>
      <c r="D471" s="2" t="s">
        <v>46</v>
      </c>
      <c r="E471" s="11" t="s">
        <v>69</v>
      </c>
      <c r="F471" s="13" t="s">
        <v>60</v>
      </c>
      <c r="G471" s="2">
        <v>2</v>
      </c>
      <c r="H471" s="2">
        <v>0</v>
      </c>
      <c r="I471" s="3" t="str">
        <f t="shared" si="231"/>
        <v>00000000000000000000000000000000100</v>
      </c>
      <c r="J471" s="2" t="str">
        <f t="shared" si="232"/>
        <v>0</v>
      </c>
      <c r="K471" s="2">
        <f t="shared" si="233"/>
        <v>0</v>
      </c>
      <c r="L471" s="2"/>
      <c r="M471" s="3" t="s">
        <v>72</v>
      </c>
      <c r="N471" s="2" t="s">
        <v>14</v>
      </c>
      <c r="O471" s="2">
        <v>0</v>
      </c>
      <c r="P471" s="2"/>
      <c r="Q471" s="3" t="b">
        <f t="shared" si="234"/>
        <v>1</v>
      </c>
      <c r="R471" s="2" t="b">
        <f t="shared" si="235"/>
        <v>1</v>
      </c>
      <c r="S471" s="2" t="b">
        <f t="shared" si="236"/>
        <v>1</v>
      </c>
    </row>
    <row r="472" spans="1:19" x14ac:dyDescent="0.15">
      <c r="D472" t="s">
        <v>47</v>
      </c>
      <c r="E472" s="9" t="s">
        <v>70</v>
      </c>
      <c r="F472" s="14" t="s">
        <v>61</v>
      </c>
      <c r="G472">
        <v>10</v>
      </c>
      <c r="H472" s="7">
        <v>0</v>
      </c>
      <c r="I472" s="1" t="str">
        <f t="shared" si="231"/>
        <v>00000000000100</v>
      </c>
      <c r="J472" t="str">
        <f t="shared" si="232"/>
        <v>0</v>
      </c>
      <c r="K472">
        <f t="shared" si="233"/>
        <v>0</v>
      </c>
      <c r="M472" s="1" t="s">
        <v>73</v>
      </c>
      <c r="N472" t="s">
        <v>14</v>
      </c>
      <c r="O472">
        <v>0</v>
      </c>
      <c r="Q472" s="1" t="b">
        <f t="shared" si="234"/>
        <v>1</v>
      </c>
      <c r="R472" t="b">
        <f t="shared" si="235"/>
        <v>1</v>
      </c>
      <c r="S472" t="b">
        <f t="shared" si="236"/>
        <v>1</v>
      </c>
    </row>
    <row r="473" spans="1:19" x14ac:dyDescent="0.15">
      <c r="D473" t="s">
        <v>49</v>
      </c>
      <c r="E473" s="18" t="s">
        <v>71</v>
      </c>
      <c r="F473" s="19" t="s">
        <v>62</v>
      </c>
      <c r="G473">
        <v>16</v>
      </c>
      <c r="H473" s="7">
        <v>0</v>
      </c>
      <c r="I473" s="1" t="str">
        <f t="shared" si="231"/>
        <v>000000000100</v>
      </c>
      <c r="J473" t="str">
        <f t="shared" si="232"/>
        <v>0</v>
      </c>
      <c r="K473">
        <f t="shared" si="233"/>
        <v>0</v>
      </c>
      <c r="M473" s="1" t="s">
        <v>74</v>
      </c>
      <c r="N473" t="s">
        <v>14</v>
      </c>
      <c r="O473">
        <v>0</v>
      </c>
      <c r="Q473" s="1" t="b">
        <f t="shared" si="234"/>
        <v>1</v>
      </c>
      <c r="R473" t="b">
        <f t="shared" si="235"/>
        <v>1</v>
      </c>
      <c r="S473" t="b">
        <f t="shared" si="236"/>
        <v>1</v>
      </c>
    </row>
    <row r="474" spans="1:19" x14ac:dyDescent="0.15">
      <c r="B474" s="22" t="s">
        <v>83</v>
      </c>
      <c r="C474" s="2" t="s">
        <v>86</v>
      </c>
      <c r="D474" s="2" t="s">
        <v>46</v>
      </c>
      <c r="E474" s="11" t="s">
        <v>110</v>
      </c>
      <c r="F474" s="13" t="s">
        <v>113</v>
      </c>
      <c r="G474" s="2">
        <v>2</v>
      </c>
      <c r="H474" s="2">
        <v>0</v>
      </c>
      <c r="I474" s="3" t="str">
        <f t="shared" ref="I474:I476" si="237">TESTdivide(E474,F474,G474,H474)</f>
        <v>0</v>
      </c>
      <c r="J474" s="2" t="str">
        <f t="shared" ref="J474:J476" si="238">TESTdivideByRef1(E474,F474,G474,H474)</f>
        <v>1</v>
      </c>
      <c r="K474" s="2">
        <f t="shared" ref="K474:K476" si="239">TESTdivideByRef2(E474,F474,G474,H474)</f>
        <v>0</v>
      </c>
      <c r="L474" s="2"/>
      <c r="M474" s="10">
        <v>0</v>
      </c>
      <c r="N474" s="2" t="s">
        <v>44</v>
      </c>
      <c r="O474" s="2">
        <v>0</v>
      </c>
      <c r="P474" s="2"/>
      <c r="Q474" s="3" t="b">
        <f t="shared" ref="Q474:Q476" si="240">getText(I474)=getText(M474)</f>
        <v>1</v>
      </c>
      <c r="R474" s="2" t="b">
        <f t="shared" ref="R474:R476" si="241">getText(J474)=getText(N474)</f>
        <v>1</v>
      </c>
      <c r="S474" s="2" t="b">
        <f t="shared" ref="S474:S476" si="242">getText(K474)=getText(O474)</f>
        <v>1</v>
      </c>
    </row>
    <row r="475" spans="1:19" x14ac:dyDescent="0.15">
      <c r="B475" s="23"/>
      <c r="D475" t="s">
        <v>47</v>
      </c>
      <c r="E475" s="9" t="s">
        <v>111</v>
      </c>
      <c r="F475" s="14" t="s">
        <v>15</v>
      </c>
      <c r="G475">
        <v>10</v>
      </c>
      <c r="H475" s="7">
        <v>0</v>
      </c>
      <c r="I475" s="1" t="str">
        <f t="shared" si="237"/>
        <v>0</v>
      </c>
      <c r="J475" t="str">
        <f t="shared" si="238"/>
        <v>1</v>
      </c>
      <c r="K475">
        <f t="shared" si="239"/>
        <v>0</v>
      </c>
      <c r="M475" s="12">
        <v>0</v>
      </c>
      <c r="N475" t="s">
        <v>44</v>
      </c>
      <c r="O475">
        <v>0</v>
      </c>
      <c r="Q475" s="1" t="b">
        <f t="shared" si="240"/>
        <v>1</v>
      </c>
      <c r="R475" t="b">
        <f t="shared" si="241"/>
        <v>1</v>
      </c>
      <c r="S475" t="b">
        <f t="shared" si="242"/>
        <v>1</v>
      </c>
    </row>
    <row r="476" spans="1:19" x14ac:dyDescent="0.15">
      <c r="D476" t="s">
        <v>49</v>
      </c>
      <c r="E476" s="9" t="s">
        <v>111</v>
      </c>
      <c r="F476" s="14" t="s">
        <v>15</v>
      </c>
      <c r="G476">
        <v>16</v>
      </c>
      <c r="H476" s="7">
        <v>0</v>
      </c>
      <c r="I476" s="1" t="str">
        <f t="shared" si="237"/>
        <v>0</v>
      </c>
      <c r="J476" t="str">
        <f t="shared" si="238"/>
        <v>1</v>
      </c>
      <c r="K476">
        <f t="shared" si="239"/>
        <v>0</v>
      </c>
      <c r="M476" s="12">
        <v>0</v>
      </c>
      <c r="N476" t="s">
        <v>44</v>
      </c>
      <c r="O476">
        <v>0</v>
      </c>
      <c r="Q476" s="1" t="b">
        <f t="shared" si="240"/>
        <v>1</v>
      </c>
      <c r="R476" t="b">
        <f t="shared" si="241"/>
        <v>1</v>
      </c>
      <c r="S476" t="b">
        <f t="shared" si="242"/>
        <v>1</v>
      </c>
    </row>
    <row r="477" spans="1:19" x14ac:dyDescent="0.15">
      <c r="C477" s="2" t="s">
        <v>96</v>
      </c>
      <c r="D477" s="2" t="s">
        <v>47</v>
      </c>
      <c r="E477" s="11" t="s">
        <v>112</v>
      </c>
      <c r="F477" s="13" t="s">
        <v>15</v>
      </c>
      <c r="G477" s="2">
        <v>10</v>
      </c>
      <c r="H477" s="24">
        <v>0</v>
      </c>
      <c r="I477" s="3" t="str">
        <f t="shared" ref="I477:I478" si="243">TESTdivide(E477,F477,G477,H477)</f>
        <v>0</v>
      </c>
      <c r="J477" s="2" t="str">
        <f t="shared" ref="J477:J478" si="244">TESTdivideByRef1(E477,F477,G477,H477)</f>
        <v>9</v>
      </c>
      <c r="K477" s="2">
        <f t="shared" ref="K477:K478" si="245">TESTdivideByRef2(E477,F477,G477,H477)</f>
        <v>0</v>
      </c>
      <c r="L477" s="2"/>
      <c r="M477" s="10">
        <v>0</v>
      </c>
      <c r="N477" s="2" t="s">
        <v>100</v>
      </c>
      <c r="O477" s="2">
        <v>0</v>
      </c>
      <c r="P477" s="2"/>
      <c r="Q477" s="3" t="b">
        <f t="shared" ref="Q477:Q478" si="246">getText(I477)=getText(M477)</f>
        <v>1</v>
      </c>
      <c r="R477" s="2" t="b">
        <f t="shared" ref="R477:R478" si="247">getText(J477)=getText(N477)</f>
        <v>1</v>
      </c>
      <c r="S477" s="2" t="b">
        <f t="shared" ref="S477:S478" si="248">getText(K477)=getText(O477)</f>
        <v>1</v>
      </c>
    </row>
    <row r="478" spans="1:19" x14ac:dyDescent="0.15">
      <c r="D478" t="s">
        <v>49</v>
      </c>
      <c r="E478" s="9" t="s">
        <v>99</v>
      </c>
      <c r="F478" s="14" t="s">
        <v>15</v>
      </c>
      <c r="G478">
        <v>16</v>
      </c>
      <c r="H478" s="7">
        <v>0</v>
      </c>
      <c r="I478" s="1" t="str">
        <f t="shared" si="243"/>
        <v>0</v>
      </c>
      <c r="J478" t="str">
        <f t="shared" si="244"/>
        <v>F</v>
      </c>
      <c r="K478">
        <f t="shared" si="245"/>
        <v>0</v>
      </c>
      <c r="M478" s="12" t="s">
        <v>14</v>
      </c>
      <c r="N478" t="s">
        <v>98</v>
      </c>
      <c r="O478">
        <v>0</v>
      </c>
      <c r="Q478" s="1" t="b">
        <f t="shared" si="246"/>
        <v>1</v>
      </c>
      <c r="R478" t="b">
        <f t="shared" si="247"/>
        <v>1</v>
      </c>
      <c r="S478" t="b">
        <f t="shared" si="248"/>
        <v>1</v>
      </c>
    </row>
    <row r="479" spans="1:19" x14ac:dyDescent="0.15">
      <c r="A479" s="23"/>
      <c r="B479" s="22" t="s">
        <v>84</v>
      </c>
      <c r="C479" s="2" t="s">
        <v>85</v>
      </c>
      <c r="D479" s="2" t="s">
        <v>46</v>
      </c>
      <c r="E479" s="11" t="s">
        <v>113</v>
      </c>
      <c r="F479" s="13" t="s">
        <v>15</v>
      </c>
      <c r="G479" s="2">
        <v>2</v>
      </c>
      <c r="H479" s="2">
        <v>0</v>
      </c>
      <c r="I479" s="3" t="str">
        <f t="shared" ref="I479:I481" si="249">TESTdivide(E479,F479,G479,H479)</f>
        <v>01</v>
      </c>
      <c r="J479" s="2" t="str">
        <f t="shared" ref="J479:J481" si="250">TESTdivideByRef1(E479,F479,G479,H479)</f>
        <v>0</v>
      </c>
      <c r="K479" s="2">
        <f t="shared" ref="K479:K481" si="251">TESTdivideByRef2(E479,F479,G479,H479)</f>
        <v>0</v>
      </c>
      <c r="L479" s="2"/>
      <c r="M479" s="10" t="s">
        <v>118</v>
      </c>
      <c r="N479" s="2" t="s">
        <v>14</v>
      </c>
      <c r="O479" s="2">
        <v>0</v>
      </c>
      <c r="P479" s="2"/>
      <c r="Q479" s="3" t="b">
        <f t="shared" ref="Q479:Q481" si="252">getText(I479)=getText(M479)</f>
        <v>1</v>
      </c>
      <c r="R479" s="2" t="b">
        <f t="shared" ref="R479:R481" si="253">getText(J479)=getText(N479)</f>
        <v>1</v>
      </c>
      <c r="S479" s="2" t="b">
        <f t="shared" ref="S479:S481" si="254">getText(K479)=getText(O479)</f>
        <v>1</v>
      </c>
    </row>
    <row r="480" spans="1:19" x14ac:dyDescent="0.15">
      <c r="B480" s="23"/>
      <c r="D480" t="s">
        <v>47</v>
      </c>
      <c r="E480" s="9" t="s">
        <v>113</v>
      </c>
      <c r="F480" s="14" t="s">
        <v>15</v>
      </c>
      <c r="G480">
        <v>10</v>
      </c>
      <c r="H480" s="7">
        <v>0</v>
      </c>
      <c r="I480" s="1" t="str">
        <f t="shared" si="249"/>
        <v>01</v>
      </c>
      <c r="J480" t="str">
        <f t="shared" si="250"/>
        <v>0</v>
      </c>
      <c r="K480">
        <f t="shared" si="251"/>
        <v>0</v>
      </c>
      <c r="M480" s="12" t="s">
        <v>118</v>
      </c>
      <c r="N480" t="s">
        <v>14</v>
      </c>
      <c r="O480">
        <v>0</v>
      </c>
      <c r="Q480" s="1" t="b">
        <f t="shared" si="252"/>
        <v>1</v>
      </c>
      <c r="R480" t="b">
        <f t="shared" si="253"/>
        <v>1</v>
      </c>
      <c r="S480" t="b">
        <f t="shared" si="254"/>
        <v>1</v>
      </c>
    </row>
    <row r="481" spans="1:19" x14ac:dyDescent="0.15">
      <c r="B481" s="23"/>
      <c r="D481" t="s">
        <v>49</v>
      </c>
      <c r="E481" s="9" t="s">
        <v>113</v>
      </c>
      <c r="F481" s="14" t="s">
        <v>15</v>
      </c>
      <c r="G481">
        <v>16</v>
      </c>
      <c r="H481" s="7">
        <v>0</v>
      </c>
      <c r="I481" s="1" t="str">
        <f t="shared" si="249"/>
        <v>01</v>
      </c>
      <c r="J481" t="str">
        <f t="shared" si="250"/>
        <v>0</v>
      </c>
      <c r="K481">
        <f t="shared" si="251"/>
        <v>0</v>
      </c>
      <c r="M481" s="12" t="s">
        <v>118</v>
      </c>
      <c r="N481" t="s">
        <v>14</v>
      </c>
      <c r="O481">
        <v>0</v>
      </c>
      <c r="Q481" s="1" t="b">
        <f t="shared" si="252"/>
        <v>1</v>
      </c>
      <c r="R481" t="b">
        <f t="shared" si="253"/>
        <v>1</v>
      </c>
      <c r="S481" t="b">
        <f t="shared" si="254"/>
        <v>1</v>
      </c>
    </row>
    <row r="482" spans="1:19" x14ac:dyDescent="0.15">
      <c r="B482" s="23"/>
      <c r="C482" s="2" t="s">
        <v>86</v>
      </c>
      <c r="D482" s="2" t="s">
        <v>46</v>
      </c>
      <c r="E482" s="11" t="s">
        <v>114</v>
      </c>
      <c r="F482" s="13" t="s">
        <v>15</v>
      </c>
      <c r="G482" s="2">
        <v>2</v>
      </c>
      <c r="H482" s="2">
        <v>0</v>
      </c>
      <c r="I482" s="3" t="str">
        <f t="shared" ref="I482:I484" si="255">TESTdivide(E482,F482,G482,H482)</f>
        <v>01</v>
      </c>
      <c r="J482" s="2" t="str">
        <f t="shared" ref="J482:J484" si="256">TESTdivideByRef1(E482,F482,G482,H482)</f>
        <v>1</v>
      </c>
      <c r="K482" s="2">
        <f t="shared" ref="K482:K484" si="257">TESTdivideByRef2(E482,F482,G482,H482)</f>
        <v>0</v>
      </c>
      <c r="L482" s="2"/>
      <c r="M482" s="10" t="s">
        <v>119</v>
      </c>
      <c r="N482" s="2" t="s">
        <v>44</v>
      </c>
      <c r="O482" s="2">
        <v>0</v>
      </c>
      <c r="P482" s="2"/>
      <c r="Q482" s="3" t="b">
        <f t="shared" ref="Q482:Q484" si="258">getText(I482)=getText(M482)</f>
        <v>1</v>
      </c>
      <c r="R482" s="2" t="b">
        <f t="shared" ref="R482:R484" si="259">getText(J482)=getText(N482)</f>
        <v>1</v>
      </c>
      <c r="S482" s="2" t="b">
        <f t="shared" ref="S482:S484" si="260">getText(K482)=getText(O482)</f>
        <v>1</v>
      </c>
    </row>
    <row r="483" spans="1:19" x14ac:dyDescent="0.15">
      <c r="B483" s="23"/>
      <c r="D483" t="s">
        <v>47</v>
      </c>
      <c r="E483" s="9" t="s">
        <v>114</v>
      </c>
      <c r="F483" s="14" t="s">
        <v>15</v>
      </c>
      <c r="G483">
        <v>10</v>
      </c>
      <c r="H483" s="7">
        <v>0</v>
      </c>
      <c r="I483" s="1" t="str">
        <f t="shared" si="255"/>
        <v>01</v>
      </c>
      <c r="J483" t="str">
        <f t="shared" si="256"/>
        <v>1</v>
      </c>
      <c r="K483">
        <f t="shared" si="257"/>
        <v>0</v>
      </c>
      <c r="M483" s="12" t="s">
        <v>119</v>
      </c>
      <c r="N483" t="s">
        <v>44</v>
      </c>
      <c r="O483">
        <v>0</v>
      </c>
      <c r="Q483" s="1" t="b">
        <f t="shared" si="258"/>
        <v>1</v>
      </c>
      <c r="R483" t="b">
        <f t="shared" si="259"/>
        <v>1</v>
      </c>
      <c r="S483" t="b">
        <f t="shared" si="260"/>
        <v>1</v>
      </c>
    </row>
    <row r="484" spans="1:19" x14ac:dyDescent="0.15">
      <c r="D484" t="s">
        <v>49</v>
      </c>
      <c r="E484" s="9" t="s">
        <v>114</v>
      </c>
      <c r="F484" s="14" t="s">
        <v>15</v>
      </c>
      <c r="G484">
        <v>16</v>
      </c>
      <c r="H484" s="7">
        <v>0</v>
      </c>
      <c r="I484" s="1" t="str">
        <f t="shared" si="255"/>
        <v>01</v>
      </c>
      <c r="J484" t="str">
        <f t="shared" si="256"/>
        <v>1</v>
      </c>
      <c r="K484">
        <f t="shared" si="257"/>
        <v>0</v>
      </c>
      <c r="M484" s="12" t="s">
        <v>119</v>
      </c>
      <c r="N484" t="s">
        <v>44</v>
      </c>
      <c r="O484">
        <v>0</v>
      </c>
      <c r="Q484" s="1" t="b">
        <f t="shared" si="258"/>
        <v>1</v>
      </c>
      <c r="R484" t="b">
        <f t="shared" si="259"/>
        <v>1</v>
      </c>
      <c r="S484" t="b">
        <f t="shared" si="260"/>
        <v>1</v>
      </c>
    </row>
    <row r="485" spans="1:19" x14ac:dyDescent="0.15">
      <c r="C485" s="2" t="s">
        <v>96</v>
      </c>
      <c r="D485" s="2" t="s">
        <v>47</v>
      </c>
      <c r="E485" s="11" t="s">
        <v>116</v>
      </c>
      <c r="F485" s="13" t="s">
        <v>15</v>
      </c>
      <c r="G485" s="2">
        <v>10</v>
      </c>
      <c r="H485" s="24">
        <v>0</v>
      </c>
      <c r="I485" s="3" t="str">
        <f t="shared" ref="I485:I486" si="261">TESTdivide(E485,F485,G485,H485)</f>
        <v>01</v>
      </c>
      <c r="J485" s="2" t="str">
        <f t="shared" ref="J485:J486" si="262">TESTdivideByRef1(E485,F485,G485,H485)</f>
        <v>9</v>
      </c>
      <c r="K485" s="2">
        <f t="shared" ref="K485:K486" si="263">TESTdivideByRef2(E485,F485,G485,H485)</f>
        <v>0</v>
      </c>
      <c r="L485" s="2"/>
      <c r="M485" s="10" t="s">
        <v>119</v>
      </c>
      <c r="N485" s="2" t="s">
        <v>100</v>
      </c>
      <c r="O485" s="2">
        <v>0</v>
      </c>
      <c r="P485" s="2"/>
      <c r="Q485" s="3" t="b">
        <f t="shared" ref="Q485:Q486" si="264">getText(I485)=getText(M485)</f>
        <v>1</v>
      </c>
      <c r="R485" s="2" t="b">
        <f t="shared" ref="R485:R486" si="265">getText(J485)=getText(N485)</f>
        <v>1</v>
      </c>
      <c r="S485" s="2" t="b">
        <f t="shared" ref="S485:S486" si="266">getText(K485)=getText(O485)</f>
        <v>1</v>
      </c>
    </row>
    <row r="486" spans="1:19" x14ac:dyDescent="0.15">
      <c r="D486" t="s">
        <v>49</v>
      </c>
      <c r="E486" s="9" t="s">
        <v>117</v>
      </c>
      <c r="F486" s="14" t="s">
        <v>15</v>
      </c>
      <c r="G486">
        <v>16</v>
      </c>
      <c r="H486" s="7">
        <v>0</v>
      </c>
      <c r="I486" s="1" t="str">
        <f t="shared" si="261"/>
        <v>01</v>
      </c>
      <c r="J486" t="str">
        <f t="shared" si="262"/>
        <v>F</v>
      </c>
      <c r="K486">
        <f t="shared" si="263"/>
        <v>0</v>
      </c>
      <c r="M486" s="12" t="s">
        <v>119</v>
      </c>
      <c r="N486" t="s">
        <v>98</v>
      </c>
      <c r="O486">
        <v>0</v>
      </c>
      <c r="Q486" s="1" t="b">
        <f t="shared" si="264"/>
        <v>1</v>
      </c>
      <c r="R486" t="b">
        <f t="shared" si="265"/>
        <v>1</v>
      </c>
      <c r="S486" t="b">
        <f t="shared" si="266"/>
        <v>1</v>
      </c>
    </row>
    <row r="487" spans="1:19" x14ac:dyDescent="0.15">
      <c r="B487" s="22" t="s">
        <v>87</v>
      </c>
      <c r="C487" s="2" t="s">
        <v>85</v>
      </c>
      <c r="D487" s="2" t="s">
        <v>46</v>
      </c>
      <c r="E487" s="11" t="s">
        <v>113</v>
      </c>
      <c r="F487" s="13" t="s">
        <v>15</v>
      </c>
      <c r="G487" s="2">
        <v>2</v>
      </c>
      <c r="H487" s="2">
        <v>0</v>
      </c>
      <c r="I487" s="3" t="str">
        <f t="shared" ref="I487:I489" si="267">TESTdivide(E487,F487,G487,H487)</f>
        <v>01</v>
      </c>
      <c r="J487" s="2" t="str">
        <f t="shared" ref="J487:J489" si="268">TESTdivideByRef1(E487,F487,G487,H487)</f>
        <v>0</v>
      </c>
      <c r="K487" s="2">
        <f t="shared" ref="K487:K489" si="269">TESTdivideByRef2(E487,F487,G487,H487)</f>
        <v>0</v>
      </c>
      <c r="L487" s="2"/>
      <c r="M487" s="20" t="s">
        <v>118</v>
      </c>
      <c r="N487" s="25" t="s">
        <v>120</v>
      </c>
      <c r="O487" s="2">
        <v>0</v>
      </c>
      <c r="P487" s="2"/>
      <c r="Q487" s="3" t="b">
        <f t="shared" ref="Q487:Q488" si="270">getText(I487)=getText(M487)</f>
        <v>1</v>
      </c>
      <c r="R487" s="2" t="b">
        <f t="shared" ref="R487:R488" si="271">getText(J487)=getText(N487)</f>
        <v>1</v>
      </c>
      <c r="S487" s="2" t="b">
        <f t="shared" ref="S487:S488" si="272">getText(K487)=getText(O487)</f>
        <v>1</v>
      </c>
    </row>
    <row r="488" spans="1:19" x14ac:dyDescent="0.15">
      <c r="B488" s="23"/>
      <c r="D488" t="s">
        <v>47</v>
      </c>
      <c r="E488" s="9" t="s">
        <v>122</v>
      </c>
      <c r="F488" s="14" t="s">
        <v>15</v>
      </c>
      <c r="G488">
        <v>10</v>
      </c>
      <c r="H488" s="7">
        <v>0</v>
      </c>
      <c r="I488" s="1" t="str">
        <f t="shared" si="267"/>
        <v>09</v>
      </c>
      <c r="J488" t="str">
        <f t="shared" si="268"/>
        <v>0</v>
      </c>
      <c r="K488">
        <f t="shared" si="269"/>
        <v>0</v>
      </c>
      <c r="M488" s="21" t="s">
        <v>124</v>
      </c>
      <c r="N488" s="26" t="s">
        <v>121</v>
      </c>
      <c r="O488">
        <v>0</v>
      </c>
      <c r="Q488" s="1" t="b">
        <f t="shared" si="270"/>
        <v>1</v>
      </c>
      <c r="R488" t="b">
        <f t="shared" si="271"/>
        <v>1</v>
      </c>
      <c r="S488" t="b">
        <f t="shared" si="272"/>
        <v>1</v>
      </c>
    </row>
    <row r="489" spans="1:19" x14ac:dyDescent="0.15">
      <c r="B489" s="23"/>
      <c r="D489" t="s">
        <v>49</v>
      </c>
      <c r="E489" s="9" t="s">
        <v>123</v>
      </c>
      <c r="F489" s="14" t="s">
        <v>15</v>
      </c>
      <c r="G489">
        <v>16</v>
      </c>
      <c r="H489" s="7">
        <v>0</v>
      </c>
      <c r="I489" s="1" t="str">
        <f t="shared" si="267"/>
        <v>0F</v>
      </c>
      <c r="J489" t="str">
        <f t="shared" si="268"/>
        <v>0</v>
      </c>
      <c r="K489">
        <f t="shared" si="269"/>
        <v>0</v>
      </c>
      <c r="M489" s="21" t="s">
        <v>125</v>
      </c>
      <c r="N489" s="26" t="s">
        <v>121</v>
      </c>
      <c r="O489">
        <v>0</v>
      </c>
      <c r="Q489" s="1" t="b">
        <f t="shared" ref="Q489:Q491" si="273">getText(I489)=getText(M489)</f>
        <v>1</v>
      </c>
      <c r="R489" t="b">
        <f t="shared" ref="R489:R491" si="274">getText(J489)=getText(N489)</f>
        <v>1</v>
      </c>
      <c r="S489" t="b">
        <f t="shared" ref="S489:S491" si="275">getText(K489)=getText(O489)</f>
        <v>1</v>
      </c>
    </row>
    <row r="490" spans="1:19" x14ac:dyDescent="0.15">
      <c r="B490" s="23"/>
      <c r="C490" s="2" t="s">
        <v>86</v>
      </c>
      <c r="D490" s="2" t="s">
        <v>46</v>
      </c>
      <c r="E490" s="11" t="s">
        <v>114</v>
      </c>
      <c r="F490" s="13" t="s">
        <v>15</v>
      </c>
      <c r="G490" s="2">
        <v>2</v>
      </c>
      <c r="H490" s="2">
        <v>0</v>
      </c>
      <c r="I490" s="3" t="str">
        <f t="shared" ref="I490:I491" si="276">TESTdivide(E490,F490,G490,H490)</f>
        <v>01</v>
      </c>
      <c r="J490" s="2" t="str">
        <f t="shared" ref="J490:J491" si="277">TESTdivideByRef1(E490,F490,G490,H490)</f>
        <v>1</v>
      </c>
      <c r="K490" s="2">
        <f t="shared" ref="K490:K491" si="278">TESTdivideByRef2(E490,F490,G490,H490)</f>
        <v>0</v>
      </c>
      <c r="L490" s="2"/>
      <c r="M490" s="20" t="s">
        <v>118</v>
      </c>
      <c r="N490" s="25" t="s">
        <v>115</v>
      </c>
      <c r="O490" s="2">
        <v>0</v>
      </c>
      <c r="P490" s="2"/>
      <c r="Q490" s="3" t="b">
        <f t="shared" si="273"/>
        <v>1</v>
      </c>
      <c r="R490" s="2" t="b">
        <f t="shared" si="274"/>
        <v>1</v>
      </c>
      <c r="S490" s="2" t="b">
        <f t="shared" si="275"/>
        <v>1</v>
      </c>
    </row>
    <row r="491" spans="1:19" x14ac:dyDescent="0.15">
      <c r="B491" s="23"/>
      <c r="D491" t="s">
        <v>47</v>
      </c>
      <c r="E491" s="9" t="s">
        <v>126</v>
      </c>
      <c r="F491" s="14" t="s">
        <v>15</v>
      </c>
      <c r="G491">
        <v>10</v>
      </c>
      <c r="H491" s="7">
        <v>0</v>
      </c>
      <c r="I491" s="1" t="str">
        <f t="shared" si="276"/>
        <v>09</v>
      </c>
      <c r="J491" t="str">
        <f t="shared" si="277"/>
        <v>1</v>
      </c>
      <c r="K491">
        <f t="shared" si="278"/>
        <v>0</v>
      </c>
      <c r="M491" s="21" t="s">
        <v>124</v>
      </c>
      <c r="N491" s="26" t="s">
        <v>128</v>
      </c>
      <c r="O491">
        <v>0</v>
      </c>
      <c r="Q491" s="1" t="b">
        <f t="shared" si="273"/>
        <v>1</v>
      </c>
      <c r="R491" t="b">
        <f t="shared" si="274"/>
        <v>1</v>
      </c>
      <c r="S491" t="b">
        <f t="shared" si="275"/>
        <v>1</v>
      </c>
    </row>
    <row r="492" spans="1:19" x14ac:dyDescent="0.15">
      <c r="D492" t="s">
        <v>49</v>
      </c>
      <c r="E492" s="9" t="s">
        <v>127</v>
      </c>
      <c r="F492" s="14" t="s">
        <v>15</v>
      </c>
      <c r="G492">
        <v>16</v>
      </c>
      <c r="H492" s="7">
        <v>0</v>
      </c>
      <c r="I492" s="1" t="str">
        <f t="shared" ref="I492:I494" si="279">TESTdivide(E492,F492,G492,H492)</f>
        <v>0F</v>
      </c>
      <c r="J492" t="str">
        <f t="shared" ref="J492:J494" si="280">TESTdivideByRef1(E492,F492,G492,H492)</f>
        <v>1</v>
      </c>
      <c r="K492">
        <f t="shared" ref="K492:K494" si="281">TESTdivideByRef2(E492,F492,G492,H492)</f>
        <v>0</v>
      </c>
      <c r="M492" s="21" t="s">
        <v>125</v>
      </c>
      <c r="N492" s="26" t="s">
        <v>128</v>
      </c>
      <c r="O492">
        <v>0</v>
      </c>
      <c r="Q492" s="1" t="b">
        <f t="shared" ref="Q492:Q494" si="282">getText(I492)=getText(M492)</f>
        <v>1</v>
      </c>
      <c r="R492" t="b">
        <f t="shared" ref="R492:R494" si="283">getText(J492)=getText(N492)</f>
        <v>1</v>
      </c>
      <c r="S492" t="b">
        <f t="shared" ref="S492:S494" si="284">getText(K492)=getText(O492)</f>
        <v>1</v>
      </c>
    </row>
    <row r="493" spans="1:19" x14ac:dyDescent="0.15">
      <c r="A493" s="23"/>
      <c r="C493" s="2" t="s">
        <v>96</v>
      </c>
      <c r="D493" s="2" t="s">
        <v>47</v>
      </c>
      <c r="E493" s="11" t="s">
        <v>129</v>
      </c>
      <c r="F493" s="13" t="s">
        <v>15</v>
      </c>
      <c r="G493" s="2">
        <v>10</v>
      </c>
      <c r="H493" s="24">
        <v>0</v>
      </c>
      <c r="I493" s="3" t="str">
        <f t="shared" si="279"/>
        <v>09</v>
      </c>
      <c r="J493" s="2" t="str">
        <f t="shared" si="280"/>
        <v>9</v>
      </c>
      <c r="K493" s="2">
        <f t="shared" si="281"/>
        <v>0</v>
      </c>
      <c r="L493" s="2"/>
      <c r="M493" s="20" t="s">
        <v>124</v>
      </c>
      <c r="N493" s="25" t="s">
        <v>131</v>
      </c>
      <c r="O493" s="2">
        <v>0</v>
      </c>
      <c r="P493" s="2"/>
      <c r="Q493" s="3" t="b">
        <f t="shared" si="282"/>
        <v>1</v>
      </c>
      <c r="R493" s="2" t="b">
        <f t="shared" si="283"/>
        <v>1</v>
      </c>
      <c r="S493" s="2" t="b">
        <f t="shared" si="284"/>
        <v>1</v>
      </c>
    </row>
    <row r="494" spans="1:19" x14ac:dyDescent="0.15">
      <c r="D494" t="s">
        <v>49</v>
      </c>
      <c r="E494" s="9" t="s">
        <v>130</v>
      </c>
      <c r="F494" s="14" t="s">
        <v>15</v>
      </c>
      <c r="G494">
        <v>16</v>
      </c>
      <c r="H494" s="7">
        <v>0</v>
      </c>
      <c r="I494" s="1" t="str">
        <f t="shared" si="279"/>
        <v>0F</v>
      </c>
      <c r="J494" t="str">
        <f t="shared" si="280"/>
        <v>F</v>
      </c>
      <c r="K494">
        <f t="shared" si="281"/>
        <v>0</v>
      </c>
      <c r="M494" s="21" t="s">
        <v>125</v>
      </c>
      <c r="N494" s="26" t="s">
        <v>132</v>
      </c>
      <c r="O494">
        <v>0</v>
      </c>
      <c r="Q494" s="1" t="b">
        <f t="shared" si="282"/>
        <v>1</v>
      </c>
      <c r="R494" t="b">
        <f t="shared" si="283"/>
        <v>1</v>
      </c>
      <c r="S494" t="b">
        <f t="shared" si="284"/>
        <v>1</v>
      </c>
    </row>
    <row r="495" spans="1:19" x14ac:dyDescent="0.15">
      <c r="B495" s="22" t="s">
        <v>88</v>
      </c>
      <c r="C495" s="2" t="s">
        <v>85</v>
      </c>
      <c r="D495" s="2" t="s">
        <v>46</v>
      </c>
      <c r="E495" s="11" t="s">
        <v>135</v>
      </c>
      <c r="F495" s="13" t="s">
        <v>15</v>
      </c>
      <c r="G495" s="2">
        <v>2</v>
      </c>
      <c r="H495" s="2">
        <v>0</v>
      </c>
      <c r="I495" s="3" t="str">
        <f t="shared" ref="I495:I497" si="285">TESTdivide(E495,F495,G495,H495)</f>
        <v>010</v>
      </c>
      <c r="J495" s="2" t="str">
        <f t="shared" ref="J495:J497" si="286">TESTdivideByRef1(E495,F495,G495,H495)</f>
        <v>0</v>
      </c>
      <c r="K495" s="2">
        <f t="shared" ref="K495:K497" si="287">TESTdivideByRef2(E495,F495,G495,H495)</f>
        <v>0</v>
      </c>
      <c r="L495" s="2"/>
      <c r="M495" s="20" t="s">
        <v>78</v>
      </c>
      <c r="N495" s="25" t="s">
        <v>133</v>
      </c>
      <c r="O495" s="2">
        <v>0</v>
      </c>
      <c r="P495" s="2"/>
      <c r="Q495" s="3" t="b">
        <f t="shared" ref="Q495:Q497" si="288">getText(I495)=getText(M495)</f>
        <v>1</v>
      </c>
      <c r="R495" s="2" t="b">
        <f t="shared" ref="R495:R497" si="289">getText(J495)=getText(N495)</f>
        <v>1</v>
      </c>
      <c r="S495" s="2" t="b">
        <f t="shared" ref="S495:S497" si="290">getText(K495)=getText(O495)</f>
        <v>1</v>
      </c>
    </row>
    <row r="496" spans="1:19" x14ac:dyDescent="0.15">
      <c r="B496" s="23"/>
      <c r="D496" t="s">
        <v>47</v>
      </c>
      <c r="E496" s="9" t="s">
        <v>135</v>
      </c>
      <c r="F496" s="14" t="s">
        <v>15</v>
      </c>
      <c r="G496">
        <v>10</v>
      </c>
      <c r="H496" s="7">
        <v>0</v>
      </c>
      <c r="I496" s="1" t="str">
        <f t="shared" si="285"/>
        <v>010</v>
      </c>
      <c r="J496" t="str">
        <f t="shared" si="286"/>
        <v>0</v>
      </c>
      <c r="K496">
        <f t="shared" si="287"/>
        <v>0</v>
      </c>
      <c r="M496" s="21" t="s">
        <v>78</v>
      </c>
      <c r="N496" s="26" t="s">
        <v>134</v>
      </c>
      <c r="O496" s="7">
        <v>0</v>
      </c>
      <c r="P496" s="7"/>
      <c r="Q496" s="1" t="b">
        <f t="shared" si="288"/>
        <v>1</v>
      </c>
      <c r="R496" t="b">
        <f t="shared" si="289"/>
        <v>1</v>
      </c>
      <c r="S496" t="b">
        <f t="shared" si="290"/>
        <v>1</v>
      </c>
    </row>
    <row r="497" spans="2:19" x14ac:dyDescent="0.15">
      <c r="B497" s="23"/>
      <c r="D497" t="s">
        <v>49</v>
      </c>
      <c r="E497" s="9" t="s">
        <v>135</v>
      </c>
      <c r="F497" s="14" t="s">
        <v>15</v>
      </c>
      <c r="G497">
        <v>16</v>
      </c>
      <c r="H497" s="7">
        <v>0</v>
      </c>
      <c r="I497" s="1" t="str">
        <f t="shared" si="285"/>
        <v>010</v>
      </c>
      <c r="J497" t="str">
        <f t="shared" si="286"/>
        <v>0</v>
      </c>
      <c r="K497">
        <f t="shared" si="287"/>
        <v>0</v>
      </c>
      <c r="M497" s="21" t="s">
        <v>78</v>
      </c>
      <c r="N497" s="26" t="s">
        <v>133</v>
      </c>
      <c r="O497" s="7">
        <v>0</v>
      </c>
      <c r="P497" s="7"/>
      <c r="Q497" s="1" t="b">
        <f t="shared" si="288"/>
        <v>1</v>
      </c>
      <c r="R497" t="b">
        <f t="shared" si="289"/>
        <v>1</v>
      </c>
      <c r="S497" t="b">
        <f t="shared" si="290"/>
        <v>1</v>
      </c>
    </row>
    <row r="498" spans="2:19" x14ac:dyDescent="0.15">
      <c r="B498" s="23"/>
      <c r="C498" s="2" t="s">
        <v>86</v>
      </c>
      <c r="D498" s="2" t="s">
        <v>46</v>
      </c>
      <c r="E498" s="11" t="s">
        <v>140</v>
      </c>
      <c r="F498" s="13" t="s">
        <v>15</v>
      </c>
      <c r="G498" s="2">
        <v>2</v>
      </c>
      <c r="H498" s="2">
        <v>0</v>
      </c>
      <c r="I498" s="3" t="str">
        <f t="shared" ref="I498:I502" si="291">TESTdivide(E498,F498,G498,H498)</f>
        <v>010</v>
      </c>
      <c r="J498" s="2" t="str">
        <f t="shared" ref="J498:J502" si="292">TESTdivideByRef1(E498,F498,G498,H498)</f>
        <v>1</v>
      </c>
      <c r="K498" s="2">
        <f t="shared" ref="K498:K502" si="293">TESTdivideByRef2(E498,F498,G498,H498)</f>
        <v>0</v>
      </c>
      <c r="L498" s="2"/>
      <c r="M498" s="20" t="s">
        <v>78</v>
      </c>
      <c r="N498" s="25" t="s">
        <v>136</v>
      </c>
      <c r="O498" s="2">
        <v>0</v>
      </c>
      <c r="P498" s="2"/>
      <c r="Q498" s="3" t="b">
        <f t="shared" ref="Q498:Q502" si="294">getText(I498)=getText(M498)</f>
        <v>1</v>
      </c>
      <c r="R498" s="2" t="b">
        <f t="shared" ref="R498:R502" si="295">getText(J498)=getText(N498)</f>
        <v>1</v>
      </c>
      <c r="S498" s="2" t="b">
        <f t="shared" ref="S498:S502" si="296">getText(K498)=getText(O498)</f>
        <v>1</v>
      </c>
    </row>
    <row r="499" spans="2:19" x14ac:dyDescent="0.15">
      <c r="B499" s="23"/>
      <c r="D499" t="s">
        <v>47</v>
      </c>
      <c r="E499" s="9" t="s">
        <v>143</v>
      </c>
      <c r="F499" s="14" t="s">
        <v>15</v>
      </c>
      <c r="G499">
        <v>10</v>
      </c>
      <c r="H499" s="7">
        <v>0</v>
      </c>
      <c r="I499" s="1" t="str">
        <f t="shared" si="291"/>
        <v>010</v>
      </c>
      <c r="J499" t="str">
        <f t="shared" si="292"/>
        <v>1</v>
      </c>
      <c r="K499">
        <f t="shared" si="293"/>
        <v>0</v>
      </c>
      <c r="M499" s="21" t="s">
        <v>78</v>
      </c>
      <c r="N499" s="26" t="s">
        <v>136</v>
      </c>
      <c r="O499">
        <v>0</v>
      </c>
      <c r="Q499" s="1" t="b">
        <f t="shared" si="294"/>
        <v>1</v>
      </c>
      <c r="R499" t="b">
        <f t="shared" si="295"/>
        <v>1</v>
      </c>
      <c r="S499" t="b">
        <f t="shared" si="296"/>
        <v>1</v>
      </c>
    </row>
    <row r="500" spans="2:19" x14ac:dyDescent="0.15">
      <c r="D500" t="s">
        <v>49</v>
      </c>
      <c r="E500" s="9" t="s">
        <v>140</v>
      </c>
      <c r="F500" s="14" t="s">
        <v>15</v>
      </c>
      <c r="G500">
        <v>16</v>
      </c>
      <c r="H500" s="7">
        <v>0</v>
      </c>
      <c r="I500" s="1" t="str">
        <f t="shared" si="291"/>
        <v>010</v>
      </c>
      <c r="J500" t="str">
        <f t="shared" si="292"/>
        <v>1</v>
      </c>
      <c r="K500">
        <f t="shared" si="293"/>
        <v>0</v>
      </c>
      <c r="M500" s="21" t="s">
        <v>78</v>
      </c>
      <c r="N500" s="26" t="s">
        <v>137</v>
      </c>
      <c r="O500">
        <v>0</v>
      </c>
      <c r="Q500" s="1" t="b">
        <f t="shared" si="294"/>
        <v>1</v>
      </c>
      <c r="R500" t="b">
        <f t="shared" si="295"/>
        <v>1</v>
      </c>
      <c r="S500" t="b">
        <f t="shared" si="296"/>
        <v>1</v>
      </c>
    </row>
    <row r="501" spans="2:19" x14ac:dyDescent="0.15">
      <c r="C501" s="2" t="s">
        <v>96</v>
      </c>
      <c r="D501" s="2" t="s">
        <v>47</v>
      </c>
      <c r="E501" s="11" t="s">
        <v>141</v>
      </c>
      <c r="F501" s="13" t="s">
        <v>15</v>
      </c>
      <c r="G501" s="2">
        <v>10</v>
      </c>
      <c r="H501" s="24">
        <v>0</v>
      </c>
      <c r="I501" s="3" t="str">
        <f t="shared" si="291"/>
        <v>010</v>
      </c>
      <c r="J501" s="2" t="str">
        <f t="shared" si="292"/>
        <v>9</v>
      </c>
      <c r="K501" s="2">
        <f t="shared" si="293"/>
        <v>0</v>
      </c>
      <c r="L501" s="2"/>
      <c r="M501" s="20" t="s">
        <v>78</v>
      </c>
      <c r="N501" s="25" t="s">
        <v>138</v>
      </c>
      <c r="O501" s="2">
        <v>0</v>
      </c>
      <c r="P501" s="2"/>
      <c r="Q501" s="3" t="b">
        <f t="shared" si="294"/>
        <v>1</v>
      </c>
      <c r="R501" s="2" t="b">
        <f t="shared" si="295"/>
        <v>1</v>
      </c>
      <c r="S501" s="2" t="b">
        <f t="shared" si="296"/>
        <v>1</v>
      </c>
    </row>
    <row r="502" spans="2:19" x14ac:dyDescent="0.15">
      <c r="D502" t="s">
        <v>49</v>
      </c>
      <c r="E502" s="9" t="s">
        <v>142</v>
      </c>
      <c r="F502" s="14" t="s">
        <v>15</v>
      </c>
      <c r="G502">
        <v>16</v>
      </c>
      <c r="H502" s="7">
        <v>0</v>
      </c>
      <c r="I502" s="1" t="str">
        <f t="shared" si="291"/>
        <v>010</v>
      </c>
      <c r="J502" t="str">
        <f t="shared" si="292"/>
        <v>F</v>
      </c>
      <c r="K502">
        <f t="shared" si="293"/>
        <v>0</v>
      </c>
      <c r="M502" s="21" t="s">
        <v>78</v>
      </c>
      <c r="N502" s="26" t="s">
        <v>139</v>
      </c>
      <c r="O502">
        <v>0</v>
      </c>
      <c r="Q502" s="1" t="b">
        <f t="shared" si="294"/>
        <v>1</v>
      </c>
      <c r="R502" t="b">
        <f t="shared" si="295"/>
        <v>1</v>
      </c>
      <c r="S502" t="b">
        <f t="shared" si="296"/>
        <v>1</v>
      </c>
    </row>
    <row r="503" spans="2:19" x14ac:dyDescent="0.15">
      <c r="B503" s="22" t="s">
        <v>89</v>
      </c>
      <c r="C503" s="2" t="s">
        <v>85</v>
      </c>
      <c r="D503" s="2" t="s">
        <v>46</v>
      </c>
      <c r="E503" s="11" t="s">
        <v>147</v>
      </c>
      <c r="F503" s="13" t="s">
        <v>15</v>
      </c>
      <c r="G503" s="2">
        <v>2</v>
      </c>
      <c r="H503" s="2">
        <v>0</v>
      </c>
      <c r="I503" s="3" t="str">
        <f t="shared" ref="I503:I505" si="297">TESTdivide(E503,F503,G503,H503)</f>
        <v>011</v>
      </c>
      <c r="J503" s="2" t="str">
        <f t="shared" ref="J503:J505" si="298">TESTdivideByRef1(E503,F503,G503,H503)</f>
        <v>0</v>
      </c>
      <c r="K503" s="2">
        <f t="shared" ref="K503:K505" si="299">TESTdivideByRef2(E503,F503,G503,H503)</f>
        <v>0</v>
      </c>
      <c r="L503" s="2"/>
      <c r="M503" s="20" t="s">
        <v>148</v>
      </c>
      <c r="N503" s="25" t="s">
        <v>144</v>
      </c>
      <c r="O503" s="2">
        <v>0</v>
      </c>
      <c r="P503" s="2"/>
      <c r="Q503" s="3" t="b">
        <f t="shared" ref="Q503:Q505" si="300">getText(I503)=getText(M503)</f>
        <v>1</v>
      </c>
      <c r="R503" s="2" t="b">
        <f t="shared" ref="R503:R505" si="301">getText(J503)=getText(N503)</f>
        <v>1</v>
      </c>
      <c r="S503" s="2" t="b">
        <f t="shared" ref="S503:S505" si="302">getText(K503)=getText(O503)</f>
        <v>1</v>
      </c>
    </row>
    <row r="504" spans="2:19" x14ac:dyDescent="0.15">
      <c r="B504" s="23"/>
      <c r="D504" t="s">
        <v>47</v>
      </c>
      <c r="E504" s="9" t="s">
        <v>147</v>
      </c>
      <c r="F504" s="14" t="s">
        <v>15</v>
      </c>
      <c r="G504">
        <v>10</v>
      </c>
      <c r="H504" s="7">
        <v>0</v>
      </c>
      <c r="I504" s="1" t="str">
        <f t="shared" si="297"/>
        <v>011</v>
      </c>
      <c r="J504" t="str">
        <f t="shared" si="298"/>
        <v>0</v>
      </c>
      <c r="K504">
        <f t="shared" si="299"/>
        <v>0</v>
      </c>
      <c r="M504" s="21" t="s">
        <v>77</v>
      </c>
      <c r="N504" s="26" t="s">
        <v>145</v>
      </c>
      <c r="O504">
        <v>0</v>
      </c>
      <c r="Q504" s="1" t="b">
        <f t="shared" si="300"/>
        <v>1</v>
      </c>
      <c r="R504" t="b">
        <f t="shared" si="301"/>
        <v>1</v>
      </c>
      <c r="S504" t="b">
        <f t="shared" si="302"/>
        <v>1</v>
      </c>
    </row>
    <row r="505" spans="2:19" x14ac:dyDescent="0.15">
      <c r="B505" s="23"/>
      <c r="D505" t="s">
        <v>49</v>
      </c>
      <c r="E505" s="9" t="s">
        <v>147</v>
      </c>
      <c r="F505" s="14" t="s">
        <v>15</v>
      </c>
      <c r="G505">
        <v>16</v>
      </c>
      <c r="H505" s="7">
        <v>0</v>
      </c>
      <c r="I505" s="1" t="str">
        <f t="shared" si="297"/>
        <v>011</v>
      </c>
      <c r="J505" t="str">
        <f t="shared" si="298"/>
        <v>0</v>
      </c>
      <c r="K505">
        <f t="shared" si="299"/>
        <v>0</v>
      </c>
      <c r="M505" s="21" t="s">
        <v>77</v>
      </c>
      <c r="N505" s="26" t="s">
        <v>146</v>
      </c>
      <c r="O505">
        <v>0</v>
      </c>
      <c r="Q505" s="1" t="b">
        <f t="shared" si="300"/>
        <v>1</v>
      </c>
      <c r="R505" t="b">
        <f t="shared" si="301"/>
        <v>1</v>
      </c>
      <c r="S505" t="b">
        <f t="shared" si="302"/>
        <v>1</v>
      </c>
    </row>
    <row r="506" spans="2:19" x14ac:dyDescent="0.15">
      <c r="B506" s="23"/>
      <c r="C506" s="2" t="s">
        <v>86</v>
      </c>
      <c r="D506" s="2" t="s">
        <v>46</v>
      </c>
      <c r="E506" s="11" t="s">
        <v>149</v>
      </c>
      <c r="F506" s="13" t="s">
        <v>15</v>
      </c>
      <c r="G506" s="2">
        <v>2</v>
      </c>
      <c r="H506" s="2">
        <v>0</v>
      </c>
      <c r="I506" s="3" t="str">
        <f t="shared" ref="I506:I510" si="303">TESTdivide(E506,F506,G506,H506)</f>
        <v>011</v>
      </c>
      <c r="J506" s="2" t="str">
        <f t="shared" ref="J506:J510" si="304">TESTdivideByRef1(E506,F506,G506,H506)</f>
        <v>1</v>
      </c>
      <c r="K506" s="2">
        <f t="shared" ref="K506:K510" si="305">TESTdivideByRef2(E506,F506,G506,H506)</f>
        <v>0</v>
      </c>
      <c r="L506" s="2"/>
      <c r="M506" s="20" t="s">
        <v>77</v>
      </c>
      <c r="N506" s="25" t="s">
        <v>44</v>
      </c>
      <c r="O506" s="2">
        <v>0</v>
      </c>
      <c r="P506" s="2"/>
      <c r="Q506" s="3" t="b">
        <f t="shared" ref="Q506:Q508" si="306">getText(I506)=getText(M506)</f>
        <v>1</v>
      </c>
      <c r="R506" s="2" t="b">
        <f t="shared" ref="R506:R508" si="307">getText(J506)=getText(N506)</f>
        <v>1</v>
      </c>
      <c r="S506" s="2" t="b">
        <f t="shared" ref="S506:S508" si="308">getText(K506)=getText(O506)</f>
        <v>1</v>
      </c>
    </row>
    <row r="507" spans="2:19" x14ac:dyDescent="0.15">
      <c r="B507" s="23"/>
      <c r="D507" t="s">
        <v>47</v>
      </c>
      <c r="E507" s="9" t="s">
        <v>31</v>
      </c>
      <c r="F507" s="14" t="s">
        <v>15</v>
      </c>
      <c r="G507">
        <v>10</v>
      </c>
      <c r="H507" s="7">
        <v>0</v>
      </c>
      <c r="I507" s="1" t="str">
        <f t="shared" si="303"/>
        <v>011</v>
      </c>
      <c r="J507" t="str">
        <f t="shared" si="304"/>
        <v>1</v>
      </c>
      <c r="K507">
        <f t="shared" si="305"/>
        <v>0</v>
      </c>
      <c r="M507" s="21" t="s">
        <v>77</v>
      </c>
      <c r="N507" s="26" t="s">
        <v>44</v>
      </c>
      <c r="O507">
        <v>0</v>
      </c>
      <c r="Q507" s="1" t="b">
        <f t="shared" si="306"/>
        <v>1</v>
      </c>
      <c r="R507" t="b">
        <f t="shared" si="307"/>
        <v>1</v>
      </c>
      <c r="S507" t="b">
        <f t="shared" si="308"/>
        <v>1</v>
      </c>
    </row>
    <row r="508" spans="2:19" x14ac:dyDescent="0.15">
      <c r="D508" t="s">
        <v>49</v>
      </c>
      <c r="E508" s="9" t="s">
        <v>31</v>
      </c>
      <c r="F508" s="14" t="s">
        <v>15</v>
      </c>
      <c r="G508">
        <v>16</v>
      </c>
      <c r="H508" s="7">
        <v>0</v>
      </c>
      <c r="I508" s="1" t="str">
        <f t="shared" si="303"/>
        <v>011</v>
      </c>
      <c r="J508" t="str">
        <f t="shared" si="304"/>
        <v>1</v>
      </c>
      <c r="K508">
        <f t="shared" si="305"/>
        <v>0</v>
      </c>
      <c r="M508" s="21" t="s">
        <v>77</v>
      </c>
      <c r="N508" s="26" t="s">
        <v>44</v>
      </c>
      <c r="O508">
        <v>0</v>
      </c>
      <c r="Q508" s="1" t="b">
        <f t="shared" si="306"/>
        <v>1</v>
      </c>
      <c r="R508" t="b">
        <f t="shared" si="307"/>
        <v>1</v>
      </c>
      <c r="S508" t="b">
        <f t="shared" si="308"/>
        <v>1</v>
      </c>
    </row>
    <row r="509" spans="2:19" x14ac:dyDescent="0.15">
      <c r="C509" s="2" t="s">
        <v>96</v>
      </c>
      <c r="D509" s="2" t="s">
        <v>47</v>
      </c>
      <c r="E509" s="11" t="s">
        <v>150</v>
      </c>
      <c r="F509" s="13" t="s">
        <v>15</v>
      </c>
      <c r="G509" s="2">
        <v>10</v>
      </c>
      <c r="H509" s="24">
        <v>0</v>
      </c>
      <c r="I509" s="3" t="str">
        <f t="shared" si="303"/>
        <v>011</v>
      </c>
      <c r="J509" s="2" t="str">
        <f t="shared" si="304"/>
        <v>9</v>
      </c>
      <c r="K509" s="2">
        <f t="shared" si="305"/>
        <v>0</v>
      </c>
      <c r="L509" s="2"/>
      <c r="M509" s="20" t="s">
        <v>77</v>
      </c>
      <c r="N509" s="25" t="s">
        <v>100</v>
      </c>
      <c r="O509" s="2">
        <v>0</v>
      </c>
      <c r="P509" s="2"/>
      <c r="Q509" s="3" t="b">
        <f t="shared" ref="Q509:Q510" si="309">getText(I509)=getText(M509)</f>
        <v>1</v>
      </c>
      <c r="R509" s="2" t="b">
        <f t="shared" ref="R509:R510" si="310">getText(J509)=getText(N509)</f>
        <v>1</v>
      </c>
      <c r="S509" s="2" t="b">
        <f t="shared" ref="S509:S510" si="311">getText(K509)=getText(O509)</f>
        <v>1</v>
      </c>
    </row>
    <row r="510" spans="2:19" x14ac:dyDescent="0.15">
      <c r="D510" t="s">
        <v>49</v>
      </c>
      <c r="E510" s="9" t="s">
        <v>151</v>
      </c>
      <c r="F510" s="14" t="s">
        <v>15</v>
      </c>
      <c r="G510">
        <v>16</v>
      </c>
      <c r="H510" s="7">
        <v>0</v>
      </c>
      <c r="I510" s="1" t="str">
        <f t="shared" si="303"/>
        <v>011</v>
      </c>
      <c r="J510" t="str">
        <f t="shared" si="304"/>
        <v>F</v>
      </c>
      <c r="K510">
        <f t="shared" si="305"/>
        <v>0</v>
      </c>
      <c r="M510" s="21" t="s">
        <v>77</v>
      </c>
      <c r="N510" s="26" t="s">
        <v>98</v>
      </c>
      <c r="O510">
        <v>0</v>
      </c>
      <c r="Q510" s="1" t="b">
        <f t="shared" si="309"/>
        <v>1</v>
      </c>
      <c r="R510" t="b">
        <f t="shared" si="310"/>
        <v>1</v>
      </c>
      <c r="S510" t="b">
        <f t="shared" si="311"/>
        <v>1</v>
      </c>
    </row>
    <row r="511" spans="2:19" x14ac:dyDescent="0.15">
      <c r="B511" s="22" t="s">
        <v>90</v>
      </c>
      <c r="C511" s="2" t="s">
        <v>85</v>
      </c>
      <c r="D511" s="2" t="s">
        <v>46</v>
      </c>
      <c r="E511" s="11" t="s">
        <v>147</v>
      </c>
      <c r="F511" s="13" t="s">
        <v>15</v>
      </c>
      <c r="G511" s="2">
        <v>2</v>
      </c>
      <c r="H511" s="2">
        <v>0</v>
      </c>
      <c r="I511" s="3" t="str">
        <f t="shared" ref="I511:I513" si="312">TESTdivide(E511,F511,G511,H511)</f>
        <v>011</v>
      </c>
      <c r="J511" s="2" t="str">
        <f t="shared" ref="J511:J513" si="313">TESTdivideByRef1(E511,F511,G511,H511)</f>
        <v>0</v>
      </c>
      <c r="K511" s="2">
        <f t="shared" ref="K511:K513" si="314">TESTdivideByRef2(E511,F511,G511,H511)</f>
        <v>0</v>
      </c>
      <c r="L511" s="2"/>
      <c r="M511" s="20" t="s">
        <v>148</v>
      </c>
      <c r="N511" s="25" t="s">
        <v>155</v>
      </c>
      <c r="O511" s="2">
        <v>0</v>
      </c>
      <c r="P511" s="2"/>
      <c r="Q511" s="3" t="b">
        <f t="shared" ref="Q511:Q513" si="315">getText(I511)=getText(M511)</f>
        <v>1</v>
      </c>
      <c r="R511" s="2" t="b">
        <f t="shared" ref="R511:R513" si="316">getText(J511)=getText(N511)</f>
        <v>1</v>
      </c>
      <c r="S511" s="2" t="b">
        <f t="shared" ref="S511:S513" si="317">getText(K511)=getText(O511)</f>
        <v>1</v>
      </c>
    </row>
    <row r="512" spans="2:19" x14ac:dyDescent="0.15">
      <c r="B512" s="23"/>
      <c r="D512" t="s">
        <v>47</v>
      </c>
      <c r="E512" s="9" t="s">
        <v>152</v>
      </c>
      <c r="F512" s="14" t="s">
        <v>15</v>
      </c>
      <c r="G512">
        <v>10</v>
      </c>
      <c r="H512" s="7">
        <v>0</v>
      </c>
      <c r="I512" s="1" t="str">
        <f t="shared" si="312"/>
        <v>099</v>
      </c>
      <c r="J512" t="str">
        <f t="shared" si="313"/>
        <v>0</v>
      </c>
      <c r="K512">
        <f t="shared" si="314"/>
        <v>0</v>
      </c>
      <c r="M512" s="21" t="s">
        <v>154</v>
      </c>
      <c r="N512" s="26" t="s">
        <v>145</v>
      </c>
      <c r="O512">
        <v>0</v>
      </c>
      <c r="Q512" s="1" t="b">
        <f t="shared" si="315"/>
        <v>1</v>
      </c>
      <c r="R512" t="b">
        <f t="shared" si="316"/>
        <v>1</v>
      </c>
      <c r="S512" t="b">
        <f t="shared" si="317"/>
        <v>1</v>
      </c>
    </row>
    <row r="513" spans="2:19" x14ac:dyDescent="0.15">
      <c r="B513" s="23"/>
      <c r="D513" t="s">
        <v>49</v>
      </c>
      <c r="E513" s="9" t="s">
        <v>159</v>
      </c>
      <c r="F513" s="14" t="s">
        <v>15</v>
      </c>
      <c r="G513">
        <v>16</v>
      </c>
      <c r="H513" s="7">
        <v>0</v>
      </c>
      <c r="I513" s="1" t="str">
        <f t="shared" si="312"/>
        <v>0FF</v>
      </c>
      <c r="J513" t="str">
        <f t="shared" si="313"/>
        <v>0</v>
      </c>
      <c r="K513">
        <f t="shared" si="314"/>
        <v>0</v>
      </c>
      <c r="M513" s="21" t="s">
        <v>157</v>
      </c>
      <c r="N513" s="26" t="s">
        <v>158</v>
      </c>
      <c r="O513">
        <v>0</v>
      </c>
      <c r="Q513" s="1" t="b">
        <f t="shared" si="315"/>
        <v>1</v>
      </c>
      <c r="R513" t="b">
        <f t="shared" si="316"/>
        <v>1</v>
      </c>
      <c r="S513" t="b">
        <f t="shared" si="317"/>
        <v>1</v>
      </c>
    </row>
    <row r="514" spans="2:19" x14ac:dyDescent="0.15">
      <c r="B514" s="23"/>
      <c r="C514" s="2" t="s">
        <v>86</v>
      </c>
      <c r="D514" s="2" t="s">
        <v>46</v>
      </c>
      <c r="E514" s="11" t="s">
        <v>160</v>
      </c>
      <c r="F514" s="13" t="s">
        <v>15</v>
      </c>
      <c r="G514" s="2">
        <v>2</v>
      </c>
      <c r="H514" s="2">
        <v>0</v>
      </c>
      <c r="I514" s="3" t="str">
        <f t="shared" ref="I514:I516" si="318">TESTdivide(E514,F514,G514,H514)</f>
        <v>011</v>
      </c>
      <c r="J514" s="2" t="str">
        <f t="shared" ref="J514:J516" si="319">TESTdivideByRef1(E514,F514,G514,H514)</f>
        <v>1</v>
      </c>
      <c r="K514" s="2">
        <f t="shared" ref="K514:K516" si="320">TESTdivideByRef2(E514,F514,G514,H514)</f>
        <v>0</v>
      </c>
      <c r="L514" s="2"/>
      <c r="M514" s="20" t="s">
        <v>77</v>
      </c>
      <c r="N514" s="25" t="s">
        <v>44</v>
      </c>
      <c r="O514" s="2">
        <v>0</v>
      </c>
      <c r="P514" s="2"/>
      <c r="Q514" s="3" t="b">
        <f t="shared" ref="Q514:Q516" si="321">getText(I514)=getText(M514)</f>
        <v>1</v>
      </c>
      <c r="R514" s="2" t="b">
        <f t="shared" ref="R514:R516" si="322">getText(J514)=getText(N514)</f>
        <v>1</v>
      </c>
      <c r="S514" s="2" t="b">
        <f t="shared" ref="S514:S516" si="323">getText(K514)=getText(O514)</f>
        <v>1</v>
      </c>
    </row>
    <row r="515" spans="2:19" x14ac:dyDescent="0.15">
      <c r="B515" s="23"/>
      <c r="D515" t="s">
        <v>47</v>
      </c>
      <c r="E515" s="9" t="s">
        <v>161</v>
      </c>
      <c r="F515" s="14" t="s">
        <v>15</v>
      </c>
      <c r="G515">
        <v>10</v>
      </c>
      <c r="H515" s="7">
        <v>0</v>
      </c>
      <c r="I515" s="1" t="str">
        <f t="shared" si="318"/>
        <v>099</v>
      </c>
      <c r="J515" t="str">
        <f t="shared" si="319"/>
        <v>1</v>
      </c>
      <c r="K515">
        <f t="shared" si="320"/>
        <v>0</v>
      </c>
      <c r="M515" s="21" t="s">
        <v>153</v>
      </c>
      <c r="N515" s="26" t="s">
        <v>44</v>
      </c>
      <c r="O515">
        <v>0</v>
      </c>
      <c r="Q515" s="1" t="b">
        <f t="shared" si="321"/>
        <v>1</v>
      </c>
      <c r="R515" t="b">
        <f t="shared" si="322"/>
        <v>1</v>
      </c>
      <c r="S515" t="b">
        <f t="shared" si="323"/>
        <v>1</v>
      </c>
    </row>
    <row r="516" spans="2:19" x14ac:dyDescent="0.15">
      <c r="D516" t="s">
        <v>49</v>
      </c>
      <c r="E516" s="9" t="s">
        <v>162</v>
      </c>
      <c r="F516" s="14" t="s">
        <v>15</v>
      </c>
      <c r="G516">
        <v>16</v>
      </c>
      <c r="H516" s="7">
        <v>0</v>
      </c>
      <c r="I516" s="1" t="str">
        <f t="shared" si="318"/>
        <v>0FF</v>
      </c>
      <c r="J516" t="str">
        <f t="shared" si="319"/>
        <v>1</v>
      </c>
      <c r="K516">
        <f t="shared" si="320"/>
        <v>0</v>
      </c>
      <c r="M516" s="21" t="s">
        <v>156</v>
      </c>
      <c r="N516" s="26" t="s">
        <v>44</v>
      </c>
      <c r="O516">
        <v>0</v>
      </c>
      <c r="Q516" s="1" t="b">
        <f t="shared" si="321"/>
        <v>1</v>
      </c>
      <c r="R516" t="b">
        <f t="shared" si="322"/>
        <v>1</v>
      </c>
      <c r="S516" t="b">
        <f t="shared" si="323"/>
        <v>1</v>
      </c>
    </row>
    <row r="517" spans="2:19" x14ac:dyDescent="0.15">
      <c r="C517" s="2" t="s">
        <v>96</v>
      </c>
      <c r="D517" s="2" t="s">
        <v>47</v>
      </c>
      <c r="E517" s="11" t="s">
        <v>163</v>
      </c>
      <c r="F517" s="13" t="s">
        <v>15</v>
      </c>
      <c r="G517" s="2">
        <v>10</v>
      </c>
      <c r="H517" s="24">
        <v>0</v>
      </c>
      <c r="I517" s="3" t="str">
        <f t="shared" ref="I517:I518" si="324">TESTdivide(E517,F517,G517,H517)</f>
        <v>099</v>
      </c>
      <c r="J517" s="2" t="str">
        <f t="shared" ref="J517:J518" si="325">TESTdivideByRef1(E517,F517,G517,H517)</f>
        <v>9</v>
      </c>
      <c r="K517" s="2">
        <f t="shared" ref="K517:K518" si="326">TESTdivideByRef2(E517,F517,G517,H517)</f>
        <v>0</v>
      </c>
      <c r="L517" s="2"/>
      <c r="M517" s="20" t="s">
        <v>153</v>
      </c>
      <c r="N517" s="25" t="s">
        <v>100</v>
      </c>
      <c r="O517" s="2">
        <v>0</v>
      </c>
      <c r="P517" s="2"/>
      <c r="Q517" s="3" t="b">
        <f t="shared" ref="Q517:Q518" si="327">getText(I517)=getText(M517)</f>
        <v>1</v>
      </c>
      <c r="R517" s="2" t="b">
        <f t="shared" ref="R517:R518" si="328">getText(J517)=getText(N517)</f>
        <v>1</v>
      </c>
      <c r="S517" s="2" t="b">
        <f t="shared" ref="S517:S518" si="329">getText(K517)=getText(O517)</f>
        <v>1</v>
      </c>
    </row>
    <row r="518" spans="2:19" x14ac:dyDescent="0.15">
      <c r="D518" t="s">
        <v>49</v>
      </c>
      <c r="E518" s="9" t="s">
        <v>164</v>
      </c>
      <c r="F518" s="14" t="s">
        <v>15</v>
      </c>
      <c r="G518">
        <v>16</v>
      </c>
      <c r="H518" s="7">
        <v>0</v>
      </c>
      <c r="I518" s="1" t="str">
        <f t="shared" si="324"/>
        <v>0FF</v>
      </c>
      <c r="J518" t="str">
        <f t="shared" si="325"/>
        <v>F</v>
      </c>
      <c r="K518">
        <f t="shared" si="326"/>
        <v>0</v>
      </c>
      <c r="M518" s="21" t="s">
        <v>156</v>
      </c>
      <c r="N518" s="26" t="s">
        <v>98</v>
      </c>
      <c r="O518">
        <v>0</v>
      </c>
      <c r="Q518" s="1" t="b">
        <f t="shared" si="327"/>
        <v>1</v>
      </c>
      <c r="R518" t="b">
        <f t="shared" si="328"/>
        <v>1</v>
      </c>
      <c r="S518" t="b">
        <f t="shared" si="329"/>
        <v>1</v>
      </c>
    </row>
    <row r="519" spans="2:19" x14ac:dyDescent="0.15">
      <c r="B519" s="22" t="s">
        <v>91</v>
      </c>
      <c r="C519" s="2" t="s">
        <v>85</v>
      </c>
      <c r="D519" s="2" t="s">
        <v>46</v>
      </c>
      <c r="E519" s="11" t="s">
        <v>165</v>
      </c>
      <c r="F519" s="13" t="s">
        <v>15</v>
      </c>
      <c r="G519" s="2">
        <v>2</v>
      </c>
      <c r="H519" s="2">
        <v>0</v>
      </c>
      <c r="I519" s="3" t="str">
        <f t="shared" ref="I519:I521" si="330">TESTdivide(E519,F519,G519,H519)</f>
        <v>0100</v>
      </c>
      <c r="J519" s="2" t="str">
        <f t="shared" ref="J519:J521" si="331">TESTdivideByRef1(E519,F519,G519,H519)</f>
        <v>0</v>
      </c>
      <c r="K519" s="2">
        <f t="shared" ref="K519:K521" si="332">TESTdivideByRef2(E519,F519,G519,H519)</f>
        <v>0</v>
      </c>
      <c r="L519" s="2"/>
      <c r="M519" s="20" t="s">
        <v>166</v>
      </c>
      <c r="N519" s="25" t="s">
        <v>14</v>
      </c>
      <c r="O519" s="2">
        <v>0</v>
      </c>
      <c r="P519" s="2"/>
      <c r="Q519" s="3" t="b">
        <f t="shared" ref="Q519:Q521" si="333">getText(I519)=getText(M519)</f>
        <v>1</v>
      </c>
      <c r="R519" s="2" t="b">
        <f t="shared" ref="R519:R521" si="334">getText(J519)=getText(N519)</f>
        <v>1</v>
      </c>
      <c r="S519" s="2" t="b">
        <f t="shared" ref="S519:S521" si="335">getText(K519)=getText(O519)</f>
        <v>1</v>
      </c>
    </row>
    <row r="520" spans="2:19" x14ac:dyDescent="0.15">
      <c r="B520" s="23"/>
      <c r="D520" t="s">
        <v>47</v>
      </c>
      <c r="E520" s="9" t="s">
        <v>165</v>
      </c>
      <c r="F520" s="14" t="s">
        <v>15</v>
      </c>
      <c r="G520">
        <v>10</v>
      </c>
      <c r="H520" s="7">
        <v>0</v>
      </c>
      <c r="I520" s="1" t="str">
        <f t="shared" si="330"/>
        <v>0100</v>
      </c>
      <c r="J520" t="str">
        <f t="shared" si="331"/>
        <v>0</v>
      </c>
      <c r="K520">
        <f t="shared" si="332"/>
        <v>0</v>
      </c>
      <c r="M520" s="21" t="s">
        <v>166</v>
      </c>
      <c r="N520" s="26" t="s">
        <v>14</v>
      </c>
      <c r="O520">
        <v>0</v>
      </c>
      <c r="Q520" s="1" t="b">
        <f t="shared" si="333"/>
        <v>1</v>
      </c>
      <c r="R520" t="b">
        <f t="shared" si="334"/>
        <v>1</v>
      </c>
      <c r="S520" t="b">
        <f t="shared" si="335"/>
        <v>1</v>
      </c>
    </row>
    <row r="521" spans="2:19" x14ac:dyDescent="0.15">
      <c r="B521" s="23"/>
      <c r="D521" t="s">
        <v>49</v>
      </c>
      <c r="E521" s="9" t="s">
        <v>165</v>
      </c>
      <c r="F521" s="14" t="s">
        <v>15</v>
      </c>
      <c r="G521">
        <v>16</v>
      </c>
      <c r="H521" s="7">
        <v>0</v>
      </c>
      <c r="I521" s="1" t="str">
        <f t="shared" si="330"/>
        <v>0100</v>
      </c>
      <c r="J521" t="str">
        <f t="shared" si="331"/>
        <v>0</v>
      </c>
      <c r="K521">
        <f t="shared" si="332"/>
        <v>0</v>
      </c>
      <c r="M521" s="21" t="s">
        <v>166</v>
      </c>
      <c r="N521" s="26" t="s">
        <v>14</v>
      </c>
      <c r="O521">
        <v>0</v>
      </c>
      <c r="Q521" s="1" t="b">
        <f t="shared" si="333"/>
        <v>1</v>
      </c>
      <c r="R521" t="b">
        <f t="shared" si="334"/>
        <v>1</v>
      </c>
      <c r="S521" t="b">
        <f t="shared" si="335"/>
        <v>1</v>
      </c>
    </row>
    <row r="522" spans="2:19" x14ac:dyDescent="0.15">
      <c r="B522" s="23"/>
      <c r="C522" s="2" t="s">
        <v>86</v>
      </c>
      <c r="D522" s="2" t="s">
        <v>46</v>
      </c>
      <c r="E522" s="11" t="s">
        <v>167</v>
      </c>
      <c r="F522" s="13" t="s">
        <v>15</v>
      </c>
      <c r="G522" s="2">
        <v>2</v>
      </c>
      <c r="H522" s="2">
        <v>0</v>
      </c>
      <c r="I522" s="3" t="str">
        <f t="shared" ref="I522:I524" si="336">TESTdivide(E522,F522,G522,H522)</f>
        <v>0100</v>
      </c>
      <c r="J522" s="2" t="str">
        <f t="shared" ref="J522:J524" si="337">TESTdivideByRef1(E522,F522,G522,H522)</f>
        <v>1</v>
      </c>
      <c r="K522" s="2">
        <f t="shared" ref="K522:K524" si="338">TESTdivideByRef2(E522,F522,G522,H522)</f>
        <v>0</v>
      </c>
      <c r="L522" s="2"/>
      <c r="M522" s="20" t="s">
        <v>166</v>
      </c>
      <c r="N522" s="25" t="s">
        <v>44</v>
      </c>
      <c r="O522" s="2">
        <v>0</v>
      </c>
      <c r="P522" s="2"/>
      <c r="Q522" s="3" t="b">
        <f t="shared" ref="Q522:Q524" si="339">getText(I522)=getText(M522)</f>
        <v>1</v>
      </c>
      <c r="R522" s="2" t="b">
        <f t="shared" ref="R522:R524" si="340">getText(J522)=getText(N522)</f>
        <v>1</v>
      </c>
      <c r="S522" s="2" t="b">
        <f t="shared" ref="S522:S524" si="341">getText(K522)=getText(O522)</f>
        <v>1</v>
      </c>
    </row>
    <row r="523" spans="2:19" x14ac:dyDescent="0.15">
      <c r="B523" s="23"/>
      <c r="D523" t="s">
        <v>47</v>
      </c>
      <c r="E523" s="9" t="s">
        <v>167</v>
      </c>
      <c r="F523" s="14" t="s">
        <v>15</v>
      </c>
      <c r="G523">
        <v>10</v>
      </c>
      <c r="H523" s="7">
        <v>0</v>
      </c>
      <c r="I523" s="1" t="str">
        <f t="shared" si="336"/>
        <v>0100</v>
      </c>
      <c r="J523" t="str">
        <f t="shared" si="337"/>
        <v>1</v>
      </c>
      <c r="K523">
        <f t="shared" si="338"/>
        <v>0</v>
      </c>
      <c r="M523" s="21" t="s">
        <v>166</v>
      </c>
      <c r="N523" s="26" t="s">
        <v>44</v>
      </c>
      <c r="O523">
        <v>0</v>
      </c>
      <c r="Q523" s="1" t="b">
        <f t="shared" si="339"/>
        <v>1</v>
      </c>
      <c r="R523" t="b">
        <f t="shared" si="340"/>
        <v>1</v>
      </c>
      <c r="S523" t="b">
        <f t="shared" si="341"/>
        <v>1</v>
      </c>
    </row>
    <row r="524" spans="2:19" x14ac:dyDescent="0.15">
      <c r="D524" t="s">
        <v>49</v>
      </c>
      <c r="E524" s="9" t="s">
        <v>167</v>
      </c>
      <c r="F524" s="14" t="s">
        <v>15</v>
      </c>
      <c r="G524">
        <v>16</v>
      </c>
      <c r="H524" s="7">
        <v>0</v>
      </c>
      <c r="I524" s="1" t="str">
        <f t="shared" si="336"/>
        <v>0100</v>
      </c>
      <c r="J524" t="str">
        <f t="shared" si="337"/>
        <v>1</v>
      </c>
      <c r="K524">
        <f t="shared" si="338"/>
        <v>0</v>
      </c>
      <c r="M524" s="21" t="s">
        <v>166</v>
      </c>
      <c r="N524" s="26" t="s">
        <v>44</v>
      </c>
      <c r="O524">
        <v>0</v>
      </c>
      <c r="Q524" s="1" t="b">
        <f t="shared" si="339"/>
        <v>1</v>
      </c>
      <c r="R524" t="b">
        <f t="shared" si="340"/>
        <v>1</v>
      </c>
      <c r="S524" t="b">
        <f t="shared" si="341"/>
        <v>1</v>
      </c>
    </row>
    <row r="525" spans="2:19" x14ac:dyDescent="0.15">
      <c r="C525" s="2" t="s">
        <v>96</v>
      </c>
      <c r="D525" s="2" t="s">
        <v>47</v>
      </c>
      <c r="E525" s="11" t="s">
        <v>168</v>
      </c>
      <c r="F525" s="13" t="s">
        <v>15</v>
      </c>
      <c r="G525" s="2">
        <v>10</v>
      </c>
      <c r="H525" s="24">
        <v>0</v>
      </c>
      <c r="I525" s="3" t="str">
        <f t="shared" ref="I525:I526" si="342">TESTdivide(E525,F525,G525,H525)</f>
        <v>0100</v>
      </c>
      <c r="J525" s="2" t="str">
        <f t="shared" ref="J525:J526" si="343">TESTdivideByRef1(E525,F525,G525,H525)</f>
        <v>9</v>
      </c>
      <c r="K525" s="2">
        <f t="shared" ref="K525:K526" si="344">TESTdivideByRef2(E525,F525,G525,H525)</f>
        <v>0</v>
      </c>
      <c r="L525" s="2"/>
      <c r="M525" s="20" t="s">
        <v>166</v>
      </c>
      <c r="N525" s="25" t="s">
        <v>100</v>
      </c>
      <c r="O525" s="2">
        <v>0</v>
      </c>
      <c r="P525" s="2"/>
      <c r="Q525" s="3" t="b">
        <f t="shared" ref="Q525:Q526" si="345">getText(I525)=getText(M525)</f>
        <v>1</v>
      </c>
      <c r="R525" s="2" t="b">
        <f t="shared" ref="R525:R526" si="346">getText(J525)=getText(N525)</f>
        <v>1</v>
      </c>
      <c r="S525" s="2" t="b">
        <f t="shared" ref="S525:S526" si="347">getText(K525)=getText(O525)</f>
        <v>1</v>
      </c>
    </row>
    <row r="526" spans="2:19" x14ac:dyDescent="0.15">
      <c r="D526" t="s">
        <v>49</v>
      </c>
      <c r="E526" s="9" t="s">
        <v>169</v>
      </c>
      <c r="F526" s="14" t="s">
        <v>15</v>
      </c>
      <c r="G526">
        <v>16</v>
      </c>
      <c r="H526" s="7">
        <v>0</v>
      </c>
      <c r="I526" s="1" t="str">
        <f t="shared" si="342"/>
        <v>0100</v>
      </c>
      <c r="J526" t="str">
        <f t="shared" si="343"/>
        <v>F</v>
      </c>
      <c r="K526">
        <f t="shared" si="344"/>
        <v>0</v>
      </c>
      <c r="M526" s="21" t="s">
        <v>166</v>
      </c>
      <c r="N526" s="26" t="s">
        <v>98</v>
      </c>
      <c r="O526">
        <v>0</v>
      </c>
      <c r="Q526" s="1" t="b">
        <f t="shared" si="345"/>
        <v>1</v>
      </c>
      <c r="R526" t="b">
        <f t="shared" si="346"/>
        <v>1</v>
      </c>
      <c r="S526" t="b">
        <f t="shared" si="347"/>
        <v>1</v>
      </c>
    </row>
    <row r="527" spans="2:19" x14ac:dyDescent="0.15">
      <c r="B527" s="22" t="s">
        <v>92</v>
      </c>
      <c r="C527" s="2" t="s">
        <v>85</v>
      </c>
      <c r="D527" s="2" t="s">
        <v>46</v>
      </c>
      <c r="E527" s="11" t="s">
        <v>170</v>
      </c>
      <c r="F527" s="13" t="s">
        <v>15</v>
      </c>
      <c r="G527" s="2">
        <v>2</v>
      </c>
      <c r="H527" s="2">
        <v>0</v>
      </c>
      <c r="I527" s="3" t="str">
        <f t="shared" ref="I527:I529" si="348">TESTdivide(E527,F527,G527,H527)</f>
        <v>0101</v>
      </c>
      <c r="J527" s="2" t="str">
        <f t="shared" ref="J527:J529" si="349">TESTdivideByRef1(E527,F527,G527,H527)</f>
        <v>0</v>
      </c>
      <c r="K527" s="2">
        <f t="shared" ref="K527:K529" si="350">TESTdivideByRef2(E527,F527,G527,H527)</f>
        <v>0</v>
      </c>
      <c r="L527" s="2"/>
      <c r="M527" s="20" t="s">
        <v>171</v>
      </c>
      <c r="N527" s="25" t="s">
        <v>14</v>
      </c>
      <c r="O527" s="2">
        <v>0</v>
      </c>
      <c r="P527" s="2"/>
      <c r="Q527" s="3" t="b">
        <f t="shared" ref="Q527:Q529" si="351">getText(I527)=getText(M527)</f>
        <v>1</v>
      </c>
      <c r="R527" s="2" t="b">
        <f t="shared" ref="R527:R529" si="352">getText(J527)=getText(N527)</f>
        <v>1</v>
      </c>
      <c r="S527" s="2" t="b">
        <f t="shared" ref="S527:S529" si="353">getText(K527)=getText(O527)</f>
        <v>1</v>
      </c>
    </row>
    <row r="528" spans="2:19" x14ac:dyDescent="0.15">
      <c r="B528" s="23"/>
      <c r="D528" t="s">
        <v>47</v>
      </c>
      <c r="E528" s="9" t="s">
        <v>170</v>
      </c>
      <c r="F528" s="14" t="s">
        <v>15</v>
      </c>
      <c r="G528">
        <v>10</v>
      </c>
      <c r="H528" s="7">
        <v>0</v>
      </c>
      <c r="I528" s="1" t="str">
        <f t="shared" si="348"/>
        <v>0101</v>
      </c>
      <c r="J528" t="str">
        <f t="shared" si="349"/>
        <v>0</v>
      </c>
      <c r="K528">
        <f t="shared" si="350"/>
        <v>0</v>
      </c>
      <c r="M528" s="21" t="s">
        <v>171</v>
      </c>
      <c r="N528" s="26" t="s">
        <v>14</v>
      </c>
      <c r="O528">
        <v>0</v>
      </c>
      <c r="Q528" s="1" t="b">
        <f t="shared" si="351"/>
        <v>1</v>
      </c>
      <c r="R528" t="b">
        <f t="shared" si="352"/>
        <v>1</v>
      </c>
      <c r="S528" t="b">
        <f t="shared" si="353"/>
        <v>1</v>
      </c>
    </row>
    <row r="529" spans="2:19" x14ac:dyDescent="0.15">
      <c r="B529" s="23"/>
      <c r="D529" t="s">
        <v>49</v>
      </c>
      <c r="E529" s="9" t="s">
        <v>170</v>
      </c>
      <c r="F529" s="14" t="s">
        <v>15</v>
      </c>
      <c r="G529">
        <v>16</v>
      </c>
      <c r="H529" s="7">
        <v>0</v>
      </c>
      <c r="I529" s="1" t="str">
        <f t="shared" si="348"/>
        <v>0101</v>
      </c>
      <c r="J529" t="str">
        <f t="shared" si="349"/>
        <v>0</v>
      </c>
      <c r="K529">
        <f t="shared" si="350"/>
        <v>0</v>
      </c>
      <c r="M529" s="21" t="s">
        <v>171</v>
      </c>
      <c r="N529" s="26" t="s">
        <v>14</v>
      </c>
      <c r="O529">
        <v>0</v>
      </c>
      <c r="Q529" s="1" t="b">
        <f t="shared" si="351"/>
        <v>1</v>
      </c>
      <c r="R529" t="b">
        <f t="shared" si="352"/>
        <v>1</v>
      </c>
      <c r="S529" t="b">
        <f t="shared" si="353"/>
        <v>1</v>
      </c>
    </row>
    <row r="530" spans="2:19" x14ac:dyDescent="0.15">
      <c r="B530" s="23"/>
      <c r="C530" s="2" t="s">
        <v>86</v>
      </c>
      <c r="D530" s="2" t="s">
        <v>46</v>
      </c>
      <c r="E530" s="11" t="s">
        <v>173</v>
      </c>
      <c r="F530" s="13" t="s">
        <v>15</v>
      </c>
      <c r="G530" s="2">
        <v>2</v>
      </c>
      <c r="H530" s="2">
        <v>0</v>
      </c>
      <c r="I530" s="3" t="str">
        <f t="shared" ref="I530:I532" si="354">TESTdivide(E530,F530,G530,H530)</f>
        <v>0101</v>
      </c>
      <c r="J530" s="2" t="str">
        <f t="shared" ref="J530:J532" si="355">TESTdivideByRef1(E530,F530,G530,H530)</f>
        <v>1</v>
      </c>
      <c r="K530" s="2">
        <f t="shared" ref="K530:K532" si="356">TESTdivideByRef2(E530,F530,G530,H530)</f>
        <v>0</v>
      </c>
      <c r="L530" s="2"/>
      <c r="M530" s="20" t="s">
        <v>171</v>
      </c>
      <c r="N530" s="25" t="s">
        <v>44</v>
      </c>
      <c r="O530" s="2">
        <v>0</v>
      </c>
      <c r="P530" s="2"/>
      <c r="Q530" s="3" t="b">
        <f t="shared" ref="Q530:Q532" si="357">getText(I530)=getText(M530)</f>
        <v>1</v>
      </c>
      <c r="R530" s="2" t="b">
        <f t="shared" ref="R530:R532" si="358">getText(J530)=getText(N530)</f>
        <v>1</v>
      </c>
      <c r="S530" s="2" t="b">
        <f t="shared" ref="S530:S532" si="359">getText(K530)=getText(O530)</f>
        <v>1</v>
      </c>
    </row>
    <row r="531" spans="2:19" x14ac:dyDescent="0.15">
      <c r="B531" s="23"/>
      <c r="D531" t="s">
        <v>47</v>
      </c>
      <c r="E531" s="9" t="s">
        <v>172</v>
      </c>
      <c r="F531" s="14" t="s">
        <v>15</v>
      </c>
      <c r="G531">
        <v>10</v>
      </c>
      <c r="H531" s="7">
        <v>0</v>
      </c>
      <c r="I531" s="1" t="str">
        <f t="shared" si="354"/>
        <v>0101</v>
      </c>
      <c r="J531" t="str">
        <f t="shared" si="355"/>
        <v>1</v>
      </c>
      <c r="K531">
        <f t="shared" si="356"/>
        <v>0</v>
      </c>
      <c r="M531" s="21" t="s">
        <v>171</v>
      </c>
      <c r="N531" s="26" t="s">
        <v>44</v>
      </c>
      <c r="O531">
        <v>0</v>
      </c>
      <c r="Q531" s="1" t="b">
        <f t="shared" si="357"/>
        <v>1</v>
      </c>
      <c r="R531" t="b">
        <f t="shared" si="358"/>
        <v>1</v>
      </c>
      <c r="S531" t="b">
        <f t="shared" si="359"/>
        <v>1</v>
      </c>
    </row>
    <row r="532" spans="2:19" x14ac:dyDescent="0.15">
      <c r="D532" t="s">
        <v>49</v>
      </c>
      <c r="E532" s="9" t="s">
        <v>172</v>
      </c>
      <c r="F532" s="14" t="s">
        <v>15</v>
      </c>
      <c r="G532">
        <v>16</v>
      </c>
      <c r="H532" s="7">
        <v>0</v>
      </c>
      <c r="I532" s="1" t="str">
        <f t="shared" si="354"/>
        <v>0101</v>
      </c>
      <c r="J532" t="str">
        <f t="shared" si="355"/>
        <v>1</v>
      </c>
      <c r="K532">
        <f t="shared" si="356"/>
        <v>0</v>
      </c>
      <c r="M532" s="21" t="s">
        <v>171</v>
      </c>
      <c r="N532" s="26" t="s">
        <v>44</v>
      </c>
      <c r="O532">
        <v>0</v>
      </c>
      <c r="Q532" s="1" t="b">
        <f t="shared" si="357"/>
        <v>1</v>
      </c>
      <c r="R532" t="b">
        <f t="shared" si="358"/>
        <v>1</v>
      </c>
      <c r="S532" t="b">
        <f t="shared" si="359"/>
        <v>1</v>
      </c>
    </row>
    <row r="533" spans="2:19" x14ac:dyDescent="0.15">
      <c r="C533" s="2" t="s">
        <v>96</v>
      </c>
      <c r="D533" s="2" t="s">
        <v>47</v>
      </c>
      <c r="E533" s="11" t="s">
        <v>174</v>
      </c>
      <c r="F533" s="13" t="s">
        <v>15</v>
      </c>
      <c r="G533" s="2">
        <v>10</v>
      </c>
      <c r="H533" s="24">
        <v>0</v>
      </c>
      <c r="I533" s="3" t="str">
        <f t="shared" ref="I533:I534" si="360">TESTdivide(E533,F533,G533,H533)</f>
        <v>0101</v>
      </c>
      <c r="J533" s="2" t="str">
        <f t="shared" ref="J533:J534" si="361">TESTdivideByRef1(E533,F533,G533,H533)</f>
        <v>9</v>
      </c>
      <c r="K533" s="2">
        <f t="shared" ref="K533:K534" si="362">TESTdivideByRef2(E533,F533,G533,H533)</f>
        <v>0</v>
      </c>
      <c r="L533" s="2"/>
      <c r="M533" s="20" t="s">
        <v>171</v>
      </c>
      <c r="N533" s="25" t="s">
        <v>100</v>
      </c>
      <c r="O533" s="2">
        <v>0</v>
      </c>
      <c r="P533" s="2"/>
      <c r="Q533" s="3" t="b">
        <f t="shared" ref="Q533:Q534" si="363">getText(I533)=getText(M533)</f>
        <v>1</v>
      </c>
      <c r="R533" s="2" t="b">
        <f t="shared" ref="R533:R534" si="364">getText(J533)=getText(N533)</f>
        <v>1</v>
      </c>
      <c r="S533" s="2" t="b">
        <f t="shared" ref="S533:S534" si="365">getText(K533)=getText(O533)</f>
        <v>1</v>
      </c>
    </row>
    <row r="534" spans="2:19" x14ac:dyDescent="0.15">
      <c r="D534" t="s">
        <v>49</v>
      </c>
      <c r="E534" s="9" t="s">
        <v>175</v>
      </c>
      <c r="F534" s="14" t="s">
        <v>15</v>
      </c>
      <c r="G534">
        <v>16</v>
      </c>
      <c r="H534" s="7">
        <v>0</v>
      </c>
      <c r="I534" s="1" t="str">
        <f t="shared" si="360"/>
        <v>0101</v>
      </c>
      <c r="J534" t="str">
        <f t="shared" si="361"/>
        <v>F</v>
      </c>
      <c r="K534">
        <f t="shared" si="362"/>
        <v>0</v>
      </c>
      <c r="M534" s="21" t="s">
        <v>171</v>
      </c>
      <c r="N534" s="26" t="s">
        <v>98</v>
      </c>
      <c r="O534">
        <v>0</v>
      </c>
      <c r="Q534" s="1" t="b">
        <f t="shared" si="363"/>
        <v>1</v>
      </c>
      <c r="R534" t="b">
        <f t="shared" si="364"/>
        <v>1</v>
      </c>
      <c r="S534" t="b">
        <f t="shared" si="365"/>
        <v>1</v>
      </c>
    </row>
    <row r="535" spans="2:19" x14ac:dyDescent="0.15">
      <c r="B535" s="22" t="s">
        <v>93</v>
      </c>
      <c r="C535" s="2" t="s">
        <v>85</v>
      </c>
      <c r="D535" s="2" t="s">
        <v>46</v>
      </c>
      <c r="E535" s="11" t="s">
        <v>182</v>
      </c>
      <c r="F535" s="13" t="s">
        <v>15</v>
      </c>
      <c r="G535" s="2">
        <v>2</v>
      </c>
      <c r="H535" s="2">
        <v>0</v>
      </c>
      <c r="I535" s="3" t="str">
        <f t="shared" ref="I535:I537" si="366">TESTdivide(E535,F535,G535,H535)</f>
        <v>0111</v>
      </c>
      <c r="J535" s="2" t="str">
        <f t="shared" ref="J535:J537" si="367">TESTdivideByRef1(E535,F535,G535,H535)</f>
        <v>0</v>
      </c>
      <c r="K535" s="2">
        <f t="shared" ref="K535:K537" si="368">TESTdivideByRef2(E535,F535,G535,H535)</f>
        <v>0</v>
      </c>
      <c r="L535" s="2"/>
      <c r="M535" s="20" t="s">
        <v>187</v>
      </c>
      <c r="N535" s="25" t="s">
        <v>14</v>
      </c>
      <c r="O535" s="2">
        <v>0</v>
      </c>
      <c r="P535" s="2"/>
      <c r="Q535" s="3" t="b">
        <f t="shared" ref="Q535:Q537" si="369">getText(I535)=getText(M535)</f>
        <v>1</v>
      </c>
      <c r="R535" s="2" t="b">
        <f t="shared" ref="R535:R537" si="370">getText(J535)=getText(N535)</f>
        <v>1</v>
      </c>
      <c r="S535" s="2" t="b">
        <f t="shared" ref="S535:S537" si="371">getText(K535)=getText(O535)</f>
        <v>1</v>
      </c>
    </row>
    <row r="536" spans="2:19" x14ac:dyDescent="0.15">
      <c r="B536" s="23"/>
      <c r="D536" t="s">
        <v>47</v>
      </c>
      <c r="E536" s="9" t="s">
        <v>182</v>
      </c>
      <c r="F536" s="14" t="s">
        <v>15</v>
      </c>
      <c r="G536">
        <v>10</v>
      </c>
      <c r="H536" s="7">
        <v>0</v>
      </c>
      <c r="I536" s="1" t="str">
        <f t="shared" si="366"/>
        <v>0111</v>
      </c>
      <c r="J536" t="str">
        <f t="shared" si="367"/>
        <v>0</v>
      </c>
      <c r="K536">
        <f t="shared" si="368"/>
        <v>0</v>
      </c>
      <c r="M536" s="21" t="s">
        <v>187</v>
      </c>
      <c r="N536" s="26" t="s">
        <v>14</v>
      </c>
      <c r="O536">
        <v>0</v>
      </c>
      <c r="Q536" s="1" t="b">
        <f t="shared" si="369"/>
        <v>1</v>
      </c>
      <c r="R536" t="b">
        <f t="shared" si="370"/>
        <v>1</v>
      </c>
      <c r="S536" t="b">
        <f t="shared" si="371"/>
        <v>1</v>
      </c>
    </row>
    <row r="537" spans="2:19" x14ac:dyDescent="0.15">
      <c r="B537" s="23"/>
      <c r="D537" t="s">
        <v>49</v>
      </c>
      <c r="E537" s="9" t="s">
        <v>183</v>
      </c>
      <c r="F537" s="14" t="s">
        <v>15</v>
      </c>
      <c r="G537">
        <v>16</v>
      </c>
      <c r="H537" s="7">
        <v>0</v>
      </c>
      <c r="I537" s="1" t="str">
        <f t="shared" si="366"/>
        <v>0111</v>
      </c>
      <c r="J537" t="str">
        <f t="shared" si="367"/>
        <v>0</v>
      </c>
      <c r="K537">
        <f t="shared" si="368"/>
        <v>0</v>
      </c>
      <c r="M537" s="21" t="s">
        <v>187</v>
      </c>
      <c r="N537" s="26" t="s">
        <v>14</v>
      </c>
      <c r="O537">
        <v>0</v>
      </c>
      <c r="Q537" s="1" t="b">
        <f t="shared" si="369"/>
        <v>1</v>
      </c>
      <c r="R537" t="b">
        <f t="shared" si="370"/>
        <v>1</v>
      </c>
      <c r="S537" t="b">
        <f t="shared" si="371"/>
        <v>1</v>
      </c>
    </row>
    <row r="538" spans="2:19" x14ac:dyDescent="0.15">
      <c r="B538" s="23"/>
      <c r="C538" s="2" t="s">
        <v>86</v>
      </c>
      <c r="D538" s="2" t="s">
        <v>46</v>
      </c>
      <c r="E538" s="11" t="s">
        <v>181</v>
      </c>
      <c r="F538" s="13" t="s">
        <v>15</v>
      </c>
      <c r="G538" s="2">
        <v>2</v>
      </c>
      <c r="H538" s="2">
        <v>0</v>
      </c>
      <c r="I538" s="3" t="str">
        <f t="shared" ref="I538:I545" si="372">TESTdivide(E538,F538,G538,H538)</f>
        <v>0111</v>
      </c>
      <c r="J538" s="2" t="str">
        <f t="shared" ref="J538:J545" si="373">TESTdivideByRef1(E538,F538,G538,H538)</f>
        <v>1</v>
      </c>
      <c r="K538" s="2">
        <f t="shared" ref="K538:K545" si="374">TESTdivideByRef2(E538,F538,G538,H538)</f>
        <v>0</v>
      </c>
      <c r="L538" s="2"/>
      <c r="M538" s="20" t="s">
        <v>187</v>
      </c>
      <c r="N538" s="25" t="s">
        <v>44</v>
      </c>
      <c r="O538" s="2">
        <v>0</v>
      </c>
      <c r="P538" s="2"/>
      <c r="Q538" s="3" t="b">
        <f t="shared" ref="Q538:Q545" si="375">getText(I538)=getText(M538)</f>
        <v>1</v>
      </c>
      <c r="R538" s="2" t="b">
        <f t="shared" ref="R538:R545" si="376">getText(J538)=getText(N538)</f>
        <v>1</v>
      </c>
      <c r="S538" s="2" t="b">
        <f t="shared" ref="S538:S545" si="377">getText(K538)=getText(O538)</f>
        <v>1</v>
      </c>
    </row>
    <row r="539" spans="2:19" x14ac:dyDescent="0.15">
      <c r="B539" s="23"/>
      <c r="D539" t="s">
        <v>47</v>
      </c>
      <c r="E539" s="9" t="s">
        <v>181</v>
      </c>
      <c r="F539" s="14" t="s">
        <v>15</v>
      </c>
      <c r="G539">
        <v>10</v>
      </c>
      <c r="H539" s="7">
        <v>0</v>
      </c>
      <c r="I539" s="1" t="str">
        <f t="shared" si="372"/>
        <v>0111</v>
      </c>
      <c r="J539" t="str">
        <f t="shared" si="373"/>
        <v>1</v>
      </c>
      <c r="K539">
        <f t="shared" si="374"/>
        <v>0</v>
      </c>
      <c r="M539" s="21" t="s">
        <v>187</v>
      </c>
      <c r="N539" s="26" t="s">
        <v>44</v>
      </c>
      <c r="O539">
        <v>0</v>
      </c>
      <c r="Q539" s="1" t="b">
        <f t="shared" si="375"/>
        <v>1</v>
      </c>
      <c r="R539" t="b">
        <f t="shared" si="376"/>
        <v>1</v>
      </c>
      <c r="S539" t="b">
        <f t="shared" si="377"/>
        <v>1</v>
      </c>
    </row>
    <row r="540" spans="2:19" x14ac:dyDescent="0.15">
      <c r="D540" t="s">
        <v>49</v>
      </c>
      <c r="E540" s="9" t="s">
        <v>185</v>
      </c>
      <c r="F540" s="14" t="s">
        <v>15</v>
      </c>
      <c r="G540">
        <v>16</v>
      </c>
      <c r="H540" s="7">
        <v>0</v>
      </c>
      <c r="I540" s="1" t="str">
        <f t="shared" si="372"/>
        <v>0111</v>
      </c>
      <c r="J540" t="str">
        <f t="shared" si="373"/>
        <v>1</v>
      </c>
      <c r="K540">
        <f t="shared" si="374"/>
        <v>0</v>
      </c>
      <c r="M540" s="21" t="s">
        <v>187</v>
      </c>
      <c r="N540" s="26" t="s">
        <v>44</v>
      </c>
      <c r="O540">
        <v>0</v>
      </c>
      <c r="Q540" s="1" t="b">
        <f t="shared" si="375"/>
        <v>1</v>
      </c>
      <c r="R540" t="b">
        <f t="shared" si="376"/>
        <v>1</v>
      </c>
      <c r="S540" t="b">
        <f t="shared" si="377"/>
        <v>1</v>
      </c>
    </row>
    <row r="541" spans="2:19" x14ac:dyDescent="0.15">
      <c r="C541" s="2" t="s">
        <v>96</v>
      </c>
      <c r="D541" s="2" t="s">
        <v>47</v>
      </c>
      <c r="E541" s="11" t="s">
        <v>184</v>
      </c>
      <c r="F541" s="13" t="s">
        <v>15</v>
      </c>
      <c r="G541" s="2">
        <v>10</v>
      </c>
      <c r="H541" s="24">
        <v>0</v>
      </c>
      <c r="I541" s="3" t="str">
        <f t="shared" si="372"/>
        <v>0111</v>
      </c>
      <c r="J541" s="2" t="str">
        <f t="shared" si="373"/>
        <v>9</v>
      </c>
      <c r="K541" s="2">
        <f t="shared" si="374"/>
        <v>0</v>
      </c>
      <c r="L541" s="2"/>
      <c r="M541" s="20" t="s">
        <v>187</v>
      </c>
      <c r="N541" s="25" t="s">
        <v>100</v>
      </c>
      <c r="O541" s="2">
        <v>0</v>
      </c>
      <c r="P541" s="2"/>
      <c r="Q541" s="3" t="b">
        <f t="shared" si="375"/>
        <v>1</v>
      </c>
      <c r="R541" s="2" t="b">
        <f t="shared" si="376"/>
        <v>1</v>
      </c>
      <c r="S541" s="2" t="b">
        <f t="shared" si="377"/>
        <v>1</v>
      </c>
    </row>
    <row r="542" spans="2:19" x14ac:dyDescent="0.15">
      <c r="D542" t="s">
        <v>49</v>
      </c>
      <c r="E542" s="9" t="s">
        <v>186</v>
      </c>
      <c r="F542" s="14" t="s">
        <v>15</v>
      </c>
      <c r="G542">
        <v>16</v>
      </c>
      <c r="H542" s="7">
        <v>0</v>
      </c>
      <c r="I542" s="1" t="str">
        <f t="shared" si="372"/>
        <v>0111</v>
      </c>
      <c r="J542" t="str">
        <f t="shared" si="373"/>
        <v>F</v>
      </c>
      <c r="K542">
        <f t="shared" si="374"/>
        <v>0</v>
      </c>
      <c r="M542" s="21" t="s">
        <v>187</v>
      </c>
      <c r="N542" s="26" t="s">
        <v>98</v>
      </c>
      <c r="O542">
        <v>0</v>
      </c>
      <c r="Q542" s="1" t="b">
        <f t="shared" si="375"/>
        <v>1</v>
      </c>
      <c r="R542" t="b">
        <f t="shared" si="376"/>
        <v>1</v>
      </c>
      <c r="S542" t="b">
        <f t="shared" si="377"/>
        <v>1</v>
      </c>
    </row>
    <row r="543" spans="2:19" x14ac:dyDescent="0.15">
      <c r="B543" s="22" t="s">
        <v>94</v>
      </c>
      <c r="C543" s="2" t="s">
        <v>85</v>
      </c>
      <c r="D543" s="2" t="s">
        <v>46</v>
      </c>
      <c r="E543" s="11" t="s">
        <v>176</v>
      </c>
      <c r="F543" s="13" t="s">
        <v>15</v>
      </c>
      <c r="G543" s="2">
        <v>2</v>
      </c>
      <c r="H543" s="2">
        <v>0</v>
      </c>
      <c r="I543" s="3" t="str">
        <f t="shared" si="372"/>
        <v>01000</v>
      </c>
      <c r="J543" s="2" t="str">
        <f t="shared" si="373"/>
        <v>0</v>
      </c>
      <c r="K543" s="2">
        <f t="shared" si="374"/>
        <v>0</v>
      </c>
      <c r="L543" s="2"/>
      <c r="M543" s="20" t="s">
        <v>177</v>
      </c>
      <c r="N543" s="25" t="s">
        <v>14</v>
      </c>
      <c r="O543" s="2">
        <v>0</v>
      </c>
      <c r="P543" s="2"/>
      <c r="Q543" s="3" t="b">
        <f t="shared" si="375"/>
        <v>1</v>
      </c>
      <c r="R543" s="2" t="b">
        <f t="shared" si="376"/>
        <v>1</v>
      </c>
      <c r="S543" s="2" t="b">
        <f t="shared" si="377"/>
        <v>1</v>
      </c>
    </row>
    <row r="544" spans="2:19" x14ac:dyDescent="0.15">
      <c r="B544" s="23"/>
      <c r="D544" t="s">
        <v>47</v>
      </c>
      <c r="E544" s="9" t="s">
        <v>176</v>
      </c>
      <c r="F544" s="14" t="s">
        <v>15</v>
      </c>
      <c r="G544">
        <v>10</v>
      </c>
      <c r="H544" s="7">
        <v>0</v>
      </c>
      <c r="I544" s="1" t="str">
        <f t="shared" si="372"/>
        <v>01000</v>
      </c>
      <c r="J544" t="str">
        <f t="shared" si="373"/>
        <v>0</v>
      </c>
      <c r="K544">
        <f t="shared" si="374"/>
        <v>0</v>
      </c>
      <c r="M544" s="21" t="s">
        <v>177</v>
      </c>
      <c r="N544" s="26" t="s">
        <v>14</v>
      </c>
      <c r="O544">
        <v>0</v>
      </c>
      <c r="Q544" s="1" t="b">
        <f t="shared" si="375"/>
        <v>1</v>
      </c>
      <c r="R544" t="b">
        <f t="shared" si="376"/>
        <v>1</v>
      </c>
      <c r="S544" t="b">
        <f t="shared" si="377"/>
        <v>1</v>
      </c>
    </row>
    <row r="545" spans="2:19" x14ac:dyDescent="0.15">
      <c r="B545" s="23"/>
      <c r="D545" t="s">
        <v>49</v>
      </c>
      <c r="E545" s="9" t="s">
        <v>176</v>
      </c>
      <c r="F545" s="14" t="s">
        <v>15</v>
      </c>
      <c r="G545">
        <v>16</v>
      </c>
      <c r="H545" s="7">
        <v>0</v>
      </c>
      <c r="I545" s="1" t="str">
        <f t="shared" si="372"/>
        <v>01000</v>
      </c>
      <c r="J545" t="str">
        <f t="shared" si="373"/>
        <v>0</v>
      </c>
      <c r="K545">
        <f t="shared" si="374"/>
        <v>0</v>
      </c>
      <c r="M545" s="21" t="s">
        <v>177</v>
      </c>
      <c r="N545" s="26" t="s">
        <v>14</v>
      </c>
      <c r="O545">
        <v>0</v>
      </c>
      <c r="Q545" s="1" t="b">
        <f t="shared" si="375"/>
        <v>1</v>
      </c>
      <c r="R545" t="b">
        <f t="shared" si="376"/>
        <v>1</v>
      </c>
      <c r="S545" t="b">
        <f t="shared" si="377"/>
        <v>1</v>
      </c>
    </row>
    <row r="546" spans="2:19" x14ac:dyDescent="0.15">
      <c r="B546" s="23"/>
      <c r="C546" s="2" t="s">
        <v>86</v>
      </c>
      <c r="D546" s="2" t="s">
        <v>46</v>
      </c>
      <c r="E546" s="11" t="s">
        <v>178</v>
      </c>
      <c r="F546" s="13" t="s">
        <v>15</v>
      </c>
      <c r="G546" s="2">
        <v>2</v>
      </c>
      <c r="H546" s="2">
        <v>0</v>
      </c>
      <c r="I546" s="3" t="str">
        <f t="shared" ref="I546:I550" si="378">TESTdivide(E546,F546,G546,H546)</f>
        <v>01000</v>
      </c>
      <c r="J546" s="2" t="str">
        <f t="shared" ref="J546:J550" si="379">TESTdivideByRef1(E546,F546,G546,H546)</f>
        <v>1</v>
      </c>
      <c r="K546" s="2">
        <f t="shared" ref="K546:K550" si="380">TESTdivideByRef2(E546,F546,G546,H546)</f>
        <v>0</v>
      </c>
      <c r="L546" s="2"/>
      <c r="M546" s="20" t="s">
        <v>177</v>
      </c>
      <c r="N546" s="25" t="s">
        <v>44</v>
      </c>
      <c r="O546" s="2">
        <v>0</v>
      </c>
      <c r="P546" s="2"/>
      <c r="Q546" s="3" t="b">
        <f t="shared" ref="Q546:Q550" si="381">getText(I546)=getText(M546)</f>
        <v>1</v>
      </c>
      <c r="R546" s="2" t="b">
        <f t="shared" ref="R546:R550" si="382">getText(J546)=getText(N546)</f>
        <v>1</v>
      </c>
      <c r="S546" s="2" t="b">
        <f t="shared" ref="S546:S550" si="383">getText(K546)=getText(O546)</f>
        <v>1</v>
      </c>
    </row>
    <row r="547" spans="2:19" x14ac:dyDescent="0.15">
      <c r="B547" s="23"/>
      <c r="D547" t="s">
        <v>47</v>
      </c>
      <c r="E547" s="9" t="s">
        <v>16</v>
      </c>
      <c r="F547" s="14" t="s">
        <v>15</v>
      </c>
      <c r="G547">
        <v>10</v>
      </c>
      <c r="H547" s="7">
        <v>0</v>
      </c>
      <c r="I547" s="1" t="str">
        <f t="shared" si="378"/>
        <v>01000</v>
      </c>
      <c r="J547" t="str">
        <f t="shared" si="379"/>
        <v>1</v>
      </c>
      <c r="K547">
        <f t="shared" si="380"/>
        <v>0</v>
      </c>
      <c r="M547" s="21" t="s">
        <v>177</v>
      </c>
      <c r="N547" s="26" t="s">
        <v>44</v>
      </c>
      <c r="O547">
        <v>0</v>
      </c>
      <c r="Q547" s="1" t="b">
        <f t="shared" si="381"/>
        <v>1</v>
      </c>
      <c r="R547" t="b">
        <f t="shared" si="382"/>
        <v>1</v>
      </c>
      <c r="S547" t="b">
        <f t="shared" si="383"/>
        <v>1</v>
      </c>
    </row>
    <row r="548" spans="2:19" x14ac:dyDescent="0.15">
      <c r="D548" t="s">
        <v>49</v>
      </c>
      <c r="E548" s="9" t="s">
        <v>16</v>
      </c>
      <c r="F548" s="14" t="s">
        <v>15</v>
      </c>
      <c r="G548">
        <v>16</v>
      </c>
      <c r="H548" s="7">
        <v>0</v>
      </c>
      <c r="I548" s="1" t="str">
        <f t="shared" si="378"/>
        <v>01000</v>
      </c>
      <c r="J548" t="str">
        <f t="shared" si="379"/>
        <v>1</v>
      </c>
      <c r="K548">
        <f t="shared" si="380"/>
        <v>0</v>
      </c>
      <c r="M548" s="21" t="s">
        <v>177</v>
      </c>
      <c r="N548" s="26" t="s">
        <v>44</v>
      </c>
      <c r="O548">
        <v>0</v>
      </c>
      <c r="Q548" s="1" t="b">
        <f t="shared" si="381"/>
        <v>1</v>
      </c>
      <c r="R548" t="b">
        <f t="shared" si="382"/>
        <v>1</v>
      </c>
      <c r="S548" t="b">
        <f t="shared" si="383"/>
        <v>1</v>
      </c>
    </row>
    <row r="549" spans="2:19" x14ac:dyDescent="0.15">
      <c r="C549" s="2" t="s">
        <v>96</v>
      </c>
      <c r="D549" s="2" t="s">
        <v>47</v>
      </c>
      <c r="E549" s="11" t="s">
        <v>179</v>
      </c>
      <c r="F549" s="13" t="s">
        <v>15</v>
      </c>
      <c r="G549" s="2">
        <v>10</v>
      </c>
      <c r="H549" s="24">
        <v>0</v>
      </c>
      <c r="I549" s="3" t="str">
        <f t="shared" si="378"/>
        <v>01000</v>
      </c>
      <c r="J549" s="2" t="str">
        <f t="shared" si="379"/>
        <v>9</v>
      </c>
      <c r="K549" s="2">
        <f t="shared" si="380"/>
        <v>0</v>
      </c>
      <c r="L549" s="2"/>
      <c r="M549" s="20" t="s">
        <v>177</v>
      </c>
      <c r="N549" s="25" t="s">
        <v>100</v>
      </c>
      <c r="O549" s="2">
        <v>0</v>
      </c>
      <c r="P549" s="2"/>
      <c r="Q549" s="3" t="b">
        <f t="shared" si="381"/>
        <v>1</v>
      </c>
      <c r="R549" s="2" t="b">
        <f t="shared" si="382"/>
        <v>1</v>
      </c>
      <c r="S549" s="2" t="b">
        <f t="shared" si="383"/>
        <v>1</v>
      </c>
    </row>
    <row r="550" spans="2:19" x14ac:dyDescent="0.15">
      <c r="D550" t="s">
        <v>49</v>
      </c>
      <c r="E550" s="9" t="s">
        <v>180</v>
      </c>
      <c r="F550" s="14" t="s">
        <v>15</v>
      </c>
      <c r="G550">
        <v>16</v>
      </c>
      <c r="H550" s="7">
        <v>0</v>
      </c>
      <c r="I550" s="1" t="str">
        <f t="shared" si="378"/>
        <v>01000</v>
      </c>
      <c r="J550" t="str">
        <f t="shared" si="379"/>
        <v>F</v>
      </c>
      <c r="K550">
        <f t="shared" si="380"/>
        <v>0</v>
      </c>
      <c r="M550" s="21" t="s">
        <v>177</v>
      </c>
      <c r="N550" s="26" t="s">
        <v>98</v>
      </c>
      <c r="O550">
        <v>0</v>
      </c>
      <c r="Q550" s="1" t="b">
        <f t="shared" si="381"/>
        <v>1</v>
      </c>
      <c r="R550" t="b">
        <f t="shared" si="382"/>
        <v>1</v>
      </c>
      <c r="S550" t="b">
        <f t="shared" si="383"/>
        <v>1</v>
      </c>
    </row>
    <row r="551" spans="2:19" x14ac:dyDescent="0.15">
      <c r="B551" s="22" t="s">
        <v>95</v>
      </c>
      <c r="C551" s="2" t="s">
        <v>85</v>
      </c>
      <c r="D551" s="2" t="s">
        <v>46</v>
      </c>
      <c r="E551" s="11" t="s">
        <v>188</v>
      </c>
      <c r="F551" s="13" t="s">
        <v>15</v>
      </c>
      <c r="G551" s="2">
        <v>2</v>
      </c>
      <c r="H551" s="2">
        <v>0</v>
      </c>
      <c r="I551" s="3" t="str">
        <f t="shared" ref="I551:I558" si="384">TESTdivide(E551,F551,G551,H551)</f>
        <v>01001</v>
      </c>
      <c r="J551" s="2" t="str">
        <f t="shared" ref="J551:J558" si="385">TESTdivideByRef1(E551,F551,G551,H551)</f>
        <v>0</v>
      </c>
      <c r="K551" s="2">
        <f t="shared" ref="K551:K558" si="386">TESTdivideByRef2(E551,F551,G551,H551)</f>
        <v>0</v>
      </c>
      <c r="L551" s="2"/>
      <c r="M551" s="20" t="s">
        <v>189</v>
      </c>
      <c r="N551" s="25" t="s">
        <v>14</v>
      </c>
      <c r="O551" s="2">
        <v>0</v>
      </c>
      <c r="P551" s="2"/>
      <c r="Q551" s="3" t="b">
        <f t="shared" ref="Q551:Q558" si="387">getText(I551)=getText(M551)</f>
        <v>1</v>
      </c>
      <c r="R551" s="2" t="b">
        <f t="shared" ref="R551:R558" si="388">getText(J551)=getText(N551)</f>
        <v>1</v>
      </c>
      <c r="S551" s="2" t="b">
        <f t="shared" ref="S551:S558" si="389">getText(K551)=getText(O551)</f>
        <v>1</v>
      </c>
    </row>
    <row r="552" spans="2:19" x14ac:dyDescent="0.15">
      <c r="B552" s="23"/>
      <c r="D552" t="s">
        <v>47</v>
      </c>
      <c r="E552" s="9" t="s">
        <v>188</v>
      </c>
      <c r="F552" s="14" t="s">
        <v>15</v>
      </c>
      <c r="G552">
        <v>10</v>
      </c>
      <c r="H552" s="7">
        <v>0</v>
      </c>
      <c r="I552" s="1" t="str">
        <f t="shared" si="384"/>
        <v>01001</v>
      </c>
      <c r="J552" t="str">
        <f t="shared" si="385"/>
        <v>0</v>
      </c>
      <c r="K552">
        <f t="shared" si="386"/>
        <v>0</v>
      </c>
      <c r="M552" s="21" t="s">
        <v>189</v>
      </c>
      <c r="N552" s="26" t="s">
        <v>14</v>
      </c>
      <c r="O552">
        <v>0</v>
      </c>
      <c r="Q552" s="1" t="b">
        <f t="shared" si="387"/>
        <v>1</v>
      </c>
      <c r="R552" t="b">
        <f t="shared" si="388"/>
        <v>1</v>
      </c>
      <c r="S552" t="b">
        <f t="shared" si="389"/>
        <v>1</v>
      </c>
    </row>
    <row r="553" spans="2:19" x14ac:dyDescent="0.15">
      <c r="B553" s="23"/>
      <c r="D553" t="s">
        <v>49</v>
      </c>
      <c r="E553" s="9" t="s">
        <v>188</v>
      </c>
      <c r="F553" s="14" t="s">
        <v>15</v>
      </c>
      <c r="G553">
        <v>16</v>
      </c>
      <c r="H553" s="7">
        <v>0</v>
      </c>
      <c r="I553" s="1" t="str">
        <f t="shared" si="384"/>
        <v>01001</v>
      </c>
      <c r="J553" t="str">
        <f t="shared" si="385"/>
        <v>0</v>
      </c>
      <c r="K553">
        <f t="shared" si="386"/>
        <v>0</v>
      </c>
      <c r="M553" s="21" t="s">
        <v>189</v>
      </c>
      <c r="N553" s="26" t="s">
        <v>14</v>
      </c>
      <c r="O553">
        <v>0</v>
      </c>
      <c r="Q553" s="1" t="b">
        <f t="shared" si="387"/>
        <v>1</v>
      </c>
      <c r="R553" t="b">
        <f t="shared" si="388"/>
        <v>1</v>
      </c>
      <c r="S553" t="b">
        <f t="shared" si="389"/>
        <v>1</v>
      </c>
    </row>
    <row r="554" spans="2:19" x14ac:dyDescent="0.15">
      <c r="B554" s="23"/>
      <c r="C554" s="2" t="s">
        <v>86</v>
      </c>
      <c r="D554" s="2" t="s">
        <v>46</v>
      </c>
      <c r="E554" s="11" t="s">
        <v>190</v>
      </c>
      <c r="F554" s="13" t="s">
        <v>15</v>
      </c>
      <c r="G554" s="2">
        <v>2</v>
      </c>
      <c r="H554" s="2">
        <v>0</v>
      </c>
      <c r="I554" s="3" t="str">
        <f t="shared" si="384"/>
        <v>01001</v>
      </c>
      <c r="J554" s="2" t="str">
        <f t="shared" si="385"/>
        <v>1</v>
      </c>
      <c r="K554" s="2">
        <f t="shared" si="386"/>
        <v>0</v>
      </c>
      <c r="L554" s="2"/>
      <c r="M554" s="20" t="s">
        <v>189</v>
      </c>
      <c r="N554" s="25" t="s">
        <v>44</v>
      </c>
      <c r="O554" s="2">
        <v>0</v>
      </c>
      <c r="P554" s="2"/>
      <c r="Q554" s="3" t="b">
        <f t="shared" si="387"/>
        <v>1</v>
      </c>
      <c r="R554" s="2" t="b">
        <f t="shared" si="388"/>
        <v>1</v>
      </c>
      <c r="S554" s="2" t="b">
        <f t="shared" si="389"/>
        <v>1</v>
      </c>
    </row>
    <row r="555" spans="2:19" x14ac:dyDescent="0.15">
      <c r="B555" s="23"/>
      <c r="D555" t="s">
        <v>47</v>
      </c>
      <c r="E555" s="9" t="s">
        <v>190</v>
      </c>
      <c r="F555" s="14" t="s">
        <v>15</v>
      </c>
      <c r="G555">
        <v>10</v>
      </c>
      <c r="H555" s="7">
        <v>0</v>
      </c>
      <c r="I555" s="1" t="str">
        <f t="shared" si="384"/>
        <v>01001</v>
      </c>
      <c r="J555" t="str">
        <f t="shared" si="385"/>
        <v>1</v>
      </c>
      <c r="K555">
        <f t="shared" si="386"/>
        <v>0</v>
      </c>
      <c r="M555" s="21" t="s">
        <v>189</v>
      </c>
      <c r="N555" s="26" t="s">
        <v>44</v>
      </c>
      <c r="O555">
        <v>0</v>
      </c>
      <c r="Q555" s="1" t="b">
        <f t="shared" si="387"/>
        <v>1</v>
      </c>
      <c r="R555" t="b">
        <f t="shared" si="388"/>
        <v>1</v>
      </c>
      <c r="S555" t="b">
        <f t="shared" si="389"/>
        <v>1</v>
      </c>
    </row>
    <row r="556" spans="2:19" x14ac:dyDescent="0.15">
      <c r="D556" t="s">
        <v>49</v>
      </c>
      <c r="E556" s="9" t="s">
        <v>190</v>
      </c>
      <c r="F556" s="14" t="s">
        <v>15</v>
      </c>
      <c r="G556">
        <v>16</v>
      </c>
      <c r="H556" s="7">
        <v>0</v>
      </c>
      <c r="I556" s="1" t="str">
        <f t="shared" si="384"/>
        <v>01001</v>
      </c>
      <c r="J556" t="str">
        <f t="shared" si="385"/>
        <v>1</v>
      </c>
      <c r="K556">
        <f t="shared" si="386"/>
        <v>0</v>
      </c>
      <c r="M556" s="21" t="s">
        <v>189</v>
      </c>
      <c r="N556" s="26" t="s">
        <v>44</v>
      </c>
      <c r="O556">
        <v>0</v>
      </c>
      <c r="Q556" s="1" t="b">
        <f t="shared" si="387"/>
        <v>1</v>
      </c>
      <c r="R556" t="b">
        <f t="shared" si="388"/>
        <v>1</v>
      </c>
      <c r="S556" t="b">
        <f t="shared" si="389"/>
        <v>1</v>
      </c>
    </row>
    <row r="557" spans="2:19" x14ac:dyDescent="0.15">
      <c r="C557" s="2" t="s">
        <v>96</v>
      </c>
      <c r="D557" s="2" t="s">
        <v>47</v>
      </c>
      <c r="E557" s="11" t="s">
        <v>191</v>
      </c>
      <c r="F557" s="13" t="s">
        <v>15</v>
      </c>
      <c r="G557" s="2">
        <v>10</v>
      </c>
      <c r="H557" s="24">
        <v>0</v>
      </c>
      <c r="I557" s="3" t="str">
        <f t="shared" si="384"/>
        <v>01001</v>
      </c>
      <c r="J557" s="2" t="str">
        <f t="shared" si="385"/>
        <v>9</v>
      </c>
      <c r="K557" s="2">
        <f t="shared" si="386"/>
        <v>0</v>
      </c>
      <c r="L557" s="2"/>
      <c r="M557" s="20" t="s">
        <v>189</v>
      </c>
      <c r="N557" s="25" t="s">
        <v>100</v>
      </c>
      <c r="O557" s="2">
        <v>0</v>
      </c>
      <c r="P557" s="2"/>
      <c r="Q557" s="3" t="b">
        <f t="shared" si="387"/>
        <v>1</v>
      </c>
      <c r="R557" s="2" t="b">
        <f t="shared" si="388"/>
        <v>1</v>
      </c>
      <c r="S557" s="2" t="b">
        <f t="shared" si="389"/>
        <v>1</v>
      </c>
    </row>
    <row r="558" spans="2:19" x14ac:dyDescent="0.15">
      <c r="D558" t="s">
        <v>49</v>
      </c>
      <c r="E558" s="9" t="s">
        <v>192</v>
      </c>
      <c r="F558" s="14" t="s">
        <v>15</v>
      </c>
      <c r="G558">
        <v>16</v>
      </c>
      <c r="H558" s="7">
        <v>0</v>
      </c>
      <c r="I558" s="1" t="str">
        <f t="shared" si="384"/>
        <v>01001</v>
      </c>
      <c r="J558" t="str">
        <f t="shared" si="385"/>
        <v>F</v>
      </c>
      <c r="K558">
        <f t="shared" si="386"/>
        <v>0</v>
      </c>
      <c r="M558" s="21" t="s">
        <v>189</v>
      </c>
      <c r="N558" s="26" t="s">
        <v>98</v>
      </c>
      <c r="O558">
        <v>0</v>
      </c>
      <c r="Q558" s="1" t="b">
        <f t="shared" si="387"/>
        <v>1</v>
      </c>
      <c r="R558" t="b">
        <f t="shared" si="388"/>
        <v>1</v>
      </c>
      <c r="S558" t="b">
        <f t="shared" si="389"/>
        <v>1</v>
      </c>
    </row>
    <row r="559" spans="2:19" x14ac:dyDescent="0.15">
      <c r="B559" s="2" t="s">
        <v>75</v>
      </c>
      <c r="C559" s="2" t="s">
        <v>209</v>
      </c>
      <c r="D559" s="2" t="s">
        <v>46</v>
      </c>
      <c r="E559" s="11" t="s">
        <v>113</v>
      </c>
      <c r="F559" s="13" t="s">
        <v>114</v>
      </c>
      <c r="G559" s="2">
        <v>2</v>
      </c>
      <c r="H559" s="2">
        <v>-1</v>
      </c>
      <c r="I559" s="3" t="str">
        <f>TESTdivide(E559,F559,G559,H559)</f>
        <v>00</v>
      </c>
      <c r="J559" s="2" t="str">
        <f>TESTdivideByRef1(E559,F559,G559,H559)</f>
        <v>10</v>
      </c>
      <c r="K559" s="2">
        <f>TESTdivideByRef2(E559,F559,G559,H559)</f>
        <v>0</v>
      </c>
      <c r="L559" s="2"/>
      <c r="M559" s="3" t="s">
        <v>97</v>
      </c>
      <c r="N559" s="2" t="s">
        <v>15</v>
      </c>
      <c r="O559" s="2">
        <v>0</v>
      </c>
      <c r="P559" s="2"/>
      <c r="Q559" s="3" t="b">
        <f t="shared" ref="Q559:Q561" si="390">getText(I559)=getText(M559)</f>
        <v>1</v>
      </c>
      <c r="R559" s="2" t="b">
        <f t="shared" ref="R559:R561" si="391">getText(J559)=getText(N559)</f>
        <v>1</v>
      </c>
      <c r="S559" s="2" t="b">
        <f t="shared" ref="S559:S561" si="392">getText(K559)=getText(O559)</f>
        <v>1</v>
      </c>
    </row>
    <row r="560" spans="2:19" x14ac:dyDescent="0.15">
      <c r="D560" t="s">
        <v>47</v>
      </c>
      <c r="E560" s="9" t="s">
        <v>111</v>
      </c>
      <c r="F560" s="17" t="s">
        <v>195</v>
      </c>
      <c r="G560">
        <v>10</v>
      </c>
      <c r="H560" s="7">
        <v>-1</v>
      </c>
      <c r="I560" s="1" t="str">
        <f>TESTdivide(E560,F560,G560,H560)</f>
        <v>0</v>
      </c>
      <c r="J560" t="str">
        <f>TESTdivideByRef1(E560,F560,G560,H560)</f>
        <v>1</v>
      </c>
      <c r="K560">
        <f>TESTdivideByRef2(E560,F560,G560,H560)</f>
        <v>0</v>
      </c>
      <c r="M560" s="1" t="s">
        <v>14</v>
      </c>
      <c r="N560" t="s">
        <v>44</v>
      </c>
      <c r="O560">
        <v>0</v>
      </c>
      <c r="Q560" s="1" t="b">
        <f t="shared" si="390"/>
        <v>1</v>
      </c>
      <c r="R560" t="b">
        <f t="shared" si="391"/>
        <v>1</v>
      </c>
      <c r="S560" t="b">
        <f t="shared" si="392"/>
        <v>1</v>
      </c>
    </row>
    <row r="561" spans="1:19" x14ac:dyDescent="0.15">
      <c r="D561" t="s">
        <v>48</v>
      </c>
      <c r="E561" s="9" t="s">
        <v>82</v>
      </c>
      <c r="F561" s="17" t="s">
        <v>98</v>
      </c>
      <c r="G561">
        <v>16</v>
      </c>
      <c r="H561" s="7">
        <v>-1</v>
      </c>
      <c r="I561" s="1" t="str">
        <f t="shared" ref="I561" si="393">TESTdivide(E561,F561,G561,H561)</f>
        <v>0</v>
      </c>
      <c r="J561" t="str">
        <f t="shared" ref="J561" si="394">TESTdivideByRef1(E561,F561,G561,H561)</f>
        <v>5</v>
      </c>
      <c r="K561">
        <f t="shared" ref="K561" si="395">TESTdivideByRef2(E561,F561,G561,H561)</f>
        <v>0</v>
      </c>
      <c r="M561" s="1" t="s">
        <v>14</v>
      </c>
      <c r="N561" t="s">
        <v>82</v>
      </c>
      <c r="O561">
        <v>0</v>
      </c>
      <c r="Q561" s="1" t="b">
        <f t="shared" si="390"/>
        <v>1</v>
      </c>
      <c r="R561" t="b">
        <f t="shared" si="391"/>
        <v>1</v>
      </c>
      <c r="S561" t="b">
        <f t="shared" si="392"/>
        <v>1</v>
      </c>
    </row>
    <row r="562" spans="1:19" x14ac:dyDescent="0.15">
      <c r="C562" s="2" t="s">
        <v>76</v>
      </c>
      <c r="D562" s="2" t="s">
        <v>46</v>
      </c>
      <c r="E562" s="11" t="s">
        <v>113</v>
      </c>
      <c r="F562" s="13" t="s">
        <v>114</v>
      </c>
      <c r="G562" s="2">
        <v>2</v>
      </c>
      <c r="H562" s="2">
        <v>0</v>
      </c>
      <c r="I562" s="3" t="str">
        <f t="shared" ref="I562" si="396">TESTdivide(E562,F562,G562,H562)</f>
        <v>00</v>
      </c>
      <c r="J562" s="2" t="str">
        <f t="shared" ref="J562" si="397">TESTdivideByRef1(E562,F562,G562,H562)</f>
        <v>10</v>
      </c>
      <c r="K562" s="2">
        <f t="shared" ref="K562" si="398">TESTdivideByRef2(E562,F562,G562,H562)</f>
        <v>0</v>
      </c>
      <c r="L562" s="2"/>
      <c r="M562" s="3" t="s">
        <v>97</v>
      </c>
      <c r="N562" s="2" t="s">
        <v>15</v>
      </c>
      <c r="O562" s="2">
        <v>0</v>
      </c>
      <c r="P562" s="2"/>
      <c r="Q562" s="3" t="b">
        <f t="shared" ref="Q562:Q563" si="399">getText(I562)=getText(M562)</f>
        <v>1</v>
      </c>
      <c r="R562" s="2" t="b">
        <f t="shared" ref="R562:R563" si="400">getText(J562)=getText(N562)</f>
        <v>1</v>
      </c>
      <c r="S562" s="2" t="b">
        <f t="shared" ref="S562:S563" si="401">getText(K562)=getText(O562)</f>
        <v>1</v>
      </c>
    </row>
    <row r="563" spans="1:19" x14ac:dyDescent="0.15">
      <c r="D563" t="s">
        <v>47</v>
      </c>
      <c r="E563" s="9" t="s">
        <v>111</v>
      </c>
      <c r="F563" s="17" t="s">
        <v>195</v>
      </c>
      <c r="G563">
        <v>10</v>
      </c>
      <c r="H563" s="7">
        <v>0</v>
      </c>
      <c r="I563" s="1" t="str">
        <f t="shared" ref="I563" si="402">TESTdivide(E563,F563,G563,H563)</f>
        <v>0</v>
      </c>
      <c r="J563" t="str">
        <f t="shared" ref="J563" si="403">TESTdivideByRef1(E563,F563,G563,H563)</f>
        <v>1</v>
      </c>
      <c r="K563">
        <f t="shared" ref="K563" si="404">TESTdivideByRef2(E563,F563,G563,H563)</f>
        <v>0</v>
      </c>
      <c r="M563" s="1" t="s">
        <v>14</v>
      </c>
      <c r="N563" t="s">
        <v>44</v>
      </c>
      <c r="O563">
        <v>0</v>
      </c>
      <c r="Q563" s="1" t="b">
        <f t="shared" si="399"/>
        <v>1</v>
      </c>
      <c r="R563" t="b">
        <f t="shared" si="400"/>
        <v>1</v>
      </c>
      <c r="S563" t="b">
        <f t="shared" si="401"/>
        <v>1</v>
      </c>
    </row>
    <row r="564" spans="1:19" x14ac:dyDescent="0.15">
      <c r="D564" t="s">
        <v>49</v>
      </c>
      <c r="E564" s="9" t="s">
        <v>196</v>
      </c>
      <c r="F564" s="17" t="s">
        <v>197</v>
      </c>
      <c r="G564">
        <v>16</v>
      </c>
      <c r="H564" s="7">
        <v>0</v>
      </c>
      <c r="I564" s="1" t="str">
        <f t="shared" ref="I564" si="405">TESTdivide(E564,F564,G564,H564)</f>
        <v>0</v>
      </c>
      <c r="J564" t="str">
        <f t="shared" ref="J564" si="406">TESTdivideByRef1(E564,F564,G564,H564)</f>
        <v>5</v>
      </c>
      <c r="K564">
        <f t="shared" ref="K564" si="407">TESTdivideByRef2(E564,F564,G564,H564)</f>
        <v>0</v>
      </c>
      <c r="M564" s="1" t="s">
        <v>14</v>
      </c>
      <c r="N564" t="s">
        <v>82</v>
      </c>
      <c r="O564">
        <v>0</v>
      </c>
      <c r="Q564" s="1" t="b">
        <f t="shared" ref="Q564:Q565" si="408">getText(I564)=getText(M564)</f>
        <v>1</v>
      </c>
      <c r="R564" t="b">
        <f t="shared" ref="R564:R565" si="409">getText(J564)=getText(N564)</f>
        <v>1</v>
      </c>
      <c r="S564" t="b">
        <f t="shared" ref="S564:S565" si="410">getText(K564)=getText(O564)</f>
        <v>1</v>
      </c>
    </row>
    <row r="565" spans="1:19" x14ac:dyDescent="0.15">
      <c r="C565" s="2" t="s">
        <v>194</v>
      </c>
      <c r="D565" s="2" t="s">
        <v>207</v>
      </c>
      <c r="E565" s="11" t="s">
        <v>15</v>
      </c>
      <c r="F565" s="13" t="s">
        <v>18</v>
      </c>
      <c r="G565" s="2">
        <v>2</v>
      </c>
      <c r="H565" s="2">
        <v>1</v>
      </c>
      <c r="I565" s="3" t="str">
        <f t="shared" ref="I565:I568" si="411">TESTdivide(E565,F565,G565,H565)</f>
        <v>001</v>
      </c>
      <c r="J565" s="2" t="str">
        <f t="shared" ref="J565:J568" si="412">TESTdivideByRef1(E565,F565,G565,H565)</f>
        <v>1</v>
      </c>
      <c r="K565" s="2">
        <f t="shared" ref="K565:K568" si="413">TESTdivideByRef2(E565,F565,G565,H565)</f>
        <v>0</v>
      </c>
      <c r="L565" s="2"/>
      <c r="M565" s="3" t="s">
        <v>81</v>
      </c>
      <c r="N565" s="22" t="s">
        <v>44</v>
      </c>
      <c r="O565" s="2">
        <v>0</v>
      </c>
      <c r="P565" s="2"/>
      <c r="Q565" s="3" t="b">
        <f t="shared" si="408"/>
        <v>1</v>
      </c>
      <c r="R565" s="2" t="b">
        <f t="shared" si="409"/>
        <v>1</v>
      </c>
      <c r="S565" s="2" t="b">
        <f t="shared" si="410"/>
        <v>1</v>
      </c>
    </row>
    <row r="566" spans="1:19" x14ac:dyDescent="0.15">
      <c r="C566" s="6"/>
      <c r="D566" s="7" t="s">
        <v>208</v>
      </c>
      <c r="E566" s="9" t="s">
        <v>15</v>
      </c>
      <c r="F566" s="14" t="s">
        <v>18</v>
      </c>
      <c r="G566" s="6">
        <v>2</v>
      </c>
      <c r="H566" s="6">
        <v>2</v>
      </c>
      <c r="I566" s="1" t="str">
        <f t="shared" ref="I566" si="414">TESTdivide(E566,F566,G566,H566)</f>
        <v>0010</v>
      </c>
      <c r="J566" s="6" t="str">
        <f t="shared" ref="J566" si="415">TESTdivideByRef1(E566,F566,G566,H566)</f>
        <v>10</v>
      </c>
      <c r="K566" s="6">
        <f t="shared" ref="K566" si="416">TESTdivideByRef2(E566,F566,G566,H566)</f>
        <v>0</v>
      </c>
      <c r="L566" s="6"/>
      <c r="M566" s="1" t="s">
        <v>79</v>
      </c>
      <c r="N566" s="27" t="s">
        <v>15</v>
      </c>
      <c r="O566" s="6">
        <v>0</v>
      </c>
      <c r="P566" s="6"/>
      <c r="Q566" s="1" t="b">
        <f t="shared" ref="Q566:Q567" si="417">getText(I566)=getText(M566)</f>
        <v>1</v>
      </c>
      <c r="R566" s="6" t="b">
        <f t="shared" ref="R566:R567" si="418">getText(J566)=getText(N566)</f>
        <v>1</v>
      </c>
      <c r="S566" s="6" t="b">
        <f t="shared" ref="S566:S567" si="419">getText(K566)=getText(O566)</f>
        <v>1</v>
      </c>
    </row>
    <row r="567" spans="1:19" x14ac:dyDescent="0.15">
      <c r="D567" t="s">
        <v>47</v>
      </c>
      <c r="E567" s="9" t="s">
        <v>44</v>
      </c>
      <c r="F567" s="17" t="s">
        <v>80</v>
      </c>
      <c r="G567">
        <v>10</v>
      </c>
      <c r="H567" s="7">
        <v>1</v>
      </c>
      <c r="I567" s="1" t="str">
        <f t="shared" si="411"/>
        <v>03</v>
      </c>
      <c r="J567" t="str">
        <f t="shared" si="412"/>
        <v>1</v>
      </c>
      <c r="K567">
        <f t="shared" si="413"/>
        <v>0</v>
      </c>
      <c r="M567" s="1" t="s">
        <v>205</v>
      </c>
      <c r="N567" s="23" t="s">
        <v>44</v>
      </c>
      <c r="O567">
        <v>0</v>
      </c>
      <c r="Q567" s="1" t="b">
        <f t="shared" si="417"/>
        <v>1</v>
      </c>
      <c r="R567" t="b">
        <f t="shared" si="418"/>
        <v>1</v>
      </c>
      <c r="S567" t="b">
        <f t="shared" si="419"/>
        <v>1</v>
      </c>
    </row>
    <row r="568" spans="1:19" x14ac:dyDescent="0.15">
      <c r="D568" t="s">
        <v>49</v>
      </c>
      <c r="E568" s="9" t="s">
        <v>82</v>
      </c>
      <c r="F568" s="17" t="s">
        <v>98</v>
      </c>
      <c r="G568">
        <v>16</v>
      </c>
      <c r="H568" s="7">
        <v>1</v>
      </c>
      <c r="I568" s="1" t="str">
        <f t="shared" si="411"/>
        <v>05</v>
      </c>
      <c r="J568" t="str">
        <f t="shared" si="412"/>
        <v>5</v>
      </c>
      <c r="K568">
        <f t="shared" si="413"/>
        <v>0</v>
      </c>
      <c r="M568" s="1" t="s">
        <v>206</v>
      </c>
      <c r="N568" s="23" t="s">
        <v>82</v>
      </c>
      <c r="O568">
        <v>0</v>
      </c>
      <c r="Q568" s="1" t="b">
        <f t="shared" ref="Q568" si="420">getText(I568)=getText(M568)</f>
        <v>1</v>
      </c>
      <c r="R568" t="b">
        <f t="shared" ref="R568" si="421">getText(J568)=getText(N568)</f>
        <v>1</v>
      </c>
      <c r="S568" t="b">
        <f t="shared" ref="S568" si="422">getText(K568)=getText(O568)</f>
        <v>1</v>
      </c>
    </row>
    <row r="569" spans="1:19" x14ac:dyDescent="0.15">
      <c r="C569" s="2" t="s">
        <v>193</v>
      </c>
      <c r="D569" s="2" t="s">
        <v>203</v>
      </c>
      <c r="E569" s="11" t="s">
        <v>113</v>
      </c>
      <c r="F569" s="13" t="s">
        <v>114</v>
      </c>
      <c r="G569" s="2">
        <v>2</v>
      </c>
      <c r="H569" s="2">
        <v>255</v>
      </c>
      <c r="I569" s="3" t="str">
        <f>TESTdivide(E569,F569,G569,H569)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69" s="2" t="str">
        <f>TESTdivideByRef1(E569,F569,G569,H569)</f>
        <v>1</v>
      </c>
      <c r="K569" s="2">
        <f>TESTdivideByRef2(E569,F569,G569,H569)</f>
        <v>0</v>
      </c>
      <c r="L569" s="2"/>
      <c r="M569" s="3" t="s">
        <v>198</v>
      </c>
      <c r="N569" s="2" t="s">
        <v>44</v>
      </c>
      <c r="O569" s="2">
        <v>0</v>
      </c>
      <c r="P569" s="2"/>
      <c r="Q569" s="3" t="b">
        <f t="shared" ref="Q569:Q572" si="423">getText(I569)=getText(M569)</f>
        <v>1</v>
      </c>
      <c r="R569" s="2" t="b">
        <f t="shared" ref="R569:R572" si="424">getText(J569)=getText(N569)</f>
        <v>1</v>
      </c>
      <c r="S569" s="2" t="b">
        <f t="shared" ref="S569:S572" si="425">getText(K569)=getText(O569)</f>
        <v>1</v>
      </c>
    </row>
    <row r="570" spans="1:19" x14ac:dyDescent="0.15">
      <c r="C570" s="6"/>
      <c r="D570" s="7" t="s">
        <v>202</v>
      </c>
      <c r="E570" s="9" t="s">
        <v>15</v>
      </c>
      <c r="F570" s="14" t="s">
        <v>18</v>
      </c>
      <c r="G570" s="6">
        <v>2</v>
      </c>
      <c r="H570" s="6">
        <v>256</v>
      </c>
      <c r="I570" s="1" t="str">
        <f t="shared" ref="I570" si="426">TESTdivide(E570,F570,G570,H570)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70" s="6" t="str">
        <f t="shared" ref="J570" si="427">TESTdivideByRef1(E570,F570,G570,H570)</f>
        <v>10</v>
      </c>
      <c r="K570" s="6">
        <f t="shared" ref="K570" si="428">TESTdivideByRef2(E570,F570,G570,H570)</f>
        <v>0</v>
      </c>
      <c r="L570" s="6"/>
      <c r="M570" s="1" t="s">
        <v>201</v>
      </c>
      <c r="N570" s="6" t="s">
        <v>15</v>
      </c>
      <c r="O570" s="6">
        <v>0</v>
      </c>
      <c r="P570" s="6"/>
      <c r="Q570" s="1" t="b">
        <f t="shared" ref="Q570" si="429">getText(I570)=getText(M570)</f>
        <v>1</v>
      </c>
      <c r="R570" s="6" t="b">
        <f t="shared" ref="R570" si="430">getText(J570)=getText(N570)</f>
        <v>1</v>
      </c>
      <c r="S570" s="6" t="b">
        <f t="shared" ref="S570" si="431">getText(K570)=getText(O570)</f>
        <v>1</v>
      </c>
    </row>
    <row r="571" spans="1:19" x14ac:dyDescent="0.15">
      <c r="D571" t="s">
        <v>47</v>
      </c>
      <c r="E571" s="9" t="s">
        <v>199</v>
      </c>
      <c r="F571" s="17" t="s">
        <v>195</v>
      </c>
      <c r="G571">
        <v>10</v>
      </c>
      <c r="H571" s="7">
        <v>255</v>
      </c>
      <c r="I571" s="1" t="str">
        <f>TESTdivide(E571,F571,G571,H571)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71" t="str">
        <f>TESTdivideByRef1(E571,F571,G571,H571)</f>
        <v>1</v>
      </c>
      <c r="K571">
        <f>TESTdivideByRef2(E571,F571,G571,H571)</f>
        <v>0</v>
      </c>
      <c r="M571" s="1" t="s">
        <v>200</v>
      </c>
      <c r="N571" t="s">
        <v>44</v>
      </c>
      <c r="O571">
        <v>0</v>
      </c>
      <c r="Q571" s="1" t="b">
        <f t="shared" si="423"/>
        <v>1</v>
      </c>
      <c r="R571" t="b">
        <f t="shared" si="424"/>
        <v>1</v>
      </c>
      <c r="S571" t="b">
        <f t="shared" si="425"/>
        <v>1</v>
      </c>
    </row>
    <row r="572" spans="1:19" x14ac:dyDescent="0.15">
      <c r="D572" t="s">
        <v>49</v>
      </c>
      <c r="E572" s="9" t="s">
        <v>196</v>
      </c>
      <c r="F572" s="17" t="s">
        <v>197</v>
      </c>
      <c r="G572">
        <v>16</v>
      </c>
      <c r="H572" s="7">
        <v>255</v>
      </c>
      <c r="I572" s="1" t="str">
        <f>TESTdivide(E572,F572,G572,H572)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72" t="str">
        <f>TESTdivideByRef1(E572,F572,G572,H572)</f>
        <v>5</v>
      </c>
      <c r="K572">
        <f>TESTdivideByRef2(E572,F572,G572,H572)</f>
        <v>0</v>
      </c>
      <c r="M572" s="1" t="s">
        <v>204</v>
      </c>
      <c r="N572" t="s">
        <v>82</v>
      </c>
      <c r="O572">
        <v>0</v>
      </c>
      <c r="Q572" s="1" t="b">
        <f t="shared" si="423"/>
        <v>1</v>
      </c>
      <c r="R572" t="b">
        <f t="shared" si="424"/>
        <v>1</v>
      </c>
      <c r="S572" t="b">
        <f t="shared" si="425"/>
        <v>1</v>
      </c>
    </row>
    <row r="573" spans="1:19" s="2" customFormat="1" x14ac:dyDescent="0.15">
      <c r="A573" s="2" t="s">
        <v>929</v>
      </c>
      <c r="B573" s="2" t="s">
        <v>584</v>
      </c>
      <c r="C573" s="2" t="s">
        <v>3</v>
      </c>
      <c r="D573" s="2" t="s">
        <v>595</v>
      </c>
      <c r="E573" s="3">
        <v>0</v>
      </c>
      <c r="F573" s="2">
        <v>2</v>
      </c>
      <c r="G573" s="2">
        <v>2</v>
      </c>
      <c r="I573" s="3" t="str">
        <f>TESTconvRadixOfInt(E573,F573,G573)</f>
        <v>0</v>
      </c>
      <c r="M573" s="3" t="s">
        <v>14</v>
      </c>
      <c r="Q573" s="3" t="b">
        <f t="shared" ref="Q573:Q581" si="432">getText(I573)=getText(M573)</f>
        <v>1</v>
      </c>
    </row>
    <row r="574" spans="1:19" x14ac:dyDescent="0.15">
      <c r="B574" t="s">
        <v>586</v>
      </c>
      <c r="C574" t="s">
        <v>4</v>
      </c>
      <c r="D574" t="s">
        <v>596</v>
      </c>
      <c r="E574" s="1">
        <v>111</v>
      </c>
      <c r="F574">
        <v>2</v>
      </c>
      <c r="G574">
        <v>7</v>
      </c>
      <c r="I574" s="1" t="str">
        <f>TESTconvRadixOfInt(E574,F574,G574)</f>
        <v>10</v>
      </c>
      <c r="M574" s="1" t="s">
        <v>15</v>
      </c>
      <c r="Q574" s="1" t="b">
        <f t="shared" si="432"/>
        <v>1</v>
      </c>
      <c r="R574" s="6"/>
    </row>
    <row r="575" spans="1:19" x14ac:dyDescent="0.15">
      <c r="C575" t="s">
        <v>5</v>
      </c>
      <c r="D575" t="s">
        <v>597</v>
      </c>
      <c r="E575" s="1">
        <v>10000</v>
      </c>
      <c r="F575">
        <v>2</v>
      </c>
      <c r="G575">
        <v>16</v>
      </c>
      <c r="I575" s="1" t="str">
        <f>TESTconvRadixOfInt(E575,F575,G575)</f>
        <v>10</v>
      </c>
      <c r="M575" s="1" t="s">
        <v>15</v>
      </c>
      <c r="Q575" s="1" t="b">
        <f t="shared" si="432"/>
        <v>1</v>
      </c>
      <c r="R575" s="6"/>
    </row>
    <row r="576" spans="1:19" x14ac:dyDescent="0.15">
      <c r="C576" t="s">
        <v>6</v>
      </c>
      <c r="D576" t="s">
        <v>595</v>
      </c>
      <c r="E576" s="1">
        <v>0</v>
      </c>
      <c r="F576">
        <v>7</v>
      </c>
      <c r="G576">
        <v>2</v>
      </c>
      <c r="I576" s="1" t="str">
        <f>TESTconvRadixOfInt(E576,F576,G576)</f>
        <v>0</v>
      </c>
      <c r="M576" s="1" t="s">
        <v>14</v>
      </c>
      <c r="Q576" s="1" t="b">
        <f t="shared" si="432"/>
        <v>1</v>
      </c>
      <c r="R576" s="6"/>
    </row>
    <row r="577" spans="2:18" x14ac:dyDescent="0.15">
      <c r="C577" t="s">
        <v>7</v>
      </c>
      <c r="D577" t="s">
        <v>596</v>
      </c>
      <c r="E577" s="1">
        <v>10</v>
      </c>
      <c r="F577">
        <v>7</v>
      </c>
      <c r="G577">
        <v>7</v>
      </c>
      <c r="I577" s="1" t="str">
        <f>TESTconvRadixOfInt(E577,F577,G577)</f>
        <v>10</v>
      </c>
      <c r="M577" s="1" t="s">
        <v>15</v>
      </c>
      <c r="Q577" s="1" t="b">
        <f t="shared" si="432"/>
        <v>1</v>
      </c>
      <c r="R577" s="6"/>
    </row>
    <row r="578" spans="2:18" x14ac:dyDescent="0.15">
      <c r="C578" t="s">
        <v>8</v>
      </c>
      <c r="D578" t="s">
        <v>597</v>
      </c>
      <c r="E578" s="1">
        <v>22</v>
      </c>
      <c r="F578">
        <v>7</v>
      </c>
      <c r="G578">
        <v>16</v>
      </c>
      <c r="I578" s="1" t="str">
        <f>TESTconvRadixOfInt(E578,F578,G578)</f>
        <v>10</v>
      </c>
      <c r="M578" s="1" t="s">
        <v>15</v>
      </c>
      <c r="Q578" s="1" t="b">
        <f t="shared" si="432"/>
        <v>1</v>
      </c>
      <c r="R578" s="6"/>
    </row>
    <row r="579" spans="2:18" x14ac:dyDescent="0.15">
      <c r="C579" t="s">
        <v>9</v>
      </c>
      <c r="D579" t="s">
        <v>595</v>
      </c>
      <c r="E579" s="1">
        <v>0</v>
      </c>
      <c r="F579">
        <v>16</v>
      </c>
      <c r="G579">
        <v>2</v>
      </c>
      <c r="I579" s="1" t="str">
        <f>TESTconvRadixOfInt(E579,F579,G579)</f>
        <v>0</v>
      </c>
      <c r="M579" s="1" t="s">
        <v>14</v>
      </c>
      <c r="Q579" s="1" t="b">
        <f t="shared" si="432"/>
        <v>1</v>
      </c>
      <c r="R579" s="6"/>
    </row>
    <row r="580" spans="2:18" x14ac:dyDescent="0.15">
      <c r="C580" t="s">
        <v>10</v>
      </c>
      <c r="D580" t="s">
        <v>596</v>
      </c>
      <c r="E580" s="1">
        <v>7</v>
      </c>
      <c r="F580">
        <v>16</v>
      </c>
      <c r="G580">
        <v>7</v>
      </c>
      <c r="I580" s="1" t="str">
        <f>TESTconvRadixOfInt(E580,F580,G580)</f>
        <v>10</v>
      </c>
      <c r="M580" s="1" t="s">
        <v>15</v>
      </c>
      <c r="Q580" s="1" t="b">
        <f t="shared" si="432"/>
        <v>1</v>
      </c>
      <c r="R580" s="6"/>
    </row>
    <row r="581" spans="2:18" s="6" customFormat="1" x14ac:dyDescent="0.15">
      <c r="C581" s="6" t="s">
        <v>11</v>
      </c>
      <c r="D581" s="6" t="s">
        <v>597</v>
      </c>
      <c r="E581" s="1">
        <v>10</v>
      </c>
      <c r="F581" s="6">
        <v>16</v>
      </c>
      <c r="G581" s="6">
        <v>16</v>
      </c>
      <c r="I581" s="1" t="str">
        <f>TESTconvRadixOfInt(E581,F581,G581)</f>
        <v>10</v>
      </c>
      <c r="M581" s="1" t="s">
        <v>15</v>
      </c>
      <c r="Q581" s="1" t="b">
        <f t="shared" si="432"/>
        <v>1</v>
      </c>
    </row>
    <row r="582" spans="2:18" s="6" customFormat="1" x14ac:dyDescent="0.15">
      <c r="B582" s="2" t="s">
        <v>584</v>
      </c>
      <c r="C582" s="2" t="s">
        <v>25</v>
      </c>
      <c r="D582" s="2" t="s">
        <v>3</v>
      </c>
      <c r="E582" s="3">
        <v>10001</v>
      </c>
      <c r="F582" s="2">
        <v>2</v>
      </c>
      <c r="G582" s="2">
        <v>2</v>
      </c>
      <c r="H582" s="2"/>
      <c r="I582" s="3" t="str">
        <f>TESTconvRadixOfInt(E582,F582,G582)</f>
        <v>10001</v>
      </c>
      <c r="J582" s="2"/>
      <c r="K582" s="2"/>
      <c r="L582" s="2"/>
      <c r="M582" s="3" t="s">
        <v>16</v>
      </c>
      <c r="N582" s="2"/>
      <c r="O582" s="2"/>
      <c r="P582" s="2"/>
      <c r="Q582" s="3" t="b">
        <f t="shared" ref="Q582:Q584" si="433">getText(I582)=getText(M582)</f>
        <v>1</v>
      </c>
    </row>
    <row r="583" spans="2:18" s="6" customFormat="1" x14ac:dyDescent="0.15">
      <c r="B583" s="6" t="s">
        <v>585</v>
      </c>
      <c r="C583" s="6" t="s">
        <v>53</v>
      </c>
      <c r="D583" s="6" t="s">
        <v>4</v>
      </c>
      <c r="E583" s="1">
        <v>10001</v>
      </c>
      <c r="F583" s="6">
        <v>2</v>
      </c>
      <c r="G583" s="6">
        <v>7</v>
      </c>
      <c r="I583" s="1" t="str">
        <f>TESTconvRadixOfInt(E583,F583,G583)</f>
        <v>23</v>
      </c>
      <c r="M583" s="1" t="s">
        <v>17</v>
      </c>
      <c r="Q583" s="1" t="b">
        <f t="shared" si="433"/>
        <v>1</v>
      </c>
    </row>
    <row r="584" spans="2:18" s="6" customFormat="1" x14ac:dyDescent="0.15">
      <c r="C584" s="7" t="s">
        <v>54</v>
      </c>
      <c r="D584" s="6" t="s">
        <v>5</v>
      </c>
      <c r="E584" s="1">
        <v>10001</v>
      </c>
      <c r="F584" s="6">
        <v>2</v>
      </c>
      <c r="G584" s="6">
        <v>16</v>
      </c>
      <c r="I584" s="1" t="str">
        <f>TESTconvRadixOfInt(E584,F584,G584)</f>
        <v>11</v>
      </c>
      <c r="M584" s="1" t="s">
        <v>18</v>
      </c>
      <c r="Q584" s="1" t="b">
        <f t="shared" si="433"/>
        <v>1</v>
      </c>
    </row>
    <row r="585" spans="2:18" s="6" customFormat="1" x14ac:dyDescent="0.15">
      <c r="D585" s="6" t="s">
        <v>6</v>
      </c>
      <c r="E585" s="1">
        <v>23</v>
      </c>
      <c r="F585" s="6">
        <v>7</v>
      </c>
      <c r="G585" s="6">
        <v>2</v>
      </c>
      <c r="I585" s="1" t="str">
        <f>TESTconvRadixOfInt(E585,F585,G585)</f>
        <v>10001</v>
      </c>
      <c r="M585" s="1" t="s">
        <v>16</v>
      </c>
      <c r="Q585" s="1" t="b">
        <f t="shared" ref="Q585:Q587" si="434">getText(I585)=getText(M585)</f>
        <v>1</v>
      </c>
    </row>
    <row r="586" spans="2:18" s="6" customFormat="1" x14ac:dyDescent="0.15">
      <c r="D586" s="6" t="s">
        <v>7</v>
      </c>
      <c r="E586" s="1">
        <v>23</v>
      </c>
      <c r="F586" s="6">
        <v>7</v>
      </c>
      <c r="G586" s="6">
        <v>7</v>
      </c>
      <c r="I586" s="1" t="str">
        <f>TESTconvRadixOfInt(E586,F586,G586)</f>
        <v>23</v>
      </c>
      <c r="M586" s="1" t="s">
        <v>17</v>
      </c>
      <c r="Q586" s="1" t="b">
        <f t="shared" si="434"/>
        <v>1</v>
      </c>
    </row>
    <row r="587" spans="2:18" s="6" customFormat="1" x14ac:dyDescent="0.15">
      <c r="D587" s="6" t="s">
        <v>8</v>
      </c>
      <c r="E587" s="1">
        <v>23</v>
      </c>
      <c r="F587" s="6">
        <v>7</v>
      </c>
      <c r="G587" s="6">
        <v>16</v>
      </c>
      <c r="I587" s="1" t="str">
        <f>TESTconvRadixOfInt(E587,F587,G587)</f>
        <v>11</v>
      </c>
      <c r="M587" s="1" t="s">
        <v>18</v>
      </c>
      <c r="Q587" s="1" t="b">
        <f t="shared" si="434"/>
        <v>1</v>
      </c>
    </row>
    <row r="588" spans="2:18" s="6" customFormat="1" x14ac:dyDescent="0.15">
      <c r="D588" s="6" t="s">
        <v>9</v>
      </c>
      <c r="E588" s="1">
        <v>11</v>
      </c>
      <c r="F588" s="6">
        <v>16</v>
      </c>
      <c r="G588" s="6">
        <v>2</v>
      </c>
      <c r="I588" s="1" t="str">
        <f>TESTconvRadixOfInt(E588,F588,G588)</f>
        <v>10001</v>
      </c>
      <c r="M588" s="1" t="s">
        <v>16</v>
      </c>
      <c r="Q588" s="1" t="b">
        <f t="shared" ref="Q588:Q590" si="435">getText(I588)=getText(M588)</f>
        <v>1</v>
      </c>
    </row>
    <row r="589" spans="2:18" s="6" customFormat="1" x14ac:dyDescent="0.15">
      <c r="D589" s="6" t="s">
        <v>10</v>
      </c>
      <c r="E589" s="1">
        <v>11</v>
      </c>
      <c r="F589" s="6">
        <v>16</v>
      </c>
      <c r="G589" s="6">
        <v>7</v>
      </c>
      <c r="I589" s="1" t="str">
        <f>TESTconvRadixOfInt(E589,F589,G589)</f>
        <v>23</v>
      </c>
      <c r="M589" s="1" t="s">
        <v>17</v>
      </c>
      <c r="Q589" s="1" t="b">
        <f t="shared" si="435"/>
        <v>1</v>
      </c>
    </row>
    <row r="590" spans="2:18" s="6" customFormat="1" x14ac:dyDescent="0.15">
      <c r="D590" s="6" t="s">
        <v>11</v>
      </c>
      <c r="E590" s="1">
        <v>11</v>
      </c>
      <c r="F590" s="6">
        <v>16</v>
      </c>
      <c r="G590" s="6">
        <v>16</v>
      </c>
      <c r="I590" s="1" t="str">
        <f>TESTconvRadixOfInt(E590,F590,G590)</f>
        <v>11</v>
      </c>
      <c r="M590" s="1" t="s">
        <v>18</v>
      </c>
      <c r="Q590" s="1" t="b">
        <f t="shared" si="435"/>
        <v>1</v>
      </c>
    </row>
    <row r="591" spans="2:18" s="6" customFormat="1" x14ac:dyDescent="0.15">
      <c r="C591" s="2" t="s">
        <v>23</v>
      </c>
      <c r="D591" s="2" t="s">
        <v>3</v>
      </c>
      <c r="E591" s="3">
        <v>11</v>
      </c>
      <c r="F591" s="2">
        <v>2</v>
      </c>
      <c r="G591" s="2">
        <v>2</v>
      </c>
      <c r="H591" s="2"/>
      <c r="I591" s="3" t="str">
        <f>TESTconvRadixOfInt(E591,F591,G591)</f>
        <v>11</v>
      </c>
      <c r="J591" s="2"/>
      <c r="K591" s="2"/>
      <c r="L591" s="2"/>
      <c r="M591" s="3" t="s">
        <v>18</v>
      </c>
      <c r="N591" s="2"/>
      <c r="O591" s="2"/>
      <c r="P591" s="2"/>
      <c r="Q591" s="3" t="b">
        <f t="shared" ref="Q591" si="436">getText(I591)=getText(M591)</f>
        <v>1</v>
      </c>
    </row>
    <row r="592" spans="2:18" s="6" customFormat="1" x14ac:dyDescent="0.15">
      <c r="C592" s="6" t="s">
        <v>53</v>
      </c>
      <c r="D592" s="6" t="s">
        <v>4</v>
      </c>
      <c r="E592" s="1">
        <v>110000</v>
      </c>
      <c r="F592" s="6">
        <v>2</v>
      </c>
      <c r="G592" s="6">
        <v>7</v>
      </c>
      <c r="I592" s="1" t="str">
        <f>TESTconvRadixOfInt(E592,F592,G592)</f>
        <v>66</v>
      </c>
      <c r="M592" s="1" t="s">
        <v>20</v>
      </c>
      <c r="Q592" s="1" t="b">
        <f t="shared" ref="Q592" si="437">getText(I592)=getText(M592)</f>
        <v>1</v>
      </c>
    </row>
    <row r="593" spans="3:17" s="6" customFormat="1" x14ac:dyDescent="0.15">
      <c r="C593" s="6" t="s">
        <v>55</v>
      </c>
      <c r="D593" s="6" t="s">
        <v>5</v>
      </c>
      <c r="E593" s="1">
        <v>11111111</v>
      </c>
      <c r="F593" s="7">
        <v>2</v>
      </c>
      <c r="G593" s="7">
        <v>16</v>
      </c>
      <c r="I593" s="1" t="str">
        <f>TESTconvRadixOfInt(E593,F593,G593)</f>
        <v>FF</v>
      </c>
      <c r="M593" s="1" t="s">
        <v>22</v>
      </c>
      <c r="Q593" s="1" t="b">
        <f t="shared" ref="Q593" si="438">getText(I593)=getText(M593)</f>
        <v>1</v>
      </c>
    </row>
    <row r="594" spans="3:17" s="6" customFormat="1" x14ac:dyDescent="0.15">
      <c r="D594" s="6" t="s">
        <v>6</v>
      </c>
      <c r="E594" s="1">
        <v>3</v>
      </c>
      <c r="F594" s="7">
        <v>7</v>
      </c>
      <c r="G594" s="7">
        <v>2</v>
      </c>
      <c r="I594" s="1" t="str">
        <f>TESTconvRadixOfInt(E594,F594,G594)</f>
        <v>11</v>
      </c>
      <c r="M594" s="1" t="s">
        <v>18</v>
      </c>
      <c r="Q594" s="1" t="b">
        <f t="shared" ref="Q594:Q599" si="439">getText(I594)=getText(M594)</f>
        <v>1</v>
      </c>
    </row>
    <row r="595" spans="3:17" s="6" customFormat="1" x14ac:dyDescent="0.15">
      <c r="D595" s="6" t="s">
        <v>7</v>
      </c>
      <c r="E595" s="1">
        <v>66</v>
      </c>
      <c r="F595" s="7">
        <v>7</v>
      </c>
      <c r="G595" s="7">
        <v>7</v>
      </c>
      <c r="I595" s="1" t="str">
        <f>TESTconvRadixOfInt(E595,F595,G595)</f>
        <v>66</v>
      </c>
      <c r="M595" s="1" t="s">
        <v>20</v>
      </c>
      <c r="Q595" s="1" t="b">
        <f t="shared" si="439"/>
        <v>1</v>
      </c>
    </row>
    <row r="596" spans="3:17" s="6" customFormat="1" x14ac:dyDescent="0.15">
      <c r="D596" s="6" t="s">
        <v>8</v>
      </c>
      <c r="E596" s="1">
        <v>513</v>
      </c>
      <c r="F596" s="7">
        <v>7</v>
      </c>
      <c r="G596" s="7">
        <v>16</v>
      </c>
      <c r="I596" s="1" t="str">
        <f>TESTconvRadixOfInt(E596,F596,G596)</f>
        <v>FF</v>
      </c>
      <c r="M596" s="1" t="s">
        <v>22</v>
      </c>
      <c r="Q596" s="1" t="b">
        <f t="shared" si="439"/>
        <v>1</v>
      </c>
    </row>
    <row r="597" spans="3:17" s="6" customFormat="1" x14ac:dyDescent="0.15">
      <c r="D597" s="6" t="s">
        <v>9</v>
      </c>
      <c r="E597" s="8">
        <v>3</v>
      </c>
      <c r="F597" s="7">
        <v>16</v>
      </c>
      <c r="G597" s="7">
        <v>2</v>
      </c>
      <c r="I597" s="1" t="str">
        <f>TESTconvRadixOfInt(E597,F597,G597)</f>
        <v>11</v>
      </c>
      <c r="M597" s="1" t="s">
        <v>18</v>
      </c>
      <c r="Q597" s="1" t="b">
        <f t="shared" si="439"/>
        <v>1</v>
      </c>
    </row>
    <row r="598" spans="3:17" s="6" customFormat="1" x14ac:dyDescent="0.15">
      <c r="D598" s="6" t="s">
        <v>10</v>
      </c>
      <c r="E598" s="1">
        <v>30</v>
      </c>
      <c r="F598" s="7">
        <v>16</v>
      </c>
      <c r="G598" s="7">
        <v>7</v>
      </c>
      <c r="I598" s="1" t="str">
        <f>TESTconvRadixOfInt(E598,F598,G598)</f>
        <v>66</v>
      </c>
      <c r="M598" s="1" t="s">
        <v>20</v>
      </c>
      <c r="Q598" s="1" t="b">
        <f t="shared" si="439"/>
        <v>1</v>
      </c>
    </row>
    <row r="599" spans="3:17" s="6" customFormat="1" x14ac:dyDescent="0.15">
      <c r="D599" s="6" t="s">
        <v>11</v>
      </c>
      <c r="E599" s="8" t="s">
        <v>26</v>
      </c>
      <c r="F599" s="7">
        <v>16</v>
      </c>
      <c r="G599" s="7">
        <v>16</v>
      </c>
      <c r="I599" s="1" t="str">
        <f>TESTconvRadixOfInt(E599,F599,G599)</f>
        <v>FF</v>
      </c>
      <c r="M599" s="1" t="s">
        <v>22</v>
      </c>
      <c r="Q599" s="1" t="b">
        <f t="shared" si="439"/>
        <v>1</v>
      </c>
    </row>
    <row r="600" spans="3:17" s="6" customFormat="1" x14ac:dyDescent="0.15">
      <c r="C600" s="2" t="s">
        <v>24</v>
      </c>
      <c r="D600" s="2" t="s">
        <v>3</v>
      </c>
      <c r="E600" s="3">
        <v>100</v>
      </c>
      <c r="F600" s="2">
        <v>2</v>
      </c>
      <c r="G600" s="2">
        <v>2</v>
      </c>
      <c r="H600" s="2"/>
      <c r="I600" s="3" t="str">
        <f>TESTconvRadixOfInt(E600,F600,G600)</f>
        <v>100</v>
      </c>
      <c r="J600" s="2"/>
      <c r="K600" s="2"/>
      <c r="L600" s="2"/>
      <c r="M600" s="3" t="s">
        <v>21</v>
      </c>
      <c r="N600" s="2"/>
      <c r="O600" s="2"/>
      <c r="P600" s="2"/>
      <c r="Q600" s="3" t="b">
        <f t="shared" ref="Q600" si="440">getText(I600)=getText(M600)</f>
        <v>1</v>
      </c>
    </row>
    <row r="601" spans="3:17" s="6" customFormat="1" x14ac:dyDescent="0.15">
      <c r="C601" s="6" t="s">
        <v>53</v>
      </c>
      <c r="D601" s="6" t="s">
        <v>4</v>
      </c>
      <c r="E601" s="1">
        <v>110001</v>
      </c>
      <c r="F601" s="6">
        <v>2</v>
      </c>
      <c r="G601" s="6">
        <v>7</v>
      </c>
      <c r="I601" s="1" t="str">
        <f>TESTconvRadixOfInt(E601,F601,G601)</f>
        <v>100</v>
      </c>
      <c r="M601" s="1" t="s">
        <v>21</v>
      </c>
      <c r="Q601" s="1" t="b">
        <f t="shared" ref="Q601" si="441">getText(I601)=getText(M601)</f>
        <v>1</v>
      </c>
    </row>
    <row r="602" spans="3:17" s="6" customFormat="1" x14ac:dyDescent="0.15">
      <c r="C602" s="6" t="s">
        <v>56</v>
      </c>
      <c r="D602" s="6" t="s">
        <v>5</v>
      </c>
      <c r="E602" s="1">
        <v>100000000</v>
      </c>
      <c r="F602" s="6">
        <v>2</v>
      </c>
      <c r="G602" s="6">
        <v>16</v>
      </c>
      <c r="I602" s="1" t="str">
        <f>TESTconvRadixOfInt(E602,F602,G602)</f>
        <v>100</v>
      </c>
      <c r="M602" s="1" t="s">
        <v>21</v>
      </c>
      <c r="Q602" s="1" t="b">
        <f t="shared" ref="Q602" si="442">getText(I602)=getText(M602)</f>
        <v>1</v>
      </c>
    </row>
    <row r="603" spans="3:17" s="6" customFormat="1" x14ac:dyDescent="0.15">
      <c r="D603" s="6" t="s">
        <v>6</v>
      </c>
      <c r="E603" s="1">
        <v>4</v>
      </c>
      <c r="F603" s="7">
        <v>7</v>
      </c>
      <c r="G603" s="7">
        <v>2</v>
      </c>
      <c r="I603" s="1" t="str">
        <f>TESTconvRadixOfInt(E603,F603,G603)</f>
        <v>100</v>
      </c>
      <c r="M603" s="1" t="s">
        <v>21</v>
      </c>
      <c r="Q603" s="1" t="b">
        <f t="shared" ref="Q603:Q605" si="443">getText(I603)=getText(M603)</f>
        <v>1</v>
      </c>
    </row>
    <row r="604" spans="3:17" s="6" customFormat="1" x14ac:dyDescent="0.15">
      <c r="D604" s="6" t="s">
        <v>7</v>
      </c>
      <c r="E604" s="1">
        <v>100</v>
      </c>
      <c r="F604" s="7">
        <v>7</v>
      </c>
      <c r="G604" s="7">
        <v>7</v>
      </c>
      <c r="I604" s="1" t="str">
        <f>TESTconvRadixOfInt(E604,F604,G604)</f>
        <v>100</v>
      </c>
      <c r="M604" s="1" t="s">
        <v>21</v>
      </c>
      <c r="Q604" s="1" t="b">
        <f t="shared" si="443"/>
        <v>1</v>
      </c>
    </row>
    <row r="605" spans="3:17" s="6" customFormat="1" x14ac:dyDescent="0.15">
      <c r="D605" s="6" t="s">
        <v>8</v>
      </c>
      <c r="E605" s="1">
        <v>514</v>
      </c>
      <c r="F605" s="7">
        <v>7</v>
      </c>
      <c r="G605" s="7">
        <v>16</v>
      </c>
      <c r="I605" s="1" t="str">
        <f>TESTconvRadixOfInt(E605,F605,G605)</f>
        <v>100</v>
      </c>
      <c r="M605" s="1" t="s">
        <v>21</v>
      </c>
      <c r="Q605" s="1" t="b">
        <f t="shared" si="443"/>
        <v>1</v>
      </c>
    </row>
    <row r="606" spans="3:17" s="6" customFormat="1" x14ac:dyDescent="0.15">
      <c r="D606" s="6" t="s">
        <v>9</v>
      </c>
      <c r="E606" s="1">
        <v>4</v>
      </c>
      <c r="F606" s="7">
        <v>16</v>
      </c>
      <c r="G606" s="7">
        <v>2</v>
      </c>
      <c r="I606" s="1" t="str">
        <f>TESTconvRadixOfInt(E606,F606,G606)</f>
        <v>100</v>
      </c>
      <c r="M606" s="1" t="s">
        <v>21</v>
      </c>
      <c r="Q606" s="1" t="b">
        <f t="shared" ref="Q606:Q608" si="444">getText(I606)=getText(M606)</f>
        <v>1</v>
      </c>
    </row>
    <row r="607" spans="3:17" s="6" customFormat="1" x14ac:dyDescent="0.15">
      <c r="D607" s="6" t="s">
        <v>10</v>
      </c>
      <c r="E607" s="1">
        <v>31</v>
      </c>
      <c r="F607" s="7">
        <v>16</v>
      </c>
      <c r="G607" s="7">
        <v>7</v>
      </c>
      <c r="I607" s="1" t="str">
        <f>TESTconvRadixOfInt(E607,F607,G607)</f>
        <v>100</v>
      </c>
      <c r="M607" s="1" t="s">
        <v>21</v>
      </c>
      <c r="Q607" s="1" t="b">
        <f t="shared" si="444"/>
        <v>1</v>
      </c>
    </row>
    <row r="608" spans="3:17" s="6" customFormat="1" x14ac:dyDescent="0.15">
      <c r="D608" s="6" t="s">
        <v>11</v>
      </c>
      <c r="E608" s="8">
        <v>100</v>
      </c>
      <c r="F608" s="7">
        <v>16</v>
      </c>
      <c r="G608" s="7">
        <v>16</v>
      </c>
      <c r="I608" s="1" t="str">
        <f>TESTconvRadixOfInt(E608,F608,G608)</f>
        <v>100</v>
      </c>
      <c r="M608" s="1" t="s">
        <v>21</v>
      </c>
      <c r="Q608" s="1" t="b">
        <f t="shared" si="444"/>
        <v>1</v>
      </c>
    </row>
    <row r="609" spans="3:18" s="6" customFormat="1" x14ac:dyDescent="0.15">
      <c r="C609" s="2" t="s">
        <v>27</v>
      </c>
      <c r="D609" s="2" t="s">
        <v>3</v>
      </c>
      <c r="E609" s="3">
        <v>111</v>
      </c>
      <c r="F609" s="2">
        <v>2</v>
      </c>
      <c r="G609" s="2">
        <v>2</v>
      </c>
      <c r="H609" s="2"/>
      <c r="I609" s="3" t="str">
        <f>TESTconvRadixOfInt(E609,F609,G609)</f>
        <v>111</v>
      </c>
      <c r="J609" s="2"/>
      <c r="K609" s="2"/>
      <c r="L609" s="2"/>
      <c r="M609" s="3" t="s">
        <v>31</v>
      </c>
      <c r="N609" s="2"/>
      <c r="O609" s="2"/>
      <c r="P609" s="2"/>
      <c r="Q609" s="3" t="b">
        <f t="shared" ref="Q609:Q611" si="445">getText(I609)=getText(M609)</f>
        <v>1</v>
      </c>
    </row>
    <row r="610" spans="3:18" x14ac:dyDescent="0.15">
      <c r="C610" s="6" t="s">
        <v>53</v>
      </c>
      <c r="D610" s="6" t="s">
        <v>4</v>
      </c>
      <c r="E610" s="1">
        <v>101010110</v>
      </c>
      <c r="F610" s="6">
        <v>2</v>
      </c>
      <c r="G610" s="6">
        <v>7</v>
      </c>
      <c r="I610" s="1" t="str">
        <f>TESTconvRadixOfInt(E610,F610,G610)</f>
        <v>666</v>
      </c>
      <c r="M610" s="1" t="s">
        <v>32</v>
      </c>
      <c r="Q610" s="1" t="b">
        <f t="shared" si="445"/>
        <v>1</v>
      </c>
      <c r="R610" s="6"/>
    </row>
    <row r="611" spans="3:18" x14ac:dyDescent="0.15">
      <c r="C611" s="6" t="s">
        <v>57</v>
      </c>
      <c r="D611" s="6" t="s">
        <v>5</v>
      </c>
      <c r="E611" s="9" t="s">
        <v>30</v>
      </c>
      <c r="F611" s="6">
        <v>2</v>
      </c>
      <c r="G611" s="6">
        <v>16</v>
      </c>
      <c r="I611" s="1" t="str">
        <f>TESTconvRadixOfInt(E611,F611,G611)</f>
        <v>FFF</v>
      </c>
      <c r="M611" s="1" t="s">
        <v>33</v>
      </c>
      <c r="Q611" s="1" t="b">
        <f t="shared" si="445"/>
        <v>1</v>
      </c>
      <c r="R611" s="6"/>
    </row>
    <row r="612" spans="3:18" x14ac:dyDescent="0.15">
      <c r="C612" s="6"/>
      <c r="D612" s="6" t="s">
        <v>6</v>
      </c>
      <c r="E612" s="1">
        <v>10</v>
      </c>
      <c r="F612" s="7">
        <v>7</v>
      </c>
      <c r="G612" s="7">
        <v>2</v>
      </c>
      <c r="I612" s="1" t="str">
        <f>TESTconvRadixOfInt(E612,F612,G612)</f>
        <v>111</v>
      </c>
      <c r="M612" s="1" t="s">
        <v>31</v>
      </c>
      <c r="Q612" s="1" t="b">
        <f t="shared" ref="Q612:Q626" si="446">getText(I612)=getText(M612)</f>
        <v>1</v>
      </c>
      <c r="R612" s="6"/>
    </row>
    <row r="613" spans="3:18" x14ac:dyDescent="0.15">
      <c r="C613" s="6"/>
      <c r="D613" s="6" t="s">
        <v>7</v>
      </c>
      <c r="E613" s="1">
        <v>666</v>
      </c>
      <c r="F613" s="7">
        <v>7</v>
      </c>
      <c r="G613" s="7">
        <v>7</v>
      </c>
      <c r="I613" s="1" t="str">
        <f>TESTconvRadixOfInt(E613,F613,G613)</f>
        <v>666</v>
      </c>
      <c r="M613" s="1" t="s">
        <v>32</v>
      </c>
      <c r="Q613" s="1" t="b">
        <f t="shared" si="446"/>
        <v>1</v>
      </c>
      <c r="R613" s="6"/>
    </row>
    <row r="614" spans="3:18" x14ac:dyDescent="0.15">
      <c r="C614" s="6"/>
      <c r="D614" s="6" t="s">
        <v>8</v>
      </c>
      <c r="E614" s="1">
        <v>14640</v>
      </c>
      <c r="F614" s="7">
        <v>7</v>
      </c>
      <c r="G614" s="7">
        <v>16</v>
      </c>
      <c r="I614" s="1" t="str">
        <f>TESTconvRadixOfInt(E614,F614,G614)</f>
        <v>FFF</v>
      </c>
      <c r="M614" s="1" t="s">
        <v>33</v>
      </c>
      <c r="Q614" s="1" t="b">
        <f t="shared" si="446"/>
        <v>1</v>
      </c>
      <c r="R614" s="6"/>
    </row>
    <row r="615" spans="3:18" x14ac:dyDescent="0.15">
      <c r="C615" s="6"/>
      <c r="D615" s="6" t="s">
        <v>9</v>
      </c>
      <c r="E615" s="1">
        <v>7</v>
      </c>
      <c r="F615" s="7">
        <v>16</v>
      </c>
      <c r="G615" s="7">
        <v>2</v>
      </c>
      <c r="I615" s="1" t="str">
        <f>TESTconvRadixOfInt(E615,F615,G615)</f>
        <v>111</v>
      </c>
      <c r="M615" s="1" t="s">
        <v>31</v>
      </c>
      <c r="Q615" s="1" t="b">
        <f t="shared" si="446"/>
        <v>1</v>
      </c>
      <c r="R615" s="6"/>
    </row>
    <row r="616" spans="3:18" x14ac:dyDescent="0.15">
      <c r="C616" s="6"/>
      <c r="D616" s="6" t="s">
        <v>10</v>
      </c>
      <c r="E616" s="1">
        <v>156</v>
      </c>
      <c r="F616" s="7">
        <v>16</v>
      </c>
      <c r="G616" s="7">
        <v>7</v>
      </c>
      <c r="I616" s="1" t="str">
        <f>TESTconvRadixOfInt(E616,F616,G616)</f>
        <v>666</v>
      </c>
      <c r="M616" s="1" t="s">
        <v>32</v>
      </c>
      <c r="Q616" s="1" t="b">
        <f t="shared" si="446"/>
        <v>1</v>
      </c>
      <c r="R616" s="6"/>
    </row>
    <row r="617" spans="3:18" x14ac:dyDescent="0.15">
      <c r="C617" s="6"/>
      <c r="D617" s="6" t="s">
        <v>11</v>
      </c>
      <c r="E617" s="8" t="s">
        <v>35</v>
      </c>
      <c r="F617" s="7">
        <v>16</v>
      </c>
      <c r="G617" s="7">
        <v>16</v>
      </c>
      <c r="I617" s="1" t="str">
        <f>TESTconvRadixOfInt(E617,F617,G617)</f>
        <v>FFF</v>
      </c>
      <c r="M617" s="1" t="s">
        <v>33</v>
      </c>
      <c r="Q617" s="1" t="b">
        <f t="shared" si="446"/>
        <v>1</v>
      </c>
      <c r="R617" s="6"/>
    </row>
    <row r="618" spans="3:18" x14ac:dyDescent="0.15">
      <c r="C618" s="2" t="s">
        <v>28</v>
      </c>
      <c r="D618" s="2" t="s">
        <v>3</v>
      </c>
      <c r="E618" s="3">
        <v>1000</v>
      </c>
      <c r="F618" s="2">
        <v>2</v>
      </c>
      <c r="G618" s="2">
        <v>2</v>
      </c>
      <c r="H618" s="2"/>
      <c r="I618" s="3" t="str">
        <f>TESTconvRadixOfInt(E618,F618,G618)</f>
        <v>1000</v>
      </c>
      <c r="J618" s="2"/>
      <c r="K618" s="2"/>
      <c r="L618" s="2"/>
      <c r="M618" s="3" t="s">
        <v>34</v>
      </c>
      <c r="N618" s="2"/>
      <c r="O618" s="2"/>
      <c r="P618" s="2"/>
      <c r="Q618" s="3" t="b">
        <f t="shared" si="446"/>
        <v>1</v>
      </c>
      <c r="R618" s="6"/>
    </row>
    <row r="619" spans="3:18" x14ac:dyDescent="0.15">
      <c r="C619" s="6" t="s">
        <v>53</v>
      </c>
      <c r="D619" s="6" t="s">
        <v>4</v>
      </c>
      <c r="E619" s="1">
        <v>101010111</v>
      </c>
      <c r="F619" s="6">
        <v>2</v>
      </c>
      <c r="G619" s="6">
        <v>7</v>
      </c>
      <c r="I619" s="1" t="str">
        <f>TESTconvRadixOfInt(E619,F619,G619)</f>
        <v>1000</v>
      </c>
      <c r="M619" s="1" t="s">
        <v>34</v>
      </c>
      <c r="Q619" s="1" t="b">
        <f t="shared" si="446"/>
        <v>1</v>
      </c>
      <c r="R619" s="6"/>
    </row>
    <row r="620" spans="3:18" x14ac:dyDescent="0.15">
      <c r="C620" s="6" t="s">
        <v>58</v>
      </c>
      <c r="D620" s="6" t="s">
        <v>5</v>
      </c>
      <c r="E620" s="9" t="s">
        <v>29</v>
      </c>
      <c r="F620" s="6">
        <v>2</v>
      </c>
      <c r="G620" s="6">
        <v>16</v>
      </c>
      <c r="I620" s="1" t="str">
        <f>TESTconvRadixOfInt(E620,F620,G620)</f>
        <v>1000</v>
      </c>
      <c r="M620" s="1" t="s">
        <v>34</v>
      </c>
      <c r="Q620" s="1" t="b">
        <f t="shared" si="446"/>
        <v>1</v>
      </c>
      <c r="R620" s="6"/>
    </row>
    <row r="621" spans="3:18" x14ac:dyDescent="0.15">
      <c r="C621" s="6"/>
      <c r="D621" s="6" t="s">
        <v>6</v>
      </c>
      <c r="E621" s="1">
        <v>11</v>
      </c>
      <c r="F621" s="7">
        <v>7</v>
      </c>
      <c r="G621" s="7">
        <v>2</v>
      </c>
      <c r="I621" s="1" t="str">
        <f>TESTconvRadixOfInt(E621,F621,G621)</f>
        <v>1000</v>
      </c>
      <c r="M621" s="1" t="s">
        <v>34</v>
      </c>
      <c r="Q621" s="1" t="b">
        <f t="shared" si="446"/>
        <v>1</v>
      </c>
      <c r="R621" s="6"/>
    </row>
    <row r="622" spans="3:18" x14ac:dyDescent="0.15">
      <c r="C622" s="6"/>
      <c r="D622" s="6" t="s">
        <v>7</v>
      </c>
      <c r="E622" s="1">
        <v>1000</v>
      </c>
      <c r="F622" s="7">
        <v>7</v>
      </c>
      <c r="G622" s="7">
        <v>7</v>
      </c>
      <c r="I622" s="1" t="str">
        <f>TESTconvRadixOfInt(E622,F622,G622)</f>
        <v>1000</v>
      </c>
      <c r="M622" s="1" t="s">
        <v>34</v>
      </c>
      <c r="Q622" s="1" t="b">
        <f t="shared" si="446"/>
        <v>1</v>
      </c>
      <c r="R622" s="6"/>
    </row>
    <row r="623" spans="3:18" x14ac:dyDescent="0.15">
      <c r="C623" s="6"/>
      <c r="D623" s="6" t="s">
        <v>8</v>
      </c>
      <c r="E623" s="1">
        <v>14641</v>
      </c>
      <c r="F623" s="7">
        <v>7</v>
      </c>
      <c r="G623" s="7">
        <v>16</v>
      </c>
      <c r="I623" s="1" t="str">
        <f>TESTconvRadixOfInt(E623,F623,G623)</f>
        <v>1000</v>
      </c>
      <c r="M623" s="1" t="s">
        <v>34</v>
      </c>
      <c r="Q623" s="1" t="b">
        <f t="shared" si="446"/>
        <v>1</v>
      </c>
      <c r="R623" s="6"/>
    </row>
    <row r="624" spans="3:18" x14ac:dyDescent="0.15">
      <c r="C624" s="6"/>
      <c r="D624" s="6" t="s">
        <v>9</v>
      </c>
      <c r="E624" s="1">
        <v>8</v>
      </c>
      <c r="F624" s="7">
        <v>16</v>
      </c>
      <c r="G624" s="7">
        <v>2</v>
      </c>
      <c r="I624" s="1" t="str">
        <f>TESTconvRadixOfInt(E624,F624,G624)</f>
        <v>1000</v>
      </c>
      <c r="M624" s="1" t="s">
        <v>34</v>
      </c>
      <c r="Q624" s="1" t="b">
        <f t="shared" si="446"/>
        <v>1</v>
      </c>
      <c r="R624" s="6"/>
    </row>
    <row r="625" spans="1:18" x14ac:dyDescent="0.15">
      <c r="C625" s="6"/>
      <c r="D625" s="6" t="s">
        <v>10</v>
      </c>
      <c r="E625" s="1">
        <v>157</v>
      </c>
      <c r="F625" s="7">
        <v>16</v>
      </c>
      <c r="G625" s="7">
        <v>7</v>
      </c>
      <c r="I625" s="1" t="str">
        <f>TESTconvRadixOfInt(E625,F625,G625)</f>
        <v>1000</v>
      </c>
      <c r="M625" s="1" t="s">
        <v>34</v>
      </c>
      <c r="Q625" s="1" t="b">
        <f t="shared" si="446"/>
        <v>1</v>
      </c>
      <c r="R625" s="6"/>
    </row>
    <row r="626" spans="1:18" x14ac:dyDescent="0.15">
      <c r="C626" s="6"/>
      <c r="D626" s="6" t="s">
        <v>11</v>
      </c>
      <c r="E626" s="1">
        <v>1000</v>
      </c>
      <c r="F626" s="7">
        <v>16</v>
      </c>
      <c r="G626" s="7">
        <v>16</v>
      </c>
      <c r="I626" s="1" t="str">
        <f>TESTconvRadixOfInt(E626,F626,G626)</f>
        <v>1000</v>
      </c>
      <c r="M626" s="1" t="s">
        <v>34</v>
      </c>
      <c r="Q626" s="1" t="b">
        <f t="shared" si="446"/>
        <v>1</v>
      </c>
      <c r="R626" s="6"/>
    </row>
    <row r="627" spans="1:18" x14ac:dyDescent="0.15">
      <c r="A627" s="2" t="s">
        <v>930</v>
      </c>
      <c r="B627" s="2" t="s">
        <v>469</v>
      </c>
      <c r="C627" s="25" t="s">
        <v>454</v>
      </c>
      <c r="D627" s="2" t="s">
        <v>3</v>
      </c>
      <c r="E627" s="3">
        <v>0</v>
      </c>
      <c r="F627" s="2">
        <v>2</v>
      </c>
      <c r="G627" s="2">
        <v>2</v>
      </c>
      <c r="H627" s="2">
        <v>10</v>
      </c>
      <c r="I627" s="3" t="str">
        <f>TESTconvRadixOfFrc(E627,F627,G627,H627)</f>
        <v>0</v>
      </c>
      <c r="J627" s="2"/>
      <c r="K627" s="2"/>
      <c r="L627" s="2"/>
      <c r="M627" s="3" t="s">
        <v>14</v>
      </c>
      <c r="N627" s="2"/>
      <c r="O627" s="2"/>
      <c r="P627" s="2"/>
      <c r="Q627" s="3" t="b">
        <f t="shared" ref="Q627:Q637" si="447">getText(I627)=getText(M627)</f>
        <v>1</v>
      </c>
      <c r="R627" s="6"/>
    </row>
    <row r="628" spans="1:18" x14ac:dyDescent="0.15">
      <c r="A628" s="6"/>
      <c r="B628" s="6"/>
      <c r="C628" s="6"/>
      <c r="D628" s="6" t="s">
        <v>4</v>
      </c>
      <c r="E628" s="1">
        <v>0</v>
      </c>
      <c r="F628" s="7">
        <v>2</v>
      </c>
      <c r="G628" s="7">
        <v>7</v>
      </c>
      <c r="H628" s="6">
        <v>10</v>
      </c>
      <c r="I628" s="1" t="str">
        <f>TESTconvRadixOfFrc(E628,F628,G628,H628)</f>
        <v>0</v>
      </c>
      <c r="J628" s="6"/>
      <c r="K628" s="6"/>
      <c r="L628" s="6"/>
      <c r="M628" s="1" t="s">
        <v>14</v>
      </c>
      <c r="N628" s="6"/>
      <c r="O628" s="6"/>
      <c r="P628" s="6"/>
      <c r="Q628" s="1" t="b">
        <f t="shared" si="447"/>
        <v>1</v>
      </c>
      <c r="R628" s="6"/>
    </row>
    <row r="629" spans="1:18" x14ac:dyDescent="0.15">
      <c r="D629" s="6" t="s">
        <v>5</v>
      </c>
      <c r="E629" s="1">
        <v>0</v>
      </c>
      <c r="F629" s="7">
        <v>2</v>
      </c>
      <c r="G629" s="7">
        <v>16</v>
      </c>
      <c r="H629" s="7">
        <v>10</v>
      </c>
      <c r="I629" s="1" t="str">
        <f>TESTconvRadixOfFrc(E629,F629,G629,H629)</f>
        <v>0</v>
      </c>
      <c r="M629" s="1" t="s">
        <v>14</v>
      </c>
      <c r="Q629" s="1" t="b">
        <f t="shared" si="447"/>
        <v>1</v>
      </c>
      <c r="R629" s="6"/>
    </row>
    <row r="630" spans="1:18" x14ac:dyDescent="0.15">
      <c r="D630" s="6" t="s">
        <v>6</v>
      </c>
      <c r="E630" s="1">
        <v>0</v>
      </c>
      <c r="F630" s="7">
        <v>7</v>
      </c>
      <c r="G630" s="6">
        <v>2</v>
      </c>
      <c r="H630" s="7">
        <v>10</v>
      </c>
      <c r="I630" s="1" t="str">
        <f>TESTconvRadixOfFrc(E630,F630,G630,H630)</f>
        <v>0</v>
      </c>
      <c r="M630" s="1" t="s">
        <v>14</v>
      </c>
      <c r="Q630" s="1" t="b">
        <f t="shared" si="447"/>
        <v>1</v>
      </c>
      <c r="R630" s="6"/>
    </row>
    <row r="631" spans="1:18" x14ac:dyDescent="0.15">
      <c r="D631" s="6" t="s">
        <v>7</v>
      </c>
      <c r="E631" s="1">
        <v>0</v>
      </c>
      <c r="F631" s="7">
        <v>7</v>
      </c>
      <c r="G631" s="7">
        <v>7</v>
      </c>
      <c r="H631">
        <v>10</v>
      </c>
      <c r="I631" s="1" t="str">
        <f>TESTconvRadixOfFrc(E631,F631,G631,H631)</f>
        <v>0</v>
      </c>
      <c r="M631" s="1" t="s">
        <v>14</v>
      </c>
      <c r="Q631" s="1" t="b">
        <f t="shared" si="447"/>
        <v>1</v>
      </c>
      <c r="R631" s="6"/>
    </row>
    <row r="632" spans="1:18" x14ac:dyDescent="0.15">
      <c r="D632" s="6" t="s">
        <v>568</v>
      </c>
      <c r="E632" s="1">
        <v>0</v>
      </c>
      <c r="F632" s="7">
        <v>7</v>
      </c>
      <c r="G632" s="7">
        <v>16</v>
      </c>
      <c r="H632" s="7">
        <v>0</v>
      </c>
      <c r="I632" s="1" t="str">
        <f>TESTconvRadixOfFrc(E632,F632,G632,H632)</f>
        <v/>
      </c>
      <c r="Q632" s="1" t="b">
        <f t="shared" si="447"/>
        <v>1</v>
      </c>
      <c r="R632" s="6"/>
    </row>
    <row r="633" spans="1:18" x14ac:dyDescent="0.15">
      <c r="D633" s="6" t="s">
        <v>8</v>
      </c>
      <c r="E633" s="1">
        <v>0</v>
      </c>
      <c r="F633" s="7">
        <v>7</v>
      </c>
      <c r="G633" s="7">
        <v>16</v>
      </c>
      <c r="H633">
        <v>10</v>
      </c>
      <c r="I633" s="1" t="str">
        <f>TESTconvRadixOfFrc(E633,F633,G633,H633)</f>
        <v>0</v>
      </c>
      <c r="M633" s="1" t="s">
        <v>14</v>
      </c>
      <c r="Q633" s="1" t="b">
        <f t="shared" si="447"/>
        <v>1</v>
      </c>
      <c r="R633" s="6"/>
    </row>
    <row r="634" spans="1:18" x14ac:dyDescent="0.15">
      <c r="D634" s="6" t="s">
        <v>569</v>
      </c>
      <c r="E634" s="1">
        <v>0</v>
      </c>
      <c r="F634" s="7">
        <v>7</v>
      </c>
      <c r="G634" s="7">
        <v>16</v>
      </c>
      <c r="H634">
        <v>0</v>
      </c>
      <c r="I634" s="1" t="str">
        <f>TESTconvRadixOfFrc(E634,F634,G634,H634)</f>
        <v/>
      </c>
      <c r="Q634" s="1" t="b">
        <f t="shared" ref="Q634" si="448">getText(I634)=getText(M634)</f>
        <v>1</v>
      </c>
      <c r="R634" s="6"/>
    </row>
    <row r="635" spans="1:18" x14ac:dyDescent="0.15">
      <c r="D635" s="6" t="s">
        <v>9</v>
      </c>
      <c r="E635" s="1">
        <v>0</v>
      </c>
      <c r="F635" s="7">
        <v>16</v>
      </c>
      <c r="G635" s="6">
        <v>2</v>
      </c>
      <c r="H635">
        <v>10</v>
      </c>
      <c r="I635" s="1" t="str">
        <f>TESTconvRadixOfFrc(E635,F635,G635,H635)</f>
        <v>0</v>
      </c>
      <c r="M635" s="1" t="s">
        <v>14</v>
      </c>
      <c r="Q635" s="1" t="b">
        <f t="shared" si="447"/>
        <v>1</v>
      </c>
      <c r="R635" s="6"/>
    </row>
    <row r="636" spans="1:18" x14ac:dyDescent="0.15">
      <c r="D636" s="6" t="s">
        <v>10</v>
      </c>
      <c r="E636" s="1">
        <v>0</v>
      </c>
      <c r="F636" s="7">
        <v>16</v>
      </c>
      <c r="G636" s="7">
        <v>7</v>
      </c>
      <c r="H636">
        <v>10</v>
      </c>
      <c r="I636" s="1" t="str">
        <f>TESTconvRadixOfFrc(E636,F636,G636,H636)</f>
        <v>0</v>
      </c>
      <c r="M636" s="1" t="s">
        <v>14</v>
      </c>
      <c r="Q636" s="1" t="b">
        <f t="shared" si="447"/>
        <v>1</v>
      </c>
      <c r="R636" s="6"/>
    </row>
    <row r="637" spans="1:18" x14ac:dyDescent="0.15">
      <c r="D637" s="6" t="s">
        <v>11</v>
      </c>
      <c r="E637" s="1">
        <v>0</v>
      </c>
      <c r="F637" s="7">
        <v>16</v>
      </c>
      <c r="G637" s="7">
        <v>16</v>
      </c>
      <c r="H637">
        <v>10</v>
      </c>
      <c r="I637" s="1" t="str">
        <f>TESTconvRadixOfFrc(E637,F637,G637,H637)</f>
        <v>0</v>
      </c>
      <c r="M637" s="1" t="s">
        <v>14</v>
      </c>
      <c r="Q637" s="1" t="b">
        <f t="shared" si="447"/>
        <v>1</v>
      </c>
      <c r="R637" s="6"/>
    </row>
    <row r="638" spans="1:18" x14ac:dyDescent="0.15">
      <c r="B638" s="2" t="s">
        <v>470</v>
      </c>
      <c r="C638" s="22">
        <v>0.1</v>
      </c>
      <c r="D638" s="2" t="s">
        <v>3</v>
      </c>
      <c r="E638" s="3">
        <v>1</v>
      </c>
      <c r="F638" s="2">
        <v>2</v>
      </c>
      <c r="G638" s="2">
        <v>2</v>
      </c>
      <c r="H638" s="2">
        <v>10</v>
      </c>
      <c r="I638" s="3" t="str">
        <f>TESTconvRadixOfFrc(E638,F638,G638,H638)</f>
        <v>1</v>
      </c>
      <c r="J638" s="2"/>
      <c r="K638" s="2"/>
      <c r="L638" s="2"/>
      <c r="M638" s="3" t="s">
        <v>44</v>
      </c>
      <c r="N638" s="2"/>
      <c r="O638" s="2"/>
      <c r="P638" s="2"/>
      <c r="Q638" s="3" t="b">
        <f t="shared" ref="Q638" si="449">getText(I638)=getText(M638)</f>
        <v>1</v>
      </c>
      <c r="R638" s="6"/>
    </row>
    <row r="639" spans="1:18" x14ac:dyDescent="0.15">
      <c r="D639" s="6" t="s">
        <v>4</v>
      </c>
      <c r="E639" s="1">
        <v>1</v>
      </c>
      <c r="F639">
        <v>2</v>
      </c>
      <c r="G639">
        <v>7</v>
      </c>
      <c r="H639">
        <v>10</v>
      </c>
      <c r="I639" s="1" t="str">
        <f>TESTconvRadixOfFrc(E639,F639,G639,H639)</f>
        <v>3333333333</v>
      </c>
      <c r="M639" s="1" t="s">
        <v>441</v>
      </c>
      <c r="Q639" s="1" t="b">
        <f t="shared" ref="Q639" si="450">getText(I639)=getText(M639)</f>
        <v>1</v>
      </c>
      <c r="R639" s="6"/>
    </row>
    <row r="640" spans="1:18" x14ac:dyDescent="0.15">
      <c r="D640" s="6" t="s">
        <v>5</v>
      </c>
      <c r="E640" s="1">
        <v>1</v>
      </c>
      <c r="F640">
        <v>2</v>
      </c>
      <c r="G640">
        <v>16</v>
      </c>
      <c r="H640">
        <v>10</v>
      </c>
      <c r="I640" s="1" t="str">
        <f>TESTconvRadixOfFrc(E640,F640,G640,H640)</f>
        <v>8</v>
      </c>
      <c r="M640" s="1" t="s">
        <v>442</v>
      </c>
      <c r="Q640" s="1" t="b">
        <f t="shared" ref="Q640" si="451">getText(I640)=getText(M640)</f>
        <v>1</v>
      </c>
      <c r="R640" s="6"/>
    </row>
    <row r="641" spans="2:18" x14ac:dyDescent="0.15">
      <c r="D641" s="6" t="s">
        <v>6</v>
      </c>
      <c r="E641" s="1">
        <v>1</v>
      </c>
      <c r="F641">
        <v>7</v>
      </c>
      <c r="G641">
        <v>2</v>
      </c>
      <c r="H641">
        <v>10</v>
      </c>
      <c r="I641" s="1" t="str">
        <f>TESTconvRadixOfFrc(E641,F641,G641,H641)</f>
        <v>0010010010</v>
      </c>
      <c r="M641" s="1" t="s">
        <v>443</v>
      </c>
      <c r="Q641" s="1" t="b">
        <f t="shared" ref="Q641" si="452">getText(I641)=getText(M641)</f>
        <v>1</v>
      </c>
      <c r="R641" s="6"/>
    </row>
    <row r="642" spans="2:18" x14ac:dyDescent="0.15">
      <c r="D642" s="6" t="s">
        <v>7</v>
      </c>
      <c r="E642" s="1">
        <v>1</v>
      </c>
      <c r="F642">
        <v>7</v>
      </c>
      <c r="G642">
        <v>7</v>
      </c>
      <c r="H642">
        <v>10</v>
      </c>
      <c r="I642" s="1" t="str">
        <f>TESTconvRadixOfFrc(E642,F642,G642,H642)</f>
        <v>1</v>
      </c>
      <c r="M642" s="1" t="s">
        <v>44</v>
      </c>
      <c r="Q642" s="1" t="b">
        <f t="shared" ref="Q642" si="453">getText(I642)=getText(M642)</f>
        <v>1</v>
      </c>
      <c r="R642" s="6"/>
    </row>
    <row r="643" spans="2:18" x14ac:dyDescent="0.15">
      <c r="D643" s="6" t="s">
        <v>8</v>
      </c>
      <c r="E643" s="1">
        <v>1</v>
      </c>
      <c r="F643">
        <v>7</v>
      </c>
      <c r="G643">
        <v>16</v>
      </c>
      <c r="H643">
        <v>10</v>
      </c>
      <c r="I643" s="1" t="str">
        <f>TESTconvRadixOfFrc(E643,F643,G643,H643)</f>
        <v>2492492492</v>
      </c>
      <c r="M643" s="1" t="s">
        <v>444</v>
      </c>
      <c r="Q643" s="1" t="b">
        <f t="shared" ref="Q643" si="454">getText(I643)=getText(M643)</f>
        <v>1</v>
      </c>
      <c r="R643" s="6"/>
    </row>
    <row r="644" spans="2:18" x14ac:dyDescent="0.15">
      <c r="D644" s="6" t="s">
        <v>9</v>
      </c>
      <c r="E644" s="1">
        <v>1</v>
      </c>
      <c r="F644">
        <v>16</v>
      </c>
      <c r="G644">
        <v>2</v>
      </c>
      <c r="H644">
        <v>10</v>
      </c>
      <c r="I644" s="1" t="str">
        <f>TESTconvRadixOfFrc(E644,F644,G644,H644)</f>
        <v>0001</v>
      </c>
      <c r="M644" s="1" t="s">
        <v>445</v>
      </c>
      <c r="Q644" s="1" t="b">
        <f t="shared" ref="Q644" si="455">getText(I644)=getText(M644)</f>
        <v>1</v>
      </c>
      <c r="R644" s="6"/>
    </row>
    <row r="645" spans="2:18" x14ac:dyDescent="0.15">
      <c r="D645" s="6" t="s">
        <v>10</v>
      </c>
      <c r="E645" s="1">
        <v>1</v>
      </c>
      <c r="F645">
        <v>16</v>
      </c>
      <c r="G645">
        <v>7</v>
      </c>
      <c r="H645">
        <v>10</v>
      </c>
      <c r="I645" s="1" t="str">
        <f>TESTconvRadixOfFrc(E645,F645,G645,H645)</f>
        <v>0303030303</v>
      </c>
      <c r="M645" s="1" t="s">
        <v>446</v>
      </c>
      <c r="Q645" s="1" t="b">
        <f t="shared" ref="Q645:Q646" si="456">getText(I645)=getText(M645)</f>
        <v>1</v>
      </c>
      <c r="R645" s="6"/>
    </row>
    <row r="646" spans="2:18" x14ac:dyDescent="0.15">
      <c r="D646" s="6" t="s">
        <v>11</v>
      </c>
      <c r="E646" s="1">
        <v>1</v>
      </c>
      <c r="F646">
        <v>16</v>
      </c>
      <c r="G646">
        <v>16</v>
      </c>
      <c r="H646">
        <v>10</v>
      </c>
      <c r="I646" s="1" t="str">
        <f>TESTconvRadixOfFrc(E646,F646,G646,H646)</f>
        <v>1</v>
      </c>
      <c r="M646" s="1" t="s">
        <v>44</v>
      </c>
      <c r="Q646" s="1" t="b">
        <f t="shared" si="456"/>
        <v>1</v>
      </c>
      <c r="R646" s="6"/>
    </row>
    <row r="647" spans="2:18" x14ac:dyDescent="0.15">
      <c r="B647" s="2" t="s">
        <v>471</v>
      </c>
      <c r="C647" s="25" t="s">
        <v>455</v>
      </c>
      <c r="D647" s="2" t="s">
        <v>3</v>
      </c>
      <c r="E647" s="3">
        <v>10</v>
      </c>
      <c r="F647" s="2">
        <v>2</v>
      </c>
      <c r="G647" s="2">
        <v>2</v>
      </c>
      <c r="H647" s="2">
        <v>10</v>
      </c>
      <c r="I647" s="3" t="str">
        <f>TESTconvRadixOfFrc(E647,F647,G647,H647)</f>
        <v>1</v>
      </c>
      <c r="J647" s="2"/>
      <c r="K647" s="2"/>
      <c r="L647" s="2"/>
      <c r="M647" s="3" t="s">
        <v>44</v>
      </c>
      <c r="N647" s="2"/>
      <c r="O647" s="2"/>
      <c r="P647" s="2"/>
      <c r="Q647" s="3" t="b">
        <f t="shared" ref="Q647:Q655" si="457">getText(I647)=getText(M647)</f>
        <v>1</v>
      </c>
      <c r="R647" s="6"/>
    </row>
    <row r="648" spans="2:18" x14ac:dyDescent="0.15">
      <c r="D648" s="6" t="s">
        <v>4</v>
      </c>
      <c r="E648" s="1">
        <v>10</v>
      </c>
      <c r="F648">
        <v>2</v>
      </c>
      <c r="G648">
        <v>7</v>
      </c>
      <c r="H648">
        <v>10</v>
      </c>
      <c r="I648" s="1" t="str">
        <f>TESTconvRadixOfFrc(E648,F648,G648,H648)</f>
        <v>3333333333</v>
      </c>
      <c r="M648" s="1" t="s">
        <v>441</v>
      </c>
      <c r="Q648" s="1" t="b">
        <f t="shared" si="457"/>
        <v>1</v>
      </c>
      <c r="R648" s="6"/>
    </row>
    <row r="649" spans="2:18" x14ac:dyDescent="0.15">
      <c r="D649" s="6" t="s">
        <v>5</v>
      </c>
      <c r="E649" s="1">
        <v>10</v>
      </c>
      <c r="F649">
        <v>2</v>
      </c>
      <c r="G649">
        <v>16</v>
      </c>
      <c r="H649">
        <v>10</v>
      </c>
      <c r="I649" s="1" t="str">
        <f>TESTconvRadixOfFrc(E649,F649,G649,H649)</f>
        <v>8</v>
      </c>
      <c r="M649" s="1" t="s">
        <v>442</v>
      </c>
      <c r="Q649" s="1" t="b">
        <f t="shared" si="457"/>
        <v>1</v>
      </c>
      <c r="R649" s="6"/>
    </row>
    <row r="650" spans="2:18" x14ac:dyDescent="0.15">
      <c r="D650" s="6" t="s">
        <v>6</v>
      </c>
      <c r="E650" s="1">
        <v>10</v>
      </c>
      <c r="F650">
        <v>7</v>
      </c>
      <c r="G650">
        <v>2</v>
      </c>
      <c r="H650">
        <v>10</v>
      </c>
      <c r="I650" s="1" t="str">
        <f>TESTconvRadixOfFrc(E650,F650,G650,H650)</f>
        <v>0010010010</v>
      </c>
      <c r="M650" s="1" t="s">
        <v>443</v>
      </c>
      <c r="Q650" s="1" t="b">
        <f t="shared" si="457"/>
        <v>1</v>
      </c>
      <c r="R650" s="6"/>
    </row>
    <row r="651" spans="2:18" x14ac:dyDescent="0.15">
      <c r="D651" s="6" t="s">
        <v>7</v>
      </c>
      <c r="E651" s="1">
        <v>10</v>
      </c>
      <c r="F651">
        <v>7</v>
      </c>
      <c r="G651">
        <v>7</v>
      </c>
      <c r="H651">
        <v>10</v>
      </c>
      <c r="I651" s="1" t="str">
        <f>TESTconvRadixOfFrc(E651,F651,G651,H651)</f>
        <v>1</v>
      </c>
      <c r="M651" s="1" t="s">
        <v>44</v>
      </c>
      <c r="Q651" s="1" t="b">
        <f t="shared" si="457"/>
        <v>1</v>
      </c>
      <c r="R651" s="6"/>
    </row>
    <row r="652" spans="2:18" x14ac:dyDescent="0.15">
      <c r="D652" s="6" t="s">
        <v>8</v>
      </c>
      <c r="E652" s="1">
        <v>10</v>
      </c>
      <c r="F652">
        <v>7</v>
      </c>
      <c r="G652">
        <v>16</v>
      </c>
      <c r="H652">
        <v>10</v>
      </c>
      <c r="I652" s="1" t="str">
        <f>TESTconvRadixOfFrc(E652,F652,G652,H652)</f>
        <v>2492492492</v>
      </c>
      <c r="M652" s="1" t="s">
        <v>444</v>
      </c>
      <c r="Q652" s="1" t="b">
        <f t="shared" si="457"/>
        <v>1</v>
      </c>
      <c r="R652" s="6"/>
    </row>
    <row r="653" spans="2:18" x14ac:dyDescent="0.15">
      <c r="D653" s="6" t="s">
        <v>9</v>
      </c>
      <c r="E653" s="1">
        <v>10</v>
      </c>
      <c r="F653">
        <v>16</v>
      </c>
      <c r="G653">
        <v>2</v>
      </c>
      <c r="H653">
        <v>10</v>
      </c>
      <c r="I653" s="1" t="str">
        <f>TESTconvRadixOfFrc(E653,F653,G653,H653)</f>
        <v>0001</v>
      </c>
      <c r="M653" s="1" t="s">
        <v>445</v>
      </c>
      <c r="Q653" s="1" t="b">
        <f t="shared" si="457"/>
        <v>1</v>
      </c>
      <c r="R653" s="6"/>
    </row>
    <row r="654" spans="2:18" x14ac:dyDescent="0.15">
      <c r="D654" s="6" t="s">
        <v>10</v>
      </c>
      <c r="E654" s="1">
        <v>10</v>
      </c>
      <c r="F654">
        <v>16</v>
      </c>
      <c r="G654">
        <v>7</v>
      </c>
      <c r="H654">
        <v>10</v>
      </c>
      <c r="I654" s="1" t="str">
        <f>TESTconvRadixOfFrc(E654,F654,G654,H654)</f>
        <v>0303030303</v>
      </c>
      <c r="M654" s="1" t="s">
        <v>446</v>
      </c>
      <c r="Q654" s="1" t="b">
        <f t="shared" si="457"/>
        <v>1</v>
      </c>
      <c r="R654" s="6"/>
    </row>
    <row r="655" spans="2:18" x14ac:dyDescent="0.15">
      <c r="D655" s="6" t="s">
        <v>11</v>
      </c>
      <c r="E655" s="1">
        <v>10</v>
      </c>
      <c r="F655">
        <v>16</v>
      </c>
      <c r="G655">
        <v>16</v>
      </c>
      <c r="H655">
        <v>10</v>
      </c>
      <c r="I655" s="1" t="str">
        <f>TESTconvRadixOfFrc(E655,F655,G655,H655)</f>
        <v>1</v>
      </c>
      <c r="M655" s="1" t="s">
        <v>44</v>
      </c>
      <c r="Q655" s="1" t="b">
        <f t="shared" si="457"/>
        <v>1</v>
      </c>
      <c r="R655" s="6"/>
    </row>
    <row r="656" spans="2:18" x14ac:dyDescent="0.15">
      <c r="B656" s="2" t="s">
        <v>472</v>
      </c>
      <c r="C656" s="2" t="s">
        <v>218</v>
      </c>
      <c r="D656" s="2" t="s">
        <v>447</v>
      </c>
      <c r="E656" s="11" t="s">
        <v>463</v>
      </c>
      <c r="F656" s="2">
        <v>2</v>
      </c>
      <c r="G656" s="2">
        <v>4</v>
      </c>
      <c r="H656" s="2">
        <v>10</v>
      </c>
      <c r="I656" s="3" t="str">
        <f>TESTconvRadixOfFrc(E656,F656,G656,H656)</f>
        <v>1</v>
      </c>
      <c r="J656" s="2"/>
      <c r="K656" s="2"/>
      <c r="L656" s="2"/>
      <c r="M656" s="3" t="s">
        <v>44</v>
      </c>
      <c r="N656" s="2"/>
      <c r="O656" s="2"/>
      <c r="P656" s="2"/>
      <c r="Q656" s="3" t="b">
        <f t="shared" ref="Q656:Q664" si="458">getText(I656)=getText(M656)</f>
        <v>1</v>
      </c>
      <c r="R656" s="6"/>
    </row>
    <row r="657" spans="3:18" x14ac:dyDescent="0.15">
      <c r="D657" s="6" t="s">
        <v>448</v>
      </c>
      <c r="E657" s="9" t="s">
        <v>456</v>
      </c>
      <c r="F657">
        <v>2</v>
      </c>
      <c r="G657">
        <v>8</v>
      </c>
      <c r="H657">
        <v>10</v>
      </c>
      <c r="I657" s="1" t="str">
        <f>TESTconvRadixOfFrc(E657,F657,G657,H657)</f>
        <v>1</v>
      </c>
      <c r="M657" s="1" t="s">
        <v>44</v>
      </c>
      <c r="Q657" s="1" t="b">
        <f>getText(I657)=getText(M657)</f>
        <v>1</v>
      </c>
      <c r="R657" s="6"/>
    </row>
    <row r="658" spans="3:18" x14ac:dyDescent="0.15">
      <c r="D658" s="6" t="s">
        <v>5</v>
      </c>
      <c r="E658" s="9" t="s">
        <v>457</v>
      </c>
      <c r="F658">
        <v>2</v>
      </c>
      <c r="G658">
        <v>16</v>
      </c>
      <c r="H658">
        <v>10</v>
      </c>
      <c r="I658" s="1" t="str">
        <f>TESTconvRadixOfFrc(E658,F658,G658,H658)</f>
        <v>1</v>
      </c>
      <c r="M658" s="1" t="s">
        <v>44</v>
      </c>
      <c r="Q658" s="1" t="b">
        <f t="shared" si="458"/>
        <v>1</v>
      </c>
      <c r="R658" s="6"/>
    </row>
    <row r="659" spans="3:18" x14ac:dyDescent="0.15">
      <c r="D659" s="6" t="s">
        <v>451</v>
      </c>
      <c r="E659" s="1">
        <v>4</v>
      </c>
      <c r="F659">
        <v>8</v>
      </c>
      <c r="G659">
        <v>2</v>
      </c>
      <c r="H659">
        <v>10</v>
      </c>
      <c r="I659" s="1" t="str">
        <f>TESTconvRadixOfFrc(E659,F659,G659,H659)</f>
        <v>1</v>
      </c>
      <c r="M659" s="1" t="s">
        <v>44</v>
      </c>
      <c r="Q659" s="1" t="b">
        <f t="shared" si="458"/>
        <v>1</v>
      </c>
      <c r="R659" s="6"/>
    </row>
    <row r="660" spans="3:18" x14ac:dyDescent="0.15">
      <c r="D660" s="6" t="s">
        <v>452</v>
      </c>
      <c r="E660" s="1">
        <v>2</v>
      </c>
      <c r="F660">
        <v>8</v>
      </c>
      <c r="G660">
        <v>4</v>
      </c>
      <c r="H660">
        <v>10</v>
      </c>
      <c r="I660" s="1" t="str">
        <f>TESTconvRadixOfFrc(E660,F660,G660,H660)</f>
        <v>1</v>
      </c>
      <c r="M660" s="1" t="s">
        <v>44</v>
      </c>
      <c r="Q660" s="1" t="b">
        <f t="shared" si="458"/>
        <v>1</v>
      </c>
      <c r="R660" s="6"/>
    </row>
    <row r="661" spans="3:18" x14ac:dyDescent="0.15">
      <c r="D661" s="6" t="s">
        <v>453</v>
      </c>
      <c r="E661" s="9" t="s">
        <v>467</v>
      </c>
      <c r="F661">
        <v>8</v>
      </c>
      <c r="G661">
        <v>16</v>
      </c>
      <c r="H661">
        <v>10</v>
      </c>
      <c r="I661" s="1" t="str">
        <f>TESTconvRadixOfFrc(E661,F661,G661,H661)</f>
        <v>1</v>
      </c>
      <c r="M661" s="1" t="s">
        <v>44</v>
      </c>
      <c r="Q661" s="1" t="b">
        <f t="shared" si="458"/>
        <v>1</v>
      </c>
      <c r="R661" s="6"/>
    </row>
    <row r="662" spans="3:18" x14ac:dyDescent="0.15">
      <c r="D662" s="6" t="s">
        <v>9</v>
      </c>
      <c r="E662" s="1">
        <v>8</v>
      </c>
      <c r="F662">
        <v>16</v>
      </c>
      <c r="G662">
        <v>2</v>
      </c>
      <c r="H662">
        <v>10</v>
      </c>
      <c r="I662" s="1" t="str">
        <f>TESTconvRadixOfFrc(E662,F662,G662,H662)</f>
        <v>1</v>
      </c>
      <c r="M662" s="1" t="s">
        <v>44</v>
      </c>
      <c r="Q662" s="1" t="b">
        <f t="shared" si="458"/>
        <v>1</v>
      </c>
      <c r="R662" s="6"/>
    </row>
    <row r="663" spans="3:18" x14ac:dyDescent="0.15">
      <c r="D663" s="6" t="s">
        <v>449</v>
      </c>
      <c r="E663" s="1">
        <v>4</v>
      </c>
      <c r="F663">
        <v>16</v>
      </c>
      <c r="G663">
        <v>4</v>
      </c>
      <c r="H663">
        <v>10</v>
      </c>
      <c r="I663" s="1" t="str">
        <f>TESTconvRadixOfFrc(E663,F663,G663,H663)</f>
        <v>1</v>
      </c>
      <c r="M663" s="1" t="s">
        <v>44</v>
      </c>
      <c r="Q663" s="1" t="b">
        <f t="shared" si="458"/>
        <v>1</v>
      </c>
      <c r="R663" s="6"/>
    </row>
    <row r="664" spans="3:18" x14ac:dyDescent="0.15">
      <c r="D664" s="6" t="s">
        <v>450</v>
      </c>
      <c r="E664" s="1">
        <v>2</v>
      </c>
      <c r="F664">
        <v>16</v>
      </c>
      <c r="G664">
        <v>8</v>
      </c>
      <c r="H664">
        <v>10</v>
      </c>
      <c r="I664" s="1" t="str">
        <f>TESTconvRadixOfFrc(E664,F664,G664,H664)</f>
        <v>1</v>
      </c>
      <c r="M664" s="1" t="s">
        <v>44</v>
      </c>
      <c r="Q664" s="1" t="b">
        <f t="shared" si="458"/>
        <v>1</v>
      </c>
      <c r="R664" s="6"/>
    </row>
    <row r="665" spans="3:18" x14ac:dyDescent="0.15">
      <c r="C665" s="2" t="s">
        <v>223</v>
      </c>
      <c r="D665" s="2" t="s">
        <v>447</v>
      </c>
      <c r="E665" s="11" t="s">
        <v>457</v>
      </c>
      <c r="F665" s="2">
        <v>2</v>
      </c>
      <c r="G665" s="2">
        <v>4</v>
      </c>
      <c r="H665" s="2">
        <v>10</v>
      </c>
      <c r="I665" s="3" t="str">
        <f>TESTconvRadixOfFrc(E665,F665,G665,H665)</f>
        <v>01</v>
      </c>
      <c r="J665" s="2"/>
      <c r="K665" s="2"/>
      <c r="L665" s="2"/>
      <c r="M665" s="3" t="s">
        <v>247</v>
      </c>
      <c r="N665" s="2"/>
      <c r="O665" s="2"/>
      <c r="P665" s="2"/>
      <c r="Q665" s="3" t="b">
        <f t="shared" ref="Q665:Q673" si="459">getText(I665)=getText(M665)</f>
        <v>1</v>
      </c>
      <c r="R665" s="6"/>
    </row>
    <row r="666" spans="3:18" x14ac:dyDescent="0.15">
      <c r="C666" s="6"/>
      <c r="D666" s="6" t="s">
        <v>448</v>
      </c>
      <c r="E666" s="9" t="s">
        <v>462</v>
      </c>
      <c r="F666">
        <v>2</v>
      </c>
      <c r="G666">
        <v>8</v>
      </c>
      <c r="H666">
        <v>10</v>
      </c>
      <c r="I666" s="1" t="str">
        <f>TESTconvRadixOfFrc(E666,F666,G666,H666)</f>
        <v>01</v>
      </c>
      <c r="J666" s="6"/>
      <c r="K666" s="6"/>
      <c r="L666" s="6"/>
      <c r="M666" s="1" t="s">
        <v>247</v>
      </c>
      <c r="N666" s="6"/>
      <c r="O666" s="6"/>
      <c r="P666" s="6"/>
      <c r="Q666" s="1" t="b">
        <f t="shared" si="459"/>
        <v>1</v>
      </c>
      <c r="R666" s="6"/>
    </row>
    <row r="667" spans="3:18" x14ac:dyDescent="0.15">
      <c r="D667" s="6" t="s">
        <v>5</v>
      </c>
      <c r="E667" s="9" t="s">
        <v>464</v>
      </c>
      <c r="F667">
        <v>2</v>
      </c>
      <c r="G667">
        <v>16</v>
      </c>
      <c r="H667">
        <v>10</v>
      </c>
      <c r="I667" s="1" t="str">
        <f>TESTconvRadixOfFrc(E667,F667,G667,H667)</f>
        <v>01</v>
      </c>
      <c r="M667" s="1" t="s">
        <v>247</v>
      </c>
      <c r="Q667" s="1" t="b">
        <f t="shared" si="459"/>
        <v>1</v>
      </c>
      <c r="R667" s="6"/>
    </row>
    <row r="668" spans="3:18" x14ac:dyDescent="0.15">
      <c r="D668" s="6" t="s">
        <v>451</v>
      </c>
      <c r="E668" s="9" t="s">
        <v>460</v>
      </c>
      <c r="F668">
        <v>8</v>
      </c>
      <c r="G668">
        <v>2</v>
      </c>
      <c r="H668">
        <v>10</v>
      </c>
      <c r="I668" s="1" t="str">
        <f>TESTconvRadixOfFrc(E668,F668,G668,H668)</f>
        <v>01</v>
      </c>
      <c r="M668" s="1" t="s">
        <v>247</v>
      </c>
      <c r="Q668" s="1" t="b">
        <f t="shared" si="459"/>
        <v>1</v>
      </c>
      <c r="R668" s="6"/>
    </row>
    <row r="669" spans="3:18" x14ac:dyDescent="0.15">
      <c r="D669" s="6" t="s">
        <v>452</v>
      </c>
      <c r="E669" s="9" t="s">
        <v>467</v>
      </c>
      <c r="F669">
        <v>8</v>
      </c>
      <c r="G669">
        <v>4</v>
      </c>
      <c r="H669">
        <v>10</v>
      </c>
      <c r="I669" s="1" t="str">
        <f>TESTconvRadixOfFrc(E669,F669,G669,H669)</f>
        <v>01</v>
      </c>
      <c r="M669" s="1" t="s">
        <v>247</v>
      </c>
      <c r="Q669" s="1" t="b">
        <f t="shared" si="459"/>
        <v>1</v>
      </c>
      <c r="R669" s="6"/>
    </row>
    <row r="670" spans="3:18" x14ac:dyDescent="0.15">
      <c r="D670" s="6" t="s">
        <v>453</v>
      </c>
      <c r="E670" s="9" t="s">
        <v>461</v>
      </c>
      <c r="F670">
        <v>8</v>
      </c>
      <c r="G670">
        <v>16</v>
      </c>
      <c r="H670">
        <v>10</v>
      </c>
      <c r="I670" s="1" t="str">
        <f>TESTconvRadixOfFrc(E670,F670,G670,H670)</f>
        <v>01</v>
      </c>
      <c r="M670" s="1" t="s">
        <v>247</v>
      </c>
      <c r="Q670" s="1" t="b">
        <f t="shared" si="459"/>
        <v>1</v>
      </c>
      <c r="R670" s="6"/>
    </row>
    <row r="671" spans="3:18" x14ac:dyDescent="0.15">
      <c r="D671" s="6" t="s">
        <v>9</v>
      </c>
      <c r="E671" s="9" t="s">
        <v>458</v>
      </c>
      <c r="F671">
        <v>16</v>
      </c>
      <c r="G671">
        <v>2</v>
      </c>
      <c r="H671">
        <v>10</v>
      </c>
      <c r="I671" s="1" t="str">
        <f>TESTconvRadixOfFrc(E671,F671,G671,H671)</f>
        <v>01</v>
      </c>
      <c r="M671" s="1" t="s">
        <v>247</v>
      </c>
      <c r="Q671" s="1" t="b">
        <f t="shared" si="459"/>
        <v>1</v>
      </c>
      <c r="R671" s="6"/>
    </row>
    <row r="672" spans="3:18" x14ac:dyDescent="0.15">
      <c r="D672" s="6" t="s">
        <v>449</v>
      </c>
      <c r="E672" s="9" t="s">
        <v>459</v>
      </c>
      <c r="F672">
        <v>16</v>
      </c>
      <c r="G672">
        <v>4</v>
      </c>
      <c r="H672">
        <v>10</v>
      </c>
      <c r="I672" s="1" t="str">
        <f>TESTconvRadixOfFrc(E672,F672,G672,H672)</f>
        <v>01</v>
      </c>
      <c r="M672" s="1" t="s">
        <v>247</v>
      </c>
      <c r="Q672" s="1" t="b">
        <f t="shared" si="459"/>
        <v>1</v>
      </c>
      <c r="R672" s="6"/>
    </row>
    <row r="673" spans="2:18" x14ac:dyDescent="0.15">
      <c r="D673" s="6" t="s">
        <v>450</v>
      </c>
      <c r="E673" s="9" t="s">
        <v>467</v>
      </c>
      <c r="F673">
        <v>16</v>
      </c>
      <c r="G673">
        <v>8</v>
      </c>
      <c r="H673">
        <v>10</v>
      </c>
      <c r="I673" s="1" t="str">
        <f>TESTconvRadixOfFrc(E673,F673,G673,H673)</f>
        <v>01</v>
      </c>
      <c r="M673" s="1" t="s">
        <v>247</v>
      </c>
      <c r="Q673" s="1" t="b">
        <f t="shared" si="459"/>
        <v>1</v>
      </c>
      <c r="R673" s="6"/>
    </row>
    <row r="674" spans="2:18" x14ac:dyDescent="0.15">
      <c r="C674" s="2" t="s">
        <v>224</v>
      </c>
      <c r="D674" s="2" t="s">
        <v>447</v>
      </c>
      <c r="E674" s="11" t="s">
        <v>462</v>
      </c>
      <c r="F674" s="2">
        <v>2</v>
      </c>
      <c r="G674" s="2">
        <v>4</v>
      </c>
      <c r="H674" s="2">
        <v>10</v>
      </c>
      <c r="I674" s="3" t="str">
        <f>TESTconvRadixOfFrc(E674,F674,G674,H674)</f>
        <v>001</v>
      </c>
      <c r="J674" s="2"/>
      <c r="K674" s="2"/>
      <c r="L674" s="2"/>
      <c r="M674" s="3" t="s">
        <v>81</v>
      </c>
      <c r="N674" s="2"/>
      <c r="O674" s="2"/>
      <c r="P674" s="2"/>
      <c r="Q674" s="3" t="b">
        <f t="shared" ref="Q674:Q675" si="460">getText(I674)=getText(M674)</f>
        <v>1</v>
      </c>
      <c r="R674" s="6"/>
    </row>
    <row r="675" spans="2:18" x14ac:dyDescent="0.15">
      <c r="D675" s="6" t="s">
        <v>448</v>
      </c>
      <c r="E675" s="9" t="s">
        <v>465</v>
      </c>
      <c r="F675">
        <v>2</v>
      </c>
      <c r="G675">
        <v>8</v>
      </c>
      <c r="H675">
        <v>10</v>
      </c>
      <c r="I675" s="1" t="str">
        <f>TESTconvRadixOfFrc(E675,F675,G675,H675)</f>
        <v>001</v>
      </c>
      <c r="M675" s="1" t="s">
        <v>81</v>
      </c>
      <c r="Q675" s="1" t="b">
        <f t="shared" si="460"/>
        <v>1</v>
      </c>
      <c r="R675" s="6"/>
    </row>
    <row r="676" spans="2:18" x14ac:dyDescent="0.15">
      <c r="D676" s="6" t="s">
        <v>5</v>
      </c>
      <c r="E676" s="9" t="s">
        <v>466</v>
      </c>
      <c r="F676">
        <v>2</v>
      </c>
      <c r="G676">
        <v>16</v>
      </c>
      <c r="H676">
        <v>10</v>
      </c>
      <c r="I676" s="1" t="str">
        <f>TESTconvRadixOfFrc(E676,F676,G676,H676)</f>
        <v>001</v>
      </c>
      <c r="M676" s="1" t="s">
        <v>81</v>
      </c>
      <c r="Q676" s="1" t="b">
        <f t="shared" ref="Q676:Q686" si="461">getText(I676)=getText(M676)</f>
        <v>1</v>
      </c>
      <c r="R676" s="6"/>
    </row>
    <row r="677" spans="2:18" x14ac:dyDescent="0.15">
      <c r="D677" s="6" t="s">
        <v>451</v>
      </c>
      <c r="E677" s="9" t="s">
        <v>459</v>
      </c>
      <c r="F677">
        <v>8</v>
      </c>
      <c r="G677">
        <v>2</v>
      </c>
      <c r="H677">
        <v>10</v>
      </c>
      <c r="I677" s="1" t="str">
        <f>TESTconvRadixOfFrc(E677,F677,G677,H677)</f>
        <v>001</v>
      </c>
      <c r="M677" s="1" t="s">
        <v>81</v>
      </c>
      <c r="Q677" s="1" t="b">
        <f t="shared" si="461"/>
        <v>1</v>
      </c>
      <c r="R677" s="6"/>
    </row>
    <row r="678" spans="2:18" x14ac:dyDescent="0.15">
      <c r="D678" s="6" t="s">
        <v>452</v>
      </c>
      <c r="E678" s="9" t="s">
        <v>463</v>
      </c>
      <c r="F678">
        <v>8</v>
      </c>
      <c r="G678">
        <v>4</v>
      </c>
      <c r="H678">
        <v>10</v>
      </c>
      <c r="I678" s="1" t="str">
        <f>TESTconvRadixOfFrc(E678,F678,G678,H678)</f>
        <v>001</v>
      </c>
      <c r="M678" s="1" t="s">
        <v>81</v>
      </c>
      <c r="Q678" s="1" t="b">
        <f t="shared" si="461"/>
        <v>1</v>
      </c>
      <c r="R678" s="6"/>
    </row>
    <row r="679" spans="2:18" x14ac:dyDescent="0.15">
      <c r="D679" s="6" t="s">
        <v>453</v>
      </c>
      <c r="E679" s="9" t="s">
        <v>457</v>
      </c>
      <c r="F679">
        <v>8</v>
      </c>
      <c r="G679">
        <v>16</v>
      </c>
      <c r="H679">
        <v>10</v>
      </c>
      <c r="I679" s="1" t="str">
        <f>TESTconvRadixOfFrc(E679,F679,G679,H679)</f>
        <v>001</v>
      </c>
      <c r="M679" s="1" t="s">
        <v>81</v>
      </c>
      <c r="Q679" s="1" t="b">
        <f t="shared" si="461"/>
        <v>1</v>
      </c>
      <c r="R679" s="6"/>
    </row>
    <row r="680" spans="2:18" x14ac:dyDescent="0.15">
      <c r="D680" s="6" t="s">
        <v>9</v>
      </c>
      <c r="E680" s="9" t="s">
        <v>460</v>
      </c>
      <c r="F680">
        <v>16</v>
      </c>
      <c r="G680">
        <v>2</v>
      </c>
      <c r="H680">
        <v>10</v>
      </c>
      <c r="I680" s="1" t="str">
        <f>TESTconvRadixOfFrc(E680,F680,G680,H680)</f>
        <v>001</v>
      </c>
      <c r="M680" s="1" t="s">
        <v>81</v>
      </c>
      <c r="Q680" s="1" t="b">
        <f t="shared" si="461"/>
        <v>1</v>
      </c>
      <c r="R680" s="6"/>
    </row>
    <row r="681" spans="2:18" x14ac:dyDescent="0.15">
      <c r="D681" s="6" t="s">
        <v>449</v>
      </c>
      <c r="E681" s="9" t="s">
        <v>467</v>
      </c>
      <c r="F681">
        <v>16</v>
      </c>
      <c r="G681">
        <v>4</v>
      </c>
      <c r="H681">
        <v>10</v>
      </c>
      <c r="I681" s="1" t="str">
        <f>TESTconvRadixOfFrc(E681,F681,G681,H681)</f>
        <v>001</v>
      </c>
      <c r="M681" s="1" t="s">
        <v>81</v>
      </c>
      <c r="Q681" s="1" t="b">
        <f t="shared" si="461"/>
        <v>1</v>
      </c>
      <c r="R681" s="6"/>
    </row>
    <row r="682" spans="2:18" x14ac:dyDescent="0.15">
      <c r="D682" s="6" t="s">
        <v>450</v>
      </c>
      <c r="E682" s="9" t="s">
        <v>468</v>
      </c>
      <c r="F682">
        <v>16</v>
      </c>
      <c r="G682">
        <v>8</v>
      </c>
      <c r="H682">
        <v>10</v>
      </c>
      <c r="I682" s="1" t="str">
        <f>TESTconvRadixOfFrc(E682,F682,G682,H682)</f>
        <v>001</v>
      </c>
      <c r="M682" s="1" t="s">
        <v>81</v>
      </c>
      <c r="Q682" s="1" t="b">
        <f t="shared" si="461"/>
        <v>1</v>
      </c>
      <c r="R682" s="6"/>
    </row>
    <row r="683" spans="2:18" x14ac:dyDescent="0.15">
      <c r="B683" s="2" t="s">
        <v>440</v>
      </c>
      <c r="C683" s="22">
        <v>0</v>
      </c>
      <c r="D683" s="2"/>
      <c r="E683" s="3">
        <v>1</v>
      </c>
      <c r="F683" s="2">
        <v>3</v>
      </c>
      <c r="G683" s="2">
        <v>10</v>
      </c>
      <c r="H683" s="2">
        <v>0</v>
      </c>
      <c r="I683" s="3" t="str">
        <f>TESTconvRadixOfFrc(E683,F683,G683,H683)</f>
        <v/>
      </c>
      <c r="J683" s="2"/>
      <c r="K683" s="2"/>
      <c r="L683" s="2"/>
      <c r="M683" s="3" t="s">
        <v>45</v>
      </c>
      <c r="N683" s="2"/>
      <c r="O683" s="2"/>
      <c r="P683" s="2"/>
      <c r="Q683" s="3" t="b">
        <f t="shared" si="461"/>
        <v>1</v>
      </c>
      <c r="R683" s="6"/>
    </row>
    <row r="684" spans="2:18" x14ac:dyDescent="0.15">
      <c r="C684" s="27">
        <v>1</v>
      </c>
      <c r="E684" s="1">
        <v>1</v>
      </c>
      <c r="F684">
        <v>3</v>
      </c>
      <c r="G684">
        <v>10</v>
      </c>
      <c r="H684">
        <v>1</v>
      </c>
      <c r="I684" s="1" t="str">
        <f>TESTconvRadixOfFrc(E684,F684,G684,H684)</f>
        <v>3</v>
      </c>
      <c r="M684" s="1" t="s">
        <v>80</v>
      </c>
      <c r="Q684" s="1" t="b">
        <f t="shared" si="461"/>
        <v>1</v>
      </c>
      <c r="R684" s="6"/>
    </row>
    <row r="685" spans="2:18" x14ac:dyDescent="0.15">
      <c r="C685" s="27">
        <v>2</v>
      </c>
      <c r="E685" s="1">
        <v>1</v>
      </c>
      <c r="F685">
        <v>3</v>
      </c>
      <c r="G685">
        <v>10</v>
      </c>
      <c r="H685">
        <v>2</v>
      </c>
      <c r="I685" s="1" t="str">
        <f>TESTconvRadixOfFrc(E685,F685,G685,H685)</f>
        <v>33</v>
      </c>
      <c r="M685" s="1" t="s">
        <v>473</v>
      </c>
      <c r="Q685" s="1" t="b">
        <f t="shared" si="461"/>
        <v>1</v>
      </c>
      <c r="R685" s="6"/>
    </row>
    <row r="686" spans="2:18" x14ac:dyDescent="0.15">
      <c r="C686" s="34">
        <v>255</v>
      </c>
      <c r="E686" s="1">
        <v>1</v>
      </c>
      <c r="F686">
        <v>3</v>
      </c>
      <c r="G686">
        <v>10</v>
      </c>
      <c r="H686" s="15">
        <v>255</v>
      </c>
      <c r="I686" s="1" t="str">
        <f>TESTconvRadixOfFrc(E686,F686,G686,H686)</f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86" s="1" t="s">
        <v>474</v>
      </c>
      <c r="Q686" s="1" t="b">
        <f t="shared" si="461"/>
        <v>1</v>
      </c>
      <c r="R686" s="6"/>
    </row>
    <row r="687" spans="2:18" x14ac:dyDescent="0.15">
      <c r="R687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94:T1048576 Q1:T75 R76:T79 Q80:T90 R91:T91 Q92:T100 R101:T101 Q102:T173">
    <cfRule type="expression" dxfId="8" priority="14">
      <formula>AND(Q1&lt;&gt;"",Q1=FALSE)</formula>
    </cfRule>
  </conditionalFormatting>
  <conditionalFormatting sqref="Q174:T176">
    <cfRule type="expression" dxfId="7" priority="8">
      <formula>AND(Q174&lt;&gt;"",Q174=FALSE)</formula>
    </cfRule>
  </conditionalFormatting>
  <conditionalFormatting sqref="Q177:T179">
    <cfRule type="expression" dxfId="6" priority="7">
      <formula>AND(Q177&lt;&gt;"",Q177=FALSE)</formula>
    </cfRule>
  </conditionalFormatting>
  <conditionalFormatting sqref="Q180:T182">
    <cfRule type="expression" dxfId="5" priority="6">
      <formula>AND(Q180&lt;&gt;"",Q180=FALSE)</formula>
    </cfRule>
  </conditionalFormatting>
  <conditionalFormatting sqref="Q183:T185">
    <cfRule type="expression" dxfId="4" priority="5">
      <formula>AND(Q183&lt;&gt;"",Q183=FALSE)</formula>
    </cfRule>
  </conditionalFormatting>
  <conditionalFormatting sqref="Q186:T193">
    <cfRule type="expression" dxfId="3" priority="4">
      <formula>AND(Q186&lt;&gt;"",Q186=FALSE)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2018-05-20T08:40:01Z</dcterms:modified>
</cp:coreProperties>
</file>