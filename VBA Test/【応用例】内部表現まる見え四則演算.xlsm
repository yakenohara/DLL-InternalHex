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 defaultThemeVersion="166925"/>
  <xr:revisionPtr revIDLastSave="0" documentId="13_ncr:1_{025E43BE-810E-4A16-B932-E742A266E78B}" xr6:coauthVersionLast="45" xr6:coauthVersionMax="45" xr10:uidLastSave="{00000000-0000-0000-0000-000000000000}"/>
  <bookViews>
    <workbookView xWindow="28680" yWindow="-120" windowWidth="29040" windowHeight="16440" xr2:uid="{00000000-000D-0000-FFFF-FFFF00000000}"/>
  </bookViews>
  <sheets>
    <sheet name="まる見え" sheetId="7" r:id="rId1"/>
  </sheets>
  <functionGroups builtInGroupCount="19"/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7" l="1"/>
  <c r="G3" i="7"/>
  <c r="I3" i="7"/>
  <c r="J3" i="7"/>
  <c r="H3" i="7"/>
  <c r="F4" i="7"/>
  <c r="F13" i="7"/>
  <c r="G13" i="7"/>
  <c r="F8" i="7"/>
  <c r="G4" i="7"/>
  <c r="F21" i="7"/>
  <c r="F22" i="7"/>
  <c r="G22" i="7"/>
  <c r="F7" i="7"/>
  <c r="I13" i="7"/>
  <c r="J8" i="7"/>
  <c r="F12" i="7"/>
  <c r="I12" i="7" s="1"/>
  <c r="H4" i="7"/>
  <c r="F17" i="7"/>
  <c r="J17" i="7"/>
  <c r="J4" i="7"/>
  <c r="I4" i="7"/>
  <c r="H8" i="7"/>
  <c r="I7" i="7"/>
  <c r="H12" i="7"/>
  <c r="F24" i="7"/>
  <c r="G24" i="7" s="1"/>
  <c r="J7" i="7"/>
  <c r="J12" i="7"/>
  <c r="G12" i="7"/>
  <c r="H17" i="7"/>
  <c r="I24" i="7"/>
  <c r="F6" i="7"/>
  <c r="F5" i="7"/>
  <c r="F14" i="7"/>
  <c r="F15" i="7"/>
  <c r="F16" i="7"/>
  <c r="J13" i="7"/>
  <c r="H13" i="7"/>
  <c r="G8" i="7"/>
  <c r="I21" i="7"/>
  <c r="G21" i="7"/>
  <c r="I22" i="7"/>
  <c r="F23" i="7"/>
  <c r="F26" i="7"/>
  <c r="F25" i="7"/>
  <c r="G7" i="7"/>
  <c r="H7" i="7"/>
  <c r="G17" i="7"/>
  <c r="I17" i="7"/>
  <c r="G6" i="7"/>
  <c r="H6" i="7"/>
  <c r="J6" i="7"/>
  <c r="I6" i="7"/>
  <c r="J5" i="7"/>
  <c r="I5" i="7"/>
  <c r="G5" i="7"/>
  <c r="H14" i="7"/>
  <c r="I14" i="7"/>
  <c r="J14" i="7"/>
  <c r="G14" i="7"/>
  <c r="J15" i="7"/>
  <c r="G15" i="7"/>
  <c r="I15" i="7"/>
  <c r="H15" i="7"/>
  <c r="H16" i="7"/>
  <c r="I16" i="7"/>
  <c r="G16" i="7"/>
  <c r="J16" i="7"/>
  <c r="I23" i="7"/>
  <c r="G23" i="7"/>
  <c r="I26" i="7"/>
  <c r="G26" i="7"/>
  <c r="G25" i="7"/>
  <c r="I25" i="7"/>
  <c r="J26" i="7" l="1"/>
  <c r="K26" i="7"/>
  <c r="K15" i="7"/>
  <c r="K5" i="7"/>
  <c r="J22" i="7"/>
  <c r="K13" i="7"/>
  <c r="K12" i="7"/>
  <c r="K4" i="7"/>
  <c r="K8" i="7"/>
  <c r="K3" i="7"/>
  <c r="J23" i="7"/>
  <c r="J25" i="7"/>
  <c r="K16" i="7"/>
  <c r="K14" i="7"/>
  <c r="K6" i="7"/>
  <c r="J21" i="7"/>
  <c r="H5" i="7"/>
  <c r="K7" i="7"/>
  <c r="K17" i="7"/>
  <c r="I8" i="7"/>
  <c r="J24" i="7"/>
  <c r="K24" i="7"/>
  <c r="K25" i="7"/>
  <c r="K22" i="7"/>
  <c r="K21" i="7"/>
  <c r="K23" i="7"/>
</calcChain>
</file>

<file path=xl/sharedStrings.xml><?xml version="1.0" encoding="utf-8"?>
<sst xmlns="http://schemas.openxmlformats.org/spreadsheetml/2006/main" count="46" uniqueCount="32">
  <si>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</si>
  <si>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</si>
  <si>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</si>
  <si>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</si>
  <si>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</si>
  <si>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</si>
  <si>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Internal Hex</t>
    <phoneticPr fontId="1"/>
  </si>
  <si>
    <t>実</t>
    <rPh sb="0" eb="1">
      <t>ジツ</t>
    </rPh>
    <phoneticPr fontId="1"/>
  </si>
  <si>
    <t>10進値</t>
    <rPh sb="2" eb="3">
      <t>シン</t>
    </rPh>
    <rPh sb="3" eb="4">
      <t>アタイ</t>
    </rPh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</si>
  <si>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</si>
  <si>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</si>
  <si>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</si>
  <si>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</si>
  <si>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Double</t>
    <phoneticPr fontId="1"/>
  </si>
  <si>
    <t>Input</t>
    <phoneticPr fontId="1"/>
  </si>
  <si>
    <t>Internal Bin</t>
    <phoneticPr fontId="1"/>
  </si>
  <si>
    <t>Internal Hex</t>
    <phoneticPr fontId="1"/>
  </si>
  <si>
    <t>Internal Bin</t>
    <phoneticPr fontId="1"/>
  </si>
  <si>
    <t>Float</t>
    <phoneticPr fontId="1"/>
  </si>
  <si>
    <t>A</t>
    <phoneticPr fontId="1"/>
  </si>
  <si>
    <t>B</t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</si>
  <si>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</si>
  <si>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</si>
  <si>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</si>
  <si>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</si>
  <si>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Internal Hex</t>
    <phoneticPr fontId="1"/>
  </si>
  <si>
    <t>Internal Bin</t>
    <phoneticPr fontId="1"/>
  </si>
  <si>
    <t>±</t>
    <phoneticPr fontId="1"/>
  </si>
  <si>
    <t>Long</t>
    <phoneticPr fontId="1"/>
  </si>
  <si>
    <t>A</t>
    <phoneticPr fontId="1"/>
  </si>
  <si>
    <t>B</t>
    <phoneticPr fontId="1"/>
  </si>
  <si>
    <t>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</si>
</sst>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right" vertical="center"/>
    </xf>
    <xf numFmtId="49" fontId="2" fillId="0" borderId="5" xfId="0" applyNumberFormat="1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right" vertical="center"/>
    </xf>
    <xf numFmtId="0" fontId="4" fillId="0" borderId="5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4</xdr:row>
      <xdr:rowOff>61913</xdr:rowOff>
    </xdr:from>
    <xdr:to>
      <xdr:col>3</xdr:col>
      <xdr:colOff>0</xdr:colOff>
      <xdr:row>13</xdr:row>
      <xdr:rowOff>129169</xdr:rowOff>
    </xdr:to>
    <xdr:cxnSp macro="">
      <xdr:nvCxnSpPr>
        <xdr:cNvPr id="3" name="カギ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stCxn id="11" idx="6"/>
          <a:endCxn id="8" idx="2"/>
        </xdr:cNvCxnSpPr>
      </xdr:nvCxnSpPr>
      <xdr:spPr>
        <a:xfrm flipV="1">
          <a:off x="1524000" y="638059"/>
          <a:ext cx="609600" cy="137287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800100</xdr:colOff>
      <xdr:row>4</xdr:row>
      <xdr:rowOff>9525</xdr:rowOff>
    </xdr:from>
    <xdr:to>
      <xdr:col>3</xdr:col>
      <xdr:colOff>66675</xdr:colOff>
      <xdr:row>4</xdr:row>
      <xdr:rowOff>114300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33600" y="581025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57150</xdr:colOff>
      <xdr:row>13</xdr:row>
      <xdr:rowOff>76200</xdr:rowOff>
    </xdr:from>
    <xdr:to>
      <xdr:col>2</xdr:col>
      <xdr:colOff>190500</xdr:colOff>
      <xdr:row>14</xdr:row>
      <xdr:rowOff>38100</xdr:rowOff>
    </xdr:to>
    <xdr:sp macro="" textlink="">
      <xdr:nvSpPr>
        <xdr:cNvPr id="11" name="楕円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390650" y="194310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13</xdr:row>
      <xdr:rowOff>76200</xdr:rowOff>
    </xdr:from>
    <xdr:to>
      <xdr:col>3</xdr:col>
      <xdr:colOff>66675</xdr:colOff>
      <xdr:row>14</xdr:row>
      <xdr:rowOff>38100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133600" y="1957968"/>
          <a:ext cx="135441" cy="10593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22</xdr:row>
      <xdr:rowOff>95250</xdr:rowOff>
    </xdr:from>
    <xdr:to>
      <xdr:col>3</xdr:col>
      <xdr:colOff>66675</xdr:colOff>
      <xdr:row>23</xdr:row>
      <xdr:rowOff>57150</xdr:rowOff>
    </xdr:to>
    <xdr:sp macro="" textlink="">
      <xdr:nvSpPr>
        <xdr:cNvPr id="14" name="楕円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133600" y="325755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13</xdr:row>
      <xdr:rowOff>141869</xdr:rowOff>
    </xdr:to>
    <xdr:cxnSp macro="">
      <xdr:nvCxnSpPr>
        <xdr:cNvPr id="15" name="カギ線コネクタ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stCxn id="11" idx="6"/>
          <a:endCxn id="13" idx="2"/>
        </xdr:cNvCxnSpPr>
      </xdr:nvCxnSpPr>
      <xdr:spPr>
        <a:xfrm>
          <a:off x="1524000" y="2010937"/>
          <a:ext cx="6096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23</xdr:row>
      <xdr:rowOff>4182</xdr:rowOff>
    </xdr:to>
    <xdr:cxnSp macro="">
      <xdr:nvCxnSpPr>
        <xdr:cNvPr id="18" name="カギ線コネクタ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1" idx="6"/>
          <a:endCxn id="14" idx="2"/>
        </xdr:cNvCxnSpPr>
      </xdr:nvCxnSpPr>
      <xdr:spPr>
        <a:xfrm>
          <a:off x="1524000" y="2010937"/>
          <a:ext cx="609600" cy="132467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7"/>
  <sheetViews>
    <sheetView tabSelected="1" zoomScaleNormal="100" workbookViewId="0"/>
  </sheetViews>
  <sheetFormatPr defaultRowHeight="11.25" x14ac:dyDescent="0.15"/>
  <cols>
    <col min="1" max="1" width="2.7109375" style="1" bestFit="1" customWidth="1"/>
    <col min="2" max="2" width="13" style="3" bestFit="1" customWidth="1"/>
    <col min="3" max="3" width="13" style="3" customWidth="1"/>
    <col min="4" max="4" width="7.7109375" style="3" bestFit="1" customWidth="1"/>
    <col min="5" max="5" width="6.7109375" style="3" bestFit="1" customWidth="1"/>
    <col min="6" max="6" width="16.28515625" style="3" bestFit="1" customWidth="1"/>
    <col min="7" max="7" width="7.7109375" style="2" bestFit="1" customWidth="1"/>
    <col min="8" max="8" width="11.42578125" style="2" bestFit="1" customWidth="1"/>
    <col min="9" max="9" width="51" style="2" bestFit="1" customWidth="1"/>
    <col min="10" max="11" width="52.85546875" style="2" bestFit="1" customWidth="1"/>
    <col min="12" max="16384" width="9.140625" style="3"/>
  </cols>
  <sheetData>
    <row r="1" spans="1:11" s="5" customFormat="1" x14ac:dyDescent="0.15">
      <c r="D1" s="32"/>
      <c r="E1" s="32"/>
      <c r="F1" s="31" t="s">
        <v>6</v>
      </c>
      <c r="G1" s="31" t="s">
        <v>15</v>
      </c>
      <c r="H1" s="31"/>
      <c r="I1" s="31"/>
      <c r="J1" s="31" t="s">
        <v>3</v>
      </c>
      <c r="K1" s="31" t="s">
        <v>8</v>
      </c>
    </row>
    <row r="2" spans="1:11" s="5" customFormat="1" x14ac:dyDescent="0.15">
      <c r="D2" s="32"/>
      <c r="E2" s="32"/>
      <c r="F2" s="31"/>
      <c r="G2" s="7" t="s">
        <v>0</v>
      </c>
      <c r="H2" s="7" t="s">
        <v>1</v>
      </c>
      <c r="I2" s="7" t="s">
        <v>2</v>
      </c>
      <c r="J2" s="31"/>
      <c r="K2" s="31"/>
    </row>
    <row r="3" spans="1:11" x14ac:dyDescent="0.15">
      <c r="A3" s="3"/>
      <c r="D3" s="30" t="s">
        <v>13</v>
      </c>
      <c r="E3" s="9" t="s">
        <v>4</v>
      </c>
      <c r="F3" s="10" t="str">
        <f>convDecStrToCDoubleAndGetInternalHex(B14)</f>
        <v>0000000000000000</v>
      </c>
      <c r="G3" s="26" t="str">
        <f t="shared" ref="G3:G8" si="0">LEFT(convHexIntToBinInt(F3),1)</f>
        <v>0</v>
      </c>
      <c r="H3" s="12" t="str">
        <f t="shared" ref="H3:H8" si="1">MID(convHexIntToBinInt(F3),2,11)</f>
        <v>00000000000</v>
      </c>
      <c r="I3" s="12" t="str">
        <f t="shared" ref="I3:I8" si="2">RIGHT(convHexIntToBinInt(F3),52)</f>
        <v>0000000000000000000000000000000000000000000000000000</v>
      </c>
      <c r="J3" s="11" t="str">
        <f>getBinFromCDoubleInternalHex(F3)</f>
        <v>0</v>
      </c>
      <c r="K3" s="11" t="str">
        <f t="shared" ref="K3:K8" si="3">baseNConv(J3,2,10,2000)</f>
        <v>0</v>
      </c>
    </row>
    <row r="4" spans="1:11" x14ac:dyDescent="0.15">
      <c r="A4" s="3"/>
      <c r="D4" s="30"/>
      <c r="E4" s="13" t="s">
        <v>5</v>
      </c>
      <c r="F4" s="14" t="str">
        <f>convDecStrToCDoubleAndGetInternalHex(B15)</f>
        <v>0000000000000000</v>
      </c>
      <c r="G4" s="27" t="str">
        <f t="shared" si="0"/>
        <v>0</v>
      </c>
      <c r="H4" s="16" t="str">
        <f t="shared" si="1"/>
        <v>00000000000</v>
      </c>
      <c r="I4" s="16" t="str">
        <f t="shared" si="2"/>
        <v>0000000000000000000000000000000000000000000000000000</v>
      </c>
      <c r="J4" s="15" t="str">
        <f t="shared" ref="J4:J8" si="4">getBinFromCDoubleInternalHex(F4)</f>
        <v>0</v>
      </c>
      <c r="K4" s="15" t="str">
        <f t="shared" si="3"/>
        <v>0</v>
      </c>
    </row>
    <row r="5" spans="1:11" x14ac:dyDescent="0.15">
      <c r="A5" s="3"/>
      <c r="D5" s="30"/>
      <c r="E5" s="13" t="s">
        <v>9</v>
      </c>
      <c r="F5" s="20" t="str">
        <f>addtionCDoubleByInternalHex(F3,F4)</f>
        <v>0000000000000000</v>
      </c>
      <c r="G5" s="28" t="str">
        <f t="shared" si="0"/>
        <v>0</v>
      </c>
      <c r="H5" s="22" t="str">
        <f t="shared" si="1"/>
        <v>00000000000</v>
      </c>
      <c r="I5" s="22" t="str">
        <f t="shared" si="2"/>
        <v>0000000000000000000000000000000000000000000000000000</v>
      </c>
      <c r="J5" s="21" t="str">
        <f t="shared" si="4"/>
        <v>0</v>
      </c>
      <c r="K5" s="21" t="str">
        <f t="shared" si="3"/>
        <v>0</v>
      </c>
    </row>
    <row r="6" spans="1:11" x14ac:dyDescent="0.15">
      <c r="A6" s="3"/>
      <c r="D6" s="30"/>
      <c r="E6" s="13" t="s">
        <v>10</v>
      </c>
      <c r="F6" s="20" t="str">
        <f>substractionCDoubleByInternalHex(F3,F4)</f>
        <v>0000000000000000</v>
      </c>
      <c r="G6" s="28" t="str">
        <f t="shared" si="0"/>
        <v>0</v>
      </c>
      <c r="H6" s="22" t="str">
        <f t="shared" si="1"/>
        <v>00000000000</v>
      </c>
      <c r="I6" s="22" t="str">
        <f t="shared" si="2"/>
        <v>0000000000000000000000000000000000000000000000000000</v>
      </c>
      <c r="J6" s="21" t="str">
        <f t="shared" si="4"/>
        <v>0</v>
      </c>
      <c r="K6" s="21" t="str">
        <f t="shared" si="3"/>
        <v>0</v>
      </c>
    </row>
    <row r="7" spans="1:11" x14ac:dyDescent="0.15">
      <c r="A7" s="3"/>
      <c r="D7" s="30"/>
      <c r="E7" s="13" t="s">
        <v>11</v>
      </c>
      <c r="F7" s="20" t="str">
        <f>multiplicationCDoubleByInternalHex(F3,F4)</f>
        <v>0000000000000000</v>
      </c>
      <c r="G7" s="28" t="str">
        <f t="shared" si="0"/>
        <v>0</v>
      </c>
      <c r="H7" s="22" t="str">
        <f t="shared" si="1"/>
        <v>00000000000</v>
      </c>
      <c r="I7" s="22" t="str">
        <f t="shared" si="2"/>
        <v>0000000000000000000000000000000000000000000000000000</v>
      </c>
      <c r="J7" s="21" t="str">
        <f t="shared" si="4"/>
        <v>0</v>
      </c>
      <c r="K7" s="21" t="str">
        <f t="shared" si="3"/>
        <v>0</v>
      </c>
    </row>
    <row r="8" spans="1:11" x14ac:dyDescent="0.15">
      <c r="A8" s="3"/>
      <c r="D8" s="30"/>
      <c r="E8" s="17" t="s">
        <v>12</v>
      </c>
      <c r="F8" s="23" t="str">
        <f>divisionCDoubleByInternalHex(F3,F4)</f>
        <v>FFF8000000000000</v>
      </c>
      <c r="G8" s="29" t="str">
        <f t="shared" si="0"/>
        <v>1</v>
      </c>
      <c r="H8" s="25" t="str">
        <f t="shared" si="1"/>
        <v>11111111111</v>
      </c>
      <c r="I8" s="25" t="str">
        <f t="shared" si="2"/>
        <v>1000000000000000000000000000000000000000000000000000</v>
      </c>
      <c r="J8" s="24" t="str">
        <f t="shared" si="4"/>
        <v>NaN</v>
      </c>
      <c r="K8" s="24" t="e">
        <f t="shared" si="3"/>
        <v>#NUM!</v>
      </c>
    </row>
    <row r="9" spans="1:11" x14ac:dyDescent="0.15">
      <c r="A9" s="3"/>
      <c r="D9" s="6"/>
      <c r="E9" s="1"/>
      <c r="H9" s="4"/>
      <c r="I9" s="4"/>
    </row>
    <row r="10" spans="1:11" ht="12" customHeight="1" x14ac:dyDescent="0.15">
      <c r="A10" s="3"/>
      <c r="D10" s="32"/>
      <c r="E10" s="32"/>
      <c r="F10" s="31" t="s">
        <v>16</v>
      </c>
      <c r="G10" s="31" t="s">
        <v>17</v>
      </c>
      <c r="H10" s="31"/>
      <c r="I10" s="31"/>
      <c r="J10" s="31" t="s">
        <v>3</v>
      </c>
      <c r="K10" s="31" t="s">
        <v>8</v>
      </c>
    </row>
    <row r="11" spans="1:11" x14ac:dyDescent="0.15">
      <c r="A11" s="3"/>
      <c r="D11" s="32"/>
      <c r="E11" s="32"/>
      <c r="F11" s="31"/>
      <c r="G11" s="7" t="s">
        <v>0</v>
      </c>
      <c r="H11" s="7" t="s">
        <v>1</v>
      </c>
      <c r="I11" s="7" t="s">
        <v>2</v>
      </c>
      <c r="J11" s="31"/>
      <c r="K11" s="31"/>
    </row>
    <row r="12" spans="1:11" x14ac:dyDescent="0.15">
      <c r="A12" s="3"/>
      <c r="D12" s="30" t="s">
        <v>18</v>
      </c>
      <c r="E12" s="9" t="s">
        <v>19</v>
      </c>
      <c r="F12" s="10" t="str">
        <f>convDecStrToCFloatAndGetInternalHex(B14)</f>
        <v>00000000</v>
      </c>
      <c r="G12" s="26" t="str">
        <f t="shared" ref="G12:G17" si="5">LEFT(convHexIntToBinInt(F12),1)</f>
        <v>0</v>
      </c>
      <c r="H12" s="12" t="str">
        <f t="shared" ref="H12:H17" si="6">MID(convHexIntToBinInt(F12),2,8)</f>
        <v>00000000</v>
      </c>
      <c r="I12" s="12" t="str">
        <f t="shared" ref="I12:I17" si="7">RIGHT(convHexIntToBinInt(F12),23)</f>
        <v>00000000000000000000000</v>
      </c>
      <c r="J12" s="11" t="str">
        <f>getBinFromCFloatInternalHex(F12)</f>
        <v>0</v>
      </c>
      <c r="K12" s="11" t="str">
        <f t="shared" ref="K12:K17" si="8">baseNConv(J12,2,10,2000)</f>
        <v>0</v>
      </c>
    </row>
    <row r="13" spans="1:11" x14ac:dyDescent="0.15">
      <c r="A13" s="8"/>
      <c r="B13" s="7" t="s">
        <v>14</v>
      </c>
      <c r="D13" s="30"/>
      <c r="E13" s="13" t="s">
        <v>20</v>
      </c>
      <c r="F13" s="14" t="str">
        <f>convDecStrToCFloatAndGetInternalHex(B15)</f>
        <v>00000000</v>
      </c>
      <c r="G13" s="27" t="str">
        <f t="shared" si="5"/>
        <v>0</v>
      </c>
      <c r="H13" s="16" t="str">
        <f t="shared" si="6"/>
        <v>00000000</v>
      </c>
      <c r="I13" s="16" t="str">
        <f t="shared" si="7"/>
        <v>00000000000000000000000</v>
      </c>
      <c r="J13" s="15" t="str">
        <f t="shared" ref="J13:J17" si="9">getBinFromCFloatInternalHex(F13)</f>
        <v>0</v>
      </c>
      <c r="K13" s="15" t="str">
        <f t="shared" si="8"/>
        <v>0</v>
      </c>
    </row>
    <row r="14" spans="1:11" x14ac:dyDescent="0.15">
      <c r="A14" s="9" t="s">
        <v>4</v>
      </c>
      <c r="B14" s="18" t="s">
        <v>31</v>
      </c>
      <c r="D14" s="30"/>
      <c r="E14" s="13" t="s">
        <v>21</v>
      </c>
      <c r="F14" s="20" t="str">
        <f>addtionCFloatByInternalHex(F12,F13)</f>
        <v>00000000</v>
      </c>
      <c r="G14" s="28" t="str">
        <f t="shared" si="5"/>
        <v>0</v>
      </c>
      <c r="H14" s="22" t="str">
        <f t="shared" si="6"/>
        <v>00000000</v>
      </c>
      <c r="I14" s="22" t="str">
        <f t="shared" si="7"/>
        <v>00000000000000000000000</v>
      </c>
      <c r="J14" s="21" t="str">
        <f t="shared" si="9"/>
        <v>0</v>
      </c>
      <c r="K14" s="21" t="str">
        <f t="shared" si="8"/>
        <v>0</v>
      </c>
    </row>
    <row r="15" spans="1:11" x14ac:dyDescent="0.15">
      <c r="A15" s="17" t="s">
        <v>5</v>
      </c>
      <c r="B15" s="19" t="s">
        <v>31</v>
      </c>
      <c r="D15" s="30"/>
      <c r="E15" s="13" t="s">
        <v>22</v>
      </c>
      <c r="F15" s="20" t="str">
        <f>substractionCFloatByInternalHex(F12,F13)</f>
        <v>00000000</v>
      </c>
      <c r="G15" s="28" t="str">
        <f t="shared" si="5"/>
        <v>0</v>
      </c>
      <c r="H15" s="22" t="str">
        <f t="shared" si="6"/>
        <v>00000000</v>
      </c>
      <c r="I15" s="22" t="str">
        <f t="shared" si="7"/>
        <v>00000000000000000000000</v>
      </c>
      <c r="J15" s="21" t="str">
        <f t="shared" si="9"/>
        <v>0</v>
      </c>
      <c r="K15" s="21" t="str">
        <f t="shared" si="8"/>
        <v>0</v>
      </c>
    </row>
    <row r="16" spans="1:11" x14ac:dyDescent="0.15">
      <c r="D16" s="30"/>
      <c r="E16" s="13" t="s">
        <v>23</v>
      </c>
      <c r="F16" s="20" t="str">
        <f>multiplicationCFloatByInternalHex(F12,F13)</f>
        <v>00000000</v>
      </c>
      <c r="G16" s="28" t="str">
        <f t="shared" si="5"/>
        <v>0</v>
      </c>
      <c r="H16" s="22" t="str">
        <f t="shared" si="6"/>
        <v>00000000</v>
      </c>
      <c r="I16" s="22" t="str">
        <f t="shared" si="7"/>
        <v>00000000000000000000000</v>
      </c>
      <c r="J16" s="21" t="str">
        <f t="shared" si="9"/>
        <v>0</v>
      </c>
      <c r="K16" s="21" t="str">
        <f t="shared" si="8"/>
        <v>0</v>
      </c>
    </row>
    <row r="17" spans="4:11" x14ac:dyDescent="0.15">
      <c r="D17" s="30"/>
      <c r="E17" s="17" t="s">
        <v>24</v>
      </c>
      <c r="F17" s="23" t="str">
        <f>divisionCFloatByInternalHex(F12,F13)</f>
        <v>FFC00000</v>
      </c>
      <c r="G17" s="29" t="str">
        <f t="shared" si="5"/>
        <v>1</v>
      </c>
      <c r="H17" s="25" t="str">
        <f t="shared" si="6"/>
        <v>11111111</v>
      </c>
      <c r="I17" s="25" t="str">
        <f t="shared" si="7"/>
        <v>10000000000000000000000</v>
      </c>
      <c r="J17" s="24" t="str">
        <f t="shared" si="9"/>
        <v>NaN</v>
      </c>
      <c r="K17" s="24" t="e">
        <f t="shared" si="8"/>
        <v>#NUM!</v>
      </c>
    </row>
    <row r="18" spans="4:11" x14ac:dyDescent="0.15">
      <c r="D18" s="6"/>
      <c r="E18" s="1"/>
      <c r="H18" s="3"/>
      <c r="I18" s="3"/>
    </row>
    <row r="19" spans="4:11" ht="12" customHeight="1" x14ac:dyDescent="0.15">
      <c r="D19" s="32"/>
      <c r="E19" s="32"/>
      <c r="F19" s="31" t="s">
        <v>25</v>
      </c>
      <c r="G19" s="31" t="s">
        <v>26</v>
      </c>
      <c r="H19" s="31"/>
      <c r="I19" s="31"/>
      <c r="J19" s="31" t="s">
        <v>3</v>
      </c>
      <c r="K19" s="31" t="s">
        <v>8</v>
      </c>
    </row>
    <row r="20" spans="4:11" x14ac:dyDescent="0.15">
      <c r="D20" s="32"/>
      <c r="E20" s="32"/>
      <c r="F20" s="31"/>
      <c r="G20" s="7" t="s">
        <v>27</v>
      </c>
      <c r="H20" s="7"/>
      <c r="I20" s="7" t="s">
        <v>7</v>
      </c>
      <c r="J20" s="31"/>
      <c r="K20" s="31"/>
    </row>
    <row r="21" spans="4:11" x14ac:dyDescent="0.15">
      <c r="D21" s="30" t="s">
        <v>28</v>
      </c>
      <c r="E21" s="9" t="s">
        <v>29</v>
      </c>
      <c r="F21" s="10" t="str">
        <f>convDecStrToCLongAndGetInternalHex(B14)</f>
        <v>00000000</v>
      </c>
      <c r="G21" s="26" t="str">
        <f>LEFT(convHexIntToBinInt(F21),1)</f>
        <v>0</v>
      </c>
      <c r="H21" s="12"/>
      <c r="I21" s="12" t="str">
        <f t="shared" ref="I21:I26" si="10">RIGHT(convHexIntToBinInt(F21),31)</f>
        <v>0000000000000000000000000000000</v>
      </c>
      <c r="J21" s="11" t="str">
        <f>IF((G21*1)=0,baseNConv(I21,2,2),"-"&amp;baseNAddition(baseNMinus1sComplement(I21,2),"1",2))</f>
        <v>0</v>
      </c>
      <c r="K21" s="11" t="str">
        <f t="shared" ref="K21:K26" si="11">baseNConv(J21,2,10)</f>
        <v>0</v>
      </c>
    </row>
    <row r="22" spans="4:11" x14ac:dyDescent="0.15">
      <c r="D22" s="30"/>
      <c r="E22" s="13" t="s">
        <v>30</v>
      </c>
      <c r="F22" s="14" t="str">
        <f>convDecStrToCLongAndGetInternalHex(B15)</f>
        <v>00000000</v>
      </c>
      <c r="G22" s="27" t="str">
        <f>LEFT(convHexIntToBinInt(F22),1)</f>
        <v>0</v>
      </c>
      <c r="H22" s="16"/>
      <c r="I22" s="16" t="str">
        <f t="shared" si="10"/>
        <v>0000000000000000000000000000000</v>
      </c>
      <c r="J22" s="15" t="str">
        <f>IF((G22*1)=0,baseNConv(I22,2,2),"-"&amp;baseNAddition(baseNMinus1sComplement(I22,2),"1",2))</f>
        <v>0</v>
      </c>
      <c r="K22" s="15" t="str">
        <f t="shared" si="11"/>
        <v>0</v>
      </c>
    </row>
    <row r="23" spans="4:11" x14ac:dyDescent="0.15">
      <c r="D23" s="30"/>
      <c r="E23" s="13" t="s">
        <v>21</v>
      </c>
      <c r="F23" s="20" t="str">
        <f>addtionCLongByInternalHex(F21,F22)</f>
        <v>00000000</v>
      </c>
      <c r="G23" s="28" t="str">
        <f t="shared" ref="G23:G26" si="12">LEFT(convHexIntToBinInt(F23),1)</f>
        <v>0</v>
      </c>
      <c r="H23" s="22"/>
      <c r="I23" s="22" t="str">
        <f t="shared" si="10"/>
        <v>0000000000000000000000000000000</v>
      </c>
      <c r="J23" s="21" t="str">
        <f>IF((G23*1)=0,baseNConv(I23,2,2),"-"&amp;baseNAddition(baseNMinus1sComplement(I23,2),"1",2))</f>
        <v>0</v>
      </c>
      <c r="K23" s="21" t="str">
        <f t="shared" si="11"/>
        <v>0</v>
      </c>
    </row>
    <row r="24" spans="4:11" x14ac:dyDescent="0.15">
      <c r="D24" s="30"/>
      <c r="E24" s="13" t="s">
        <v>22</v>
      </c>
      <c r="F24" s="20" t="str">
        <f>substractionCLongByInternalHex(F21,F22)</f>
        <v>00000000</v>
      </c>
      <c r="G24" s="28" t="str">
        <f t="shared" si="12"/>
        <v>0</v>
      </c>
      <c r="H24" s="22"/>
      <c r="I24" s="22" t="str">
        <f t="shared" si="10"/>
        <v>0000000000000000000000000000000</v>
      </c>
      <c r="J24" s="21" t="str">
        <f>IF((G24*1)=0,baseNConv(I24,2,2),"-"&amp;baseNAddition(baseNMinus1sComplement(I24,2),"1",2))</f>
        <v>0</v>
      </c>
      <c r="K24" s="21" t="str">
        <f t="shared" si="11"/>
        <v>0</v>
      </c>
    </row>
    <row r="25" spans="4:11" x14ac:dyDescent="0.15">
      <c r="D25" s="30"/>
      <c r="E25" s="13" t="s">
        <v>23</v>
      </c>
      <c r="F25" s="20" t="str">
        <f>multiplicationCLongByInternalHex(F21,F22)</f>
        <v>00000000</v>
      </c>
      <c r="G25" s="28" t="str">
        <f t="shared" si="12"/>
        <v>0</v>
      </c>
      <c r="H25" s="22"/>
      <c r="I25" s="22" t="str">
        <f t="shared" si="10"/>
        <v>0000000000000000000000000000000</v>
      </c>
      <c r="J25" s="21" t="str">
        <f>IF((G25*1)=0,baseNConv(I25,2,2),"-"&amp;baseNAddition(baseNMinus1sComplement(I25,2),"1",2))</f>
        <v>0</v>
      </c>
      <c r="K25" s="21" t="str">
        <f t="shared" si="11"/>
        <v>0</v>
      </c>
    </row>
    <row r="26" spans="4:11" x14ac:dyDescent="0.15">
      <c r="D26" s="30"/>
      <c r="E26" s="17" t="s">
        <v>24</v>
      </c>
      <c r="F26" s="23" t="e">
        <f>divisionCLongByInternalHex(F21,F22)</f>
        <v>#DIV/0!</v>
      </c>
      <c r="G26" s="29" t="e">
        <f t="shared" si="12"/>
        <v>#VALUE!</v>
      </c>
      <c r="H26" s="25"/>
      <c r="I26" s="25" t="e">
        <f t="shared" si="10"/>
        <v>#VALUE!</v>
      </c>
      <c r="J26" s="24" t="e">
        <f>IF((G26*1)=0,baseNConv(I26,2,2),"-"&amp;baseNAddition(baseNMinus1sComplement(I26,2),"1",2))</f>
        <v>#VALUE!</v>
      </c>
      <c r="K26" s="24" t="e">
        <f t="shared" si="11"/>
        <v>#VALUE!</v>
      </c>
    </row>
    <row r="27" spans="4:11" x14ac:dyDescent="0.15">
      <c r="F27" s="2"/>
    </row>
  </sheetData>
  <mergeCells count="18">
    <mergeCell ref="J19:J20"/>
    <mergeCell ref="K19:K20"/>
    <mergeCell ref="D1:E2"/>
    <mergeCell ref="D10:E11"/>
    <mergeCell ref="D19:E20"/>
    <mergeCell ref="J1:J2"/>
    <mergeCell ref="K1:K2"/>
    <mergeCell ref="K10:K11"/>
    <mergeCell ref="J10:J11"/>
    <mergeCell ref="F10:F11"/>
    <mergeCell ref="D12:D17"/>
    <mergeCell ref="D21:D26"/>
    <mergeCell ref="G1:I1"/>
    <mergeCell ref="G10:I10"/>
    <mergeCell ref="G19:I19"/>
    <mergeCell ref="F1:F2"/>
    <mergeCell ref="F19:F20"/>
    <mergeCell ref="D3:D8"/>
  </mergeCells>
  <phoneticPr fontId="1"/>
  <pageMargins left="0.7" right="0.7" top="0.75" bottom="0.75" header="0.3" footer="0.3"/>
  <pageSetup paperSize="9" scale="3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まる見え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2019-11-14T07:32:33Z</dcterms:created>
  <dcterms:modified xsi:type="dcterms:W3CDTF">2019-11-14T07:32:56Z</dcterms:modified>
</cp:coreProperties>
</file>