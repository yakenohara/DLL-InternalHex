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ken\Desktop\DLL-InternalHex\VBA Test\"/>
    </mc:Choice>
  </mc:AlternateContent>
  <xr:revisionPtr revIDLastSave="0" documentId="10_ncr:8100000_{C034C332-53B8-4689-A694-A810512B9053}" xr6:coauthVersionLast="32" xr6:coauthVersionMax="32" xr10:uidLastSave="{00000000-0000-0000-0000-000000000000}"/>
  <bookViews>
    <workbookView xWindow="0" yWindow="25650" windowWidth="28800" windowHeight="13710" xr2:uid="{00000000-000D-0000-FFFF-FFFF00000000}"/>
  </bookViews>
  <sheets>
    <sheet name="InternalHex" sheetId="7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7" l="1"/>
  <c r="I36" i="7"/>
  <c r="I35" i="7"/>
  <c r="I34" i="7"/>
  <c r="I29" i="7"/>
  <c r="K3" i="7"/>
  <c r="J34" i="7"/>
  <c r="C3" i="7"/>
  <c r="J30" i="7"/>
  <c r="J36" i="7"/>
  <c r="K4" i="7"/>
  <c r="K8" i="7" s="1"/>
  <c r="J33" i="7"/>
  <c r="J32" i="7"/>
  <c r="J27" i="7"/>
  <c r="J29" i="7"/>
  <c r="K7" i="7"/>
  <c r="S3" i="7"/>
  <c r="J35" i="7"/>
  <c r="K6" i="7"/>
  <c r="S4" i="7"/>
  <c r="J31" i="7"/>
  <c r="S6" i="7"/>
  <c r="K9" i="7"/>
  <c r="C4" i="7"/>
  <c r="J28" i="7"/>
  <c r="S7" i="7"/>
  <c r="S9" i="7"/>
  <c r="S8" i="7"/>
  <c r="C8" i="7"/>
  <c r="C9" i="7"/>
  <c r="C7" i="7"/>
  <c r="C6" i="7"/>
  <c r="B9" i="7" l="1"/>
  <c r="B8" i="7" l="1"/>
  <c r="B6" i="7"/>
  <c r="R30" i="7"/>
  <c r="K30" i="7"/>
  <c r="P27" i="7"/>
  <c r="R35" i="7"/>
  <c r="P33" i="7"/>
  <c r="Q29" i="7"/>
  <c r="E30" i="7"/>
  <c r="T35" i="7"/>
  <c r="T33" i="7"/>
  <c r="P35" i="7"/>
  <c r="L28" i="7"/>
  <c r="Q34" i="7"/>
  <c r="W30" i="7"/>
  <c r="M35" i="7"/>
  <c r="E27" i="7"/>
  <c r="U36" i="7"/>
  <c r="M4" i="7"/>
  <c r="C30" i="7"/>
  <c r="T28" i="7"/>
  <c r="M3" i="7"/>
  <c r="M8" i="7"/>
  <c r="L6" i="7"/>
  <c r="D8" i="7"/>
  <c r="K33" i="7"/>
  <c r="L29" i="7"/>
  <c r="K35" i="7"/>
  <c r="W36" i="7"/>
  <c r="E7" i="7"/>
  <c r="K27" i="7"/>
  <c r="U32" i="7"/>
  <c r="P36" i="7"/>
  <c r="U28" i="7"/>
  <c r="M7" i="7"/>
  <c r="H34" i="7"/>
  <c r="Q32" i="7"/>
  <c r="H3" i="7"/>
  <c r="H33" i="7"/>
  <c r="C29" i="7"/>
  <c r="H8" i="7"/>
  <c r="E29" i="7"/>
  <c r="K32" i="7"/>
  <c r="E8" i="7"/>
  <c r="E35" i="7"/>
  <c r="T29" i="7"/>
  <c r="S30" i="7"/>
  <c r="T30" i="7"/>
  <c r="W33" i="7"/>
  <c r="H6" i="7"/>
  <c r="U4" i="7"/>
  <c r="F8" i="7"/>
  <c r="N3" i="7"/>
  <c r="C11" i="7"/>
  <c r="D35" i="7"/>
  <c r="N8" i="7"/>
  <c r="W35" i="7"/>
  <c r="M28" i="7"/>
  <c r="E28" i="7"/>
  <c r="E34" i="7"/>
  <c r="S29" i="7"/>
  <c r="L7" i="7"/>
  <c r="C12" i="7"/>
  <c r="C35" i="7"/>
  <c r="H28" i="7"/>
  <c r="T27" i="7"/>
  <c r="H31" i="7"/>
  <c r="U31" i="7"/>
  <c r="S35" i="7"/>
  <c r="K34" i="7"/>
  <c r="E4" i="7"/>
  <c r="F4" i="7" s="1"/>
  <c r="H32" i="7"/>
  <c r="U34" i="7"/>
  <c r="Q35" i="7"/>
  <c r="S31" i="7"/>
  <c r="L32" i="7"/>
  <c r="M9" i="7"/>
  <c r="N9" i="7" s="1"/>
  <c r="T4" i="7"/>
  <c r="U6" i="7"/>
  <c r="P7" i="7"/>
  <c r="T3" i="7"/>
  <c r="M34" i="7"/>
  <c r="D33" i="7"/>
  <c r="L36" i="7"/>
  <c r="S27" i="7"/>
  <c r="D29" i="7"/>
  <c r="D4" i="7"/>
  <c r="E31" i="7"/>
  <c r="P30" i="7"/>
  <c r="D9" i="7"/>
  <c r="M32" i="7"/>
  <c r="L34" i="7"/>
  <c r="T36" i="7"/>
  <c r="Q28" i="7"/>
  <c r="C28" i="7"/>
  <c r="P28" i="7"/>
  <c r="D28" i="7"/>
  <c r="D30" i="7"/>
  <c r="T7" i="7"/>
  <c r="D31" i="7"/>
  <c r="S33" i="7"/>
  <c r="L4" i="7"/>
  <c r="E36" i="7"/>
  <c r="R32" i="7"/>
  <c r="W32" i="7"/>
  <c r="E6" i="7"/>
  <c r="F6" i="7" s="1"/>
  <c r="H9" i="7"/>
  <c r="T9" i="7"/>
  <c r="T6" i="7"/>
  <c r="N4" i="7"/>
  <c r="M36" i="7"/>
  <c r="L3" i="7"/>
  <c r="R34" i="7"/>
  <c r="K36" i="7"/>
  <c r="Q27" i="7"/>
  <c r="T34" i="7"/>
  <c r="E32" i="7"/>
  <c r="E3" i="7"/>
  <c r="F3" i="7" s="1"/>
  <c r="W27" i="7"/>
  <c r="H4" i="7"/>
  <c r="E33" i="7"/>
  <c r="E9" i="7"/>
  <c r="F9" i="7" s="1"/>
  <c r="U33" i="7"/>
  <c r="M31" i="7"/>
  <c r="R36" i="7"/>
  <c r="D27" i="7"/>
  <c r="D34" i="7"/>
  <c r="W29" i="7"/>
  <c r="R28" i="7"/>
  <c r="D36" i="7"/>
  <c r="P9" i="7"/>
  <c r="H29" i="7"/>
  <c r="L33" i="7"/>
  <c r="W34" i="7"/>
  <c r="D6" i="7"/>
  <c r="L9" i="7"/>
  <c r="P6" i="7"/>
  <c r="C32" i="7"/>
  <c r="S32" i="7"/>
  <c r="C33" i="7"/>
  <c r="S36" i="7"/>
  <c r="U29" i="7"/>
  <c r="K28" i="7"/>
  <c r="W28" i="7"/>
  <c r="U30" i="7"/>
  <c r="H35" i="7"/>
  <c r="L31" i="7"/>
  <c r="K29" i="7"/>
  <c r="M27" i="7"/>
  <c r="L27" i="7"/>
  <c r="L30" i="7"/>
  <c r="R31" i="7"/>
  <c r="Q30" i="7"/>
  <c r="P34" i="7"/>
  <c r="K31" i="7"/>
  <c r="Q31" i="7"/>
  <c r="T31" i="7"/>
  <c r="S28" i="7"/>
  <c r="S34" i="7"/>
  <c r="L35" i="7"/>
  <c r="U3" i="7"/>
  <c r="H7" i="7"/>
  <c r="U9" i="7"/>
  <c r="P3" i="7"/>
  <c r="N7" i="7"/>
  <c r="U7" i="7"/>
  <c r="R27" i="7"/>
  <c r="H27" i="7"/>
  <c r="U35" i="7"/>
  <c r="D3" i="7"/>
  <c r="Q33" i="7"/>
  <c r="P32" i="7"/>
  <c r="P31" i="7"/>
  <c r="M29" i="7"/>
  <c r="D32" i="7"/>
  <c r="P4" i="7"/>
  <c r="M33" i="7"/>
  <c r="Q36" i="7"/>
  <c r="T32" i="7"/>
  <c r="C31" i="7"/>
  <c r="H30" i="7"/>
  <c r="M30" i="7"/>
  <c r="W31" i="7"/>
  <c r="P29" i="7"/>
  <c r="C10" i="7"/>
  <c r="U27" i="7"/>
  <c r="H36" i="7"/>
  <c r="C27" i="7"/>
  <c r="R33" i="7"/>
  <c r="C36" i="7"/>
  <c r="M6" i="7"/>
  <c r="N6" i="7" s="1"/>
  <c r="D7" i="7"/>
  <c r="U8" i="7"/>
  <c r="L8" i="7"/>
  <c r="R29" i="7"/>
  <c r="C34" i="7"/>
  <c r="P8" i="7"/>
  <c r="O4" i="7" l="1"/>
  <c r="G3" i="7"/>
  <c r="O3" i="7"/>
  <c r="O7" i="7"/>
  <c r="O9" i="7"/>
  <c r="G9" i="7"/>
  <c r="O6" i="7"/>
  <c r="O8" i="7"/>
  <c r="G8" i="7"/>
  <c r="G4" i="7"/>
  <c r="G6" i="7"/>
  <c r="V4" i="7"/>
  <c r="W4" i="7" s="1"/>
  <c r="V3" i="7"/>
  <c r="I4" i="7"/>
  <c r="I9" i="7"/>
  <c r="Q4" i="7"/>
  <c r="I3" i="7"/>
  <c r="J9" i="7"/>
  <c r="Q7" i="7"/>
  <c r="Q6" i="7"/>
  <c r="I8" i="7"/>
  <c r="J3" i="7"/>
  <c r="F7" i="7"/>
  <c r="V6" i="7"/>
  <c r="T8" i="7"/>
  <c r="R4" i="7"/>
  <c r="J8" i="7"/>
  <c r="V7" i="7"/>
  <c r="W7" i="7" s="1"/>
  <c r="V9" i="7"/>
  <c r="W6" i="7"/>
  <c r="W9" i="7"/>
  <c r="J4" i="7"/>
  <c r="I6" i="7"/>
  <c r="J6" i="7" s="1"/>
  <c r="Q8" i="7"/>
  <c r="Q9" i="7"/>
  <c r="W3" i="7"/>
  <c r="Q3" i="7"/>
  <c r="I30" i="7" l="1"/>
  <c r="I28" i="7"/>
  <c r="G7" i="7"/>
  <c r="I32" i="7"/>
  <c r="I27" i="7"/>
  <c r="I33" i="7"/>
  <c r="R3" i="7"/>
  <c r="R8" i="7"/>
  <c r="R7" i="7"/>
  <c r="R9" i="7"/>
  <c r="I7" i="7"/>
  <c r="J7" i="7" s="1"/>
  <c r="R6" i="7"/>
  <c r="V8" i="7"/>
  <c r="W8" i="7" s="1"/>
  <c r="I31" i="7" l="1"/>
  <c r="A1" i="7" s="1"/>
</calcChain>
</file>

<file path=xl/sharedStrings.xml><?xml version="1.0" encoding="utf-8"?>
<sst xmlns="http://schemas.openxmlformats.org/spreadsheetml/2006/main" count="148" uniqueCount="95">
  <si>
    <t>±</t>
    <phoneticPr fontId="1"/>
  </si>
  <si>
    <t>指</t>
    <rPh sb="0" eb="1">
      <t>ユビ</t>
    </rPh>
    <phoneticPr fontId="1"/>
  </si>
  <si>
    <t>仮</t>
    <rPh sb="0" eb="1">
      <t>カリ</t>
    </rPh>
    <phoneticPr fontId="1"/>
  </si>
  <si>
    <t>10進変換</t>
    <rPh sb="2" eb="3">
      <t>シン</t>
    </rPh>
    <rPh sb="3" eb="5">
      <t>ヘンカン</t>
    </rPh>
    <phoneticPr fontId="1"/>
  </si>
  <si>
    <t>2進値</t>
    <rPh sb="1" eb="2">
      <t>シン</t>
    </rPh>
    <rPh sb="2" eb="3">
      <t>アタイ</t>
    </rPh>
    <phoneticPr fontId="1"/>
  </si>
  <si>
    <t>A</t>
    <phoneticPr fontId="1"/>
  </si>
  <si>
    <t>B</t>
    <phoneticPr fontId="1"/>
  </si>
  <si>
    <t>A+B</t>
    <phoneticPr fontId="1"/>
  </si>
  <si>
    <t>A-B</t>
    <phoneticPr fontId="1"/>
  </si>
  <si>
    <t>A*B</t>
    <phoneticPr fontId="1"/>
  </si>
  <si>
    <t>A/B</t>
    <phoneticPr fontId="1"/>
  </si>
  <si>
    <t>double</t>
    <phoneticPr fontId="1"/>
  </si>
  <si>
    <t>float</t>
    <phoneticPr fontId="1"/>
  </si>
  <si>
    <t>Internal Hex</t>
    <phoneticPr fontId="1"/>
  </si>
  <si>
    <t>long</t>
    <phoneticPr fontId="1"/>
  </si>
  <si>
    <t>実</t>
    <rPh sb="0" eb="1">
      <t>ジツ</t>
    </rPh>
    <phoneticPr fontId="1"/>
  </si>
  <si>
    <t>SizeOfCDouble</t>
    <phoneticPr fontId="1"/>
  </si>
  <si>
    <t>SizeOfCFloat</t>
    <phoneticPr fontId="1"/>
  </si>
  <si>
    <t>SizeOfCLong</t>
    <phoneticPr fontId="1"/>
  </si>
  <si>
    <t>0</t>
  </si>
  <si>
    <t>100</t>
  </si>
  <si>
    <t>404A800000000000</t>
  </si>
  <si>
    <t>10000000100</t>
  </si>
  <si>
    <t>1010100000000000000000000000000000000000000000000000</t>
  </si>
  <si>
    <t>110101</t>
  </si>
  <si>
    <t>53</t>
  </si>
  <si>
    <t>42540000</t>
  </si>
  <si>
    <t>10000100</t>
  </si>
  <si>
    <t>10101000000000000000000</t>
  </si>
  <si>
    <t>00000035</t>
  </si>
  <si>
    <t>0000000000000000000000000110101</t>
  </si>
  <si>
    <t>4059000000000000</t>
  </si>
  <si>
    <t>10000000101</t>
  </si>
  <si>
    <t>1001000000000000000000000000000000000000000000000000</t>
  </si>
  <si>
    <t>1100100</t>
  </si>
  <si>
    <t>42C80000</t>
  </si>
  <si>
    <t>10000101</t>
  </si>
  <si>
    <t>10010000000000000000000</t>
  </si>
  <si>
    <t>00000064</t>
  </si>
  <si>
    <t>0000000000000000000000001100100</t>
  </si>
  <si>
    <t>4063200000000000</t>
  </si>
  <si>
    <t>10000000110</t>
  </si>
  <si>
    <t>0011001000000000000000000000000000000000000000000000</t>
  </si>
  <si>
    <t>10011001</t>
  </si>
  <si>
    <t>153</t>
  </si>
  <si>
    <t>43190000</t>
  </si>
  <si>
    <t>10000110</t>
  </si>
  <si>
    <t>00110010000000000000000</t>
  </si>
  <si>
    <t>00000099</t>
  </si>
  <si>
    <t>0000000000000000000000010011001</t>
  </si>
  <si>
    <t>C047800000000000</t>
  </si>
  <si>
    <t>1</t>
  </si>
  <si>
    <t>0111100000000000000000000000000000000000000000000000</t>
  </si>
  <si>
    <t>-101111</t>
  </si>
  <si>
    <t>-47</t>
  </si>
  <si>
    <t>C23C0000</t>
  </si>
  <si>
    <t>01111000000000000000000</t>
  </si>
  <si>
    <t>FFFFFFD1</t>
  </si>
  <si>
    <t>1111111111111111111111111010001</t>
  </si>
  <si>
    <t>40B4B40000000000</t>
  </si>
  <si>
    <t>10000001011</t>
  </si>
  <si>
    <t>0100101101000000000000000000000000000000000000000000</t>
  </si>
  <si>
    <t>1010010110100</t>
  </si>
  <si>
    <t>5300</t>
  </si>
  <si>
    <t>45A5A000</t>
  </si>
  <si>
    <t>10001011</t>
  </si>
  <si>
    <t>01001011010000000000000</t>
  </si>
  <si>
    <t>000014B4</t>
  </si>
  <si>
    <t>0000000000000000001010010110100</t>
  </si>
  <si>
    <t>3FE0F5C28F5C28F6</t>
  </si>
  <si>
    <t>01111111110</t>
  </si>
  <si>
    <t>0000111101011100001010001111010111000010100011110110</t>
  </si>
  <si>
    <t>0.1000011110101110000101000111101011100001010001111011</t>
  </si>
  <si>
    <t>0.5300000000000000266453525910037569701671600341796875</t>
  </si>
  <si>
    <t>3F07AE14</t>
  </si>
  <si>
    <t>01111110</t>
  </si>
  <si>
    <t>00001111010111000010100</t>
  </si>
  <si>
    <t>0.1000011110101110000101</t>
  </si>
  <si>
    <t>0.5299999713897705078125</t>
  </si>
  <si>
    <t>00000000</t>
  </si>
  <si>
    <t>0000000000000000000000000000000</t>
  </si>
  <si>
    <t>old</t>
    <phoneticPr fontId="1"/>
  </si>
  <si>
    <t>A</t>
  </si>
  <si>
    <t>B</t>
  </si>
  <si>
    <t>A+B</t>
  </si>
  <si>
    <t>A-B</t>
  </si>
  <si>
    <t>A*B</t>
  </si>
  <si>
    <t>A/B</t>
  </si>
  <si>
    <t>SizeOfCDouble</t>
  </si>
  <si>
    <t>SizeOfCFloat</t>
  </si>
  <si>
    <t>SizeOfCLong</t>
  </si>
  <si>
    <t>same?</t>
    <phoneticPr fontId="1"/>
  </si>
  <si>
    <t>10進値</t>
    <rPh sb="2" eb="3">
      <t>シン</t>
    </rPh>
    <rPh sb="3" eb="4">
      <t>アタイ</t>
    </rPh>
    <phoneticPr fontId="1"/>
  </si>
  <si>
    <t>指(10)</t>
    <rPh sb="0" eb="1">
      <t>ユビ</t>
    </rPh>
    <phoneticPr fontId="1"/>
  </si>
  <si>
    <t>指(toMultiple)</t>
    <rPh sb="0" eb="1">
      <t>ユビ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</si>
</sst>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sz val="9"/>
      <color theme="1"/>
      <name val="ＭＳ ゴシック"/>
      <family val="3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0" fontId="2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2" fillId="0" borderId="4" xfId="0" applyFont="1" applyBorder="1">
      <alignment vertical="center"/>
    </xf>
    <xf numFmtId="0" fontId="2" fillId="0" borderId="0" xfId="0" applyFont="1" applyBorder="1" applyAlignment="1">
      <alignment horizontal="right" vertical="center"/>
    </xf>
    <xf numFmtId="0" fontId="2" fillId="0" borderId="5" xfId="0" applyFont="1" applyBorder="1" applyAlignment="1">
      <alignment horizontal="right" vertical="center"/>
    </xf>
    <xf numFmtId="0" fontId="2" fillId="0" borderId="0" xfId="0" applyFont="1" applyBorder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5" xfId="0" applyFont="1" applyBorder="1">
      <alignment vertical="center"/>
    </xf>
    <xf numFmtId="0" fontId="3" fillId="0" borderId="6" xfId="0" applyFont="1" applyBorder="1" applyAlignment="1">
      <alignment horizontal="center" vertical="center"/>
    </xf>
    <xf numFmtId="0" fontId="2" fillId="0" borderId="8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7" xfId="0" applyFont="1" applyBorder="1" applyAlignment="1">
      <alignment horizontal="right" vertical="center"/>
    </xf>
    <xf numFmtId="0" fontId="2" fillId="0" borderId="8" xfId="0" applyFont="1" applyBorder="1" applyAlignment="1">
      <alignment horizontal="right" vertical="center"/>
    </xf>
    <xf numFmtId="0" fontId="2" fillId="0" borderId="7" xfId="0" applyFont="1" applyBorder="1">
      <alignment vertical="center"/>
    </xf>
    <xf numFmtId="0" fontId="2" fillId="0" borderId="6" xfId="0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</cellXfs>
  <cellStyles count="1">
    <cellStyle name="標準" xfId="0" builtinId="0"/>
  </cellStyles>
  <dxfs count="2">
    <dxf>
      <font>
        <color rgb="FF9C0006"/>
      </font>
      <fill>
        <patternFill>
          <bgColor rgb="FFFFC7CE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6"/>
  <sheetViews>
    <sheetView tabSelected="1"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25" sqref="C25"/>
    </sheetView>
  </sheetViews>
  <sheetFormatPr defaultRowHeight="11.25" x14ac:dyDescent="0.15"/>
  <cols>
    <col min="1" max="1" width="21.28515625" style="2" bestFit="1" customWidth="1"/>
    <col min="2" max="2" width="13" style="3" bestFit="1" customWidth="1"/>
    <col min="3" max="3" width="18.7109375" style="3" bestFit="1" customWidth="1"/>
    <col min="4" max="4" width="5.140625" style="1" bestFit="1" customWidth="1"/>
    <col min="5" max="5" width="13" style="1" bestFit="1" customWidth="1"/>
    <col min="6" max="6" width="7.5703125" style="1" bestFit="1" customWidth="1"/>
    <col min="7" max="7" width="16.28515625" style="1" bestFit="1" customWidth="1"/>
    <col min="8" max="8" width="59.140625" style="1" bestFit="1" customWidth="1"/>
    <col min="9" max="9" width="62.5703125" style="1" bestFit="1" customWidth="1"/>
    <col min="10" max="10" width="52.7109375" style="1" bestFit="1" customWidth="1"/>
    <col min="11" max="11" width="16.140625" style="3" bestFit="1" customWidth="1"/>
    <col min="12" max="12" width="5.140625" style="3" bestFit="1" customWidth="1"/>
    <col min="13" max="13" width="9.7109375" style="3" bestFit="1" customWidth="1"/>
    <col min="14" max="14" width="7.5703125" style="3" bestFit="1" customWidth="1"/>
    <col min="15" max="15" width="16.28515625" style="3" bestFit="1" customWidth="1"/>
    <col min="16" max="16" width="26.5703125" style="3" bestFit="1" customWidth="1"/>
    <col min="17" max="18" width="35.5703125" style="3" bestFit="1" customWidth="1"/>
    <col min="19" max="19" width="16.140625" style="1" bestFit="1" customWidth="1"/>
    <col min="20" max="20" width="5.140625" style="1" bestFit="1" customWidth="1"/>
    <col min="21" max="21" width="35.5703125" style="1" bestFit="1" customWidth="1"/>
    <col min="22" max="22" width="35.5703125" style="1" customWidth="1"/>
    <col min="23" max="23" width="10.42578125" style="1" bestFit="1" customWidth="1"/>
    <col min="24" max="16384" width="9.140625" style="3"/>
  </cols>
  <sheetData>
    <row r="1" spans="1:23" x14ac:dyDescent="0.15">
      <c r="A1" s="2" t="str">
        <f>IF(COUNTIF(C27:W36,FALSE)&gt;0,"NG","OK")</f>
        <v>OK</v>
      </c>
      <c r="C1" s="23" t="s">
        <v>11</v>
      </c>
      <c r="D1" s="24"/>
      <c r="E1" s="24"/>
      <c r="F1" s="24"/>
      <c r="G1" s="24"/>
      <c r="H1" s="24"/>
      <c r="I1" s="24"/>
      <c r="J1" s="25"/>
      <c r="K1" s="23" t="s">
        <v>12</v>
      </c>
      <c r="L1" s="24"/>
      <c r="M1" s="24"/>
      <c r="N1" s="24"/>
      <c r="O1" s="24"/>
      <c r="P1" s="24"/>
      <c r="Q1" s="24"/>
      <c r="R1" s="25"/>
      <c r="S1" s="23" t="s">
        <v>14</v>
      </c>
      <c r="T1" s="24"/>
      <c r="U1" s="24"/>
      <c r="V1" s="24"/>
      <c r="W1" s="25"/>
    </row>
    <row r="2" spans="1:23" s="4" customFormat="1" x14ac:dyDescent="0.15">
      <c r="A2" s="2"/>
      <c r="C2" s="5" t="s">
        <v>13</v>
      </c>
      <c r="D2" s="6" t="s">
        <v>0</v>
      </c>
      <c r="E2" s="6" t="s">
        <v>1</v>
      </c>
      <c r="F2" s="6" t="s">
        <v>93</v>
      </c>
      <c r="G2" s="6" t="s">
        <v>94</v>
      </c>
      <c r="H2" s="6" t="s">
        <v>2</v>
      </c>
      <c r="I2" s="7" t="s">
        <v>4</v>
      </c>
      <c r="J2" s="6" t="s">
        <v>92</v>
      </c>
      <c r="K2" s="5" t="s">
        <v>13</v>
      </c>
      <c r="L2" s="6" t="s">
        <v>0</v>
      </c>
      <c r="M2" s="6" t="s">
        <v>1</v>
      </c>
      <c r="N2" s="6" t="s">
        <v>93</v>
      </c>
      <c r="O2" s="6" t="s">
        <v>94</v>
      </c>
      <c r="P2" s="6" t="s">
        <v>2</v>
      </c>
      <c r="Q2" s="6" t="s">
        <v>4</v>
      </c>
      <c r="R2" s="7" t="s">
        <v>3</v>
      </c>
      <c r="S2" s="5" t="s">
        <v>13</v>
      </c>
      <c r="T2" s="6" t="s">
        <v>0</v>
      </c>
      <c r="U2" s="6" t="s">
        <v>15</v>
      </c>
      <c r="V2" s="6" t="s">
        <v>4</v>
      </c>
      <c r="W2" s="7" t="s">
        <v>3</v>
      </c>
    </row>
    <row r="3" spans="1:23" x14ac:dyDescent="0.15">
      <c r="A3" s="8" t="s">
        <v>5</v>
      </c>
      <c r="B3" s="9">
        <v>53</v>
      </c>
      <c r="C3" s="10" t="str">
        <f>convDecStrToCDoubleAndGetInternalHex(B3)</f>
        <v>404A800000000000</v>
      </c>
      <c r="D3" s="11" t="str">
        <f>LEFT(convHexIntToBinInt(C3),1)</f>
        <v>0</v>
      </c>
      <c r="E3" s="11" t="str">
        <f>MID(convHexIntToBinInt(C3),2,11)</f>
        <v>10000000100</v>
      </c>
      <c r="F3" s="11">
        <f>convRadix(E3,2,10)-1023</f>
        <v>5</v>
      </c>
      <c r="G3" s="11" t="str">
        <f t="shared" ref="G3:G8" si="0">IF(F3&gt;=0,"1"&amp;REPT("0",F3),"0."&amp;REPT("0",ABS(F3)-1)&amp;"1")</f>
        <v>100000</v>
      </c>
      <c r="H3" s="11" t="str">
        <f>RIGHT(convHexIntToBinInt(C3),52)</f>
        <v>1010100000000000000000000000000000000000000000000000</v>
      </c>
      <c r="I3" s="12" t="str">
        <f>IF((D3*1)=0,"","-")&amp;multipleBaseNNumber("1."&amp;H3,G3,2)</f>
        <v>110101</v>
      </c>
      <c r="J3" s="11" t="str">
        <f>convRadix(I3,2,10)</f>
        <v>53</v>
      </c>
      <c r="K3" s="10" t="str">
        <f>convDecStrToCFloatAndGetInternalHex(B3)</f>
        <v>42540000</v>
      </c>
      <c r="L3" s="13" t="str">
        <f>LEFT(convHexIntToBinInt(K3),1)</f>
        <v>0</v>
      </c>
      <c r="M3" s="13" t="str">
        <f>MID(convHexIntToBinInt(K3),2,8)</f>
        <v>10000100</v>
      </c>
      <c r="N3" s="13">
        <f>convRadix(M3,2,10)-127</f>
        <v>5</v>
      </c>
      <c r="O3" s="13" t="str">
        <f t="shared" ref="O3:O9" si="1">IF(N3&gt;=0,"1"&amp;REPT("0",N3),"0."&amp;REPT("0",ABS(N3)-1)&amp;"1")</f>
        <v>100000</v>
      </c>
      <c r="P3" s="13" t="str">
        <f>RIGHT(convHexIntToBinInt(K3),23)</f>
        <v>10101000000000000000000</v>
      </c>
      <c r="Q3" s="11" t="str">
        <f>IF((L3*1)=0,"","-")&amp;multipleBaseNNumber("1."&amp;P3,O3,2)</f>
        <v>110101</v>
      </c>
      <c r="R3" s="12" t="str">
        <f>convRadix(Q3,2,10)</f>
        <v>53</v>
      </c>
      <c r="S3" s="14" t="str">
        <f>convDecStrToCLongAndGetInternalHex(B3)</f>
        <v>00000035</v>
      </c>
      <c r="T3" s="11" t="str">
        <f>LEFT(convHexIntToBinInt(S3),1)</f>
        <v>0</v>
      </c>
      <c r="U3" s="11" t="str">
        <f>RIGHT(convHexIntToBinInt(S3),31)</f>
        <v>0000000000000000000000000110101</v>
      </c>
      <c r="V3" s="11" t="str">
        <f>IF((T3*1)=0,convRadix(U3,2,2),"-"&amp;addBaseNNumber(getDiminishedRadixComplement(U3,2),"1",2))</f>
        <v>110101</v>
      </c>
      <c r="W3" s="12" t="str">
        <f>convRadix(V3,2,10)</f>
        <v>53</v>
      </c>
    </row>
    <row r="4" spans="1:23" x14ac:dyDescent="0.15">
      <c r="A4" s="5" t="s">
        <v>6</v>
      </c>
      <c r="B4" s="15">
        <v>100</v>
      </c>
      <c r="C4" s="10" t="str">
        <f>convDecStrToCDoubleAndGetInternalHex(B4)</f>
        <v>4059000000000000</v>
      </c>
      <c r="D4" s="11" t="str">
        <f>LEFT(convHexIntToBinInt(C4),1)</f>
        <v>0</v>
      </c>
      <c r="E4" s="11" t="str">
        <f>MID(convHexIntToBinInt(C4),2,11)</f>
        <v>10000000101</v>
      </c>
      <c r="F4" s="11">
        <f>convRadix(E4,2,10)-1023</f>
        <v>6</v>
      </c>
      <c r="G4" s="11" t="str">
        <f t="shared" si="0"/>
        <v>1000000</v>
      </c>
      <c r="H4" s="11" t="str">
        <f>RIGHT(convHexIntToBinInt(C4),52)</f>
        <v>1001000000000000000000000000000000000000000000000000</v>
      </c>
      <c r="I4" s="12" t="str">
        <f>IF((D4*1)=0,"","-")&amp;multipleBaseNNumber("1."&amp;H4,G4,2)</f>
        <v>1100100</v>
      </c>
      <c r="J4" s="11" t="str">
        <f t="shared" ref="J4:J8" si="2">convRadix(I4,2,10)</f>
        <v>100</v>
      </c>
      <c r="K4" s="10" t="str">
        <f>convDecStrToCFloatAndGetInternalHex(B4)</f>
        <v>42C80000</v>
      </c>
      <c r="L4" s="13" t="str">
        <f>LEFT(convHexIntToBinInt(K4),1)</f>
        <v>0</v>
      </c>
      <c r="M4" s="13" t="str">
        <f>MID(convHexIntToBinInt(K4),2,8)</f>
        <v>10000101</v>
      </c>
      <c r="N4" s="13">
        <f t="shared" ref="N4:N9" si="3">convRadix(M4,2,10)-127</f>
        <v>6</v>
      </c>
      <c r="O4" s="13" t="str">
        <f t="shared" si="1"/>
        <v>1000000</v>
      </c>
      <c r="P4" s="13" t="str">
        <f>RIGHT(convHexIntToBinInt(K4),23)</f>
        <v>10010000000000000000000</v>
      </c>
      <c r="Q4" s="11" t="str">
        <f t="shared" ref="Q4:Q9" si="4">IF((L4*1)=0,"","-")&amp;multipleBaseNNumber("1."&amp;P4,O4,2)</f>
        <v>1100100</v>
      </c>
      <c r="R4" s="12" t="str">
        <f t="shared" ref="R4:R9" si="5">convRadix(Q4,2,10)</f>
        <v>100</v>
      </c>
      <c r="S4" s="14" t="str">
        <f>convDecStrToCLongAndGetInternalHex(B4)</f>
        <v>00000064</v>
      </c>
      <c r="T4" s="11" t="str">
        <f>LEFT(convHexIntToBinInt(S4),1)</f>
        <v>0</v>
      </c>
      <c r="U4" s="11" t="str">
        <f>RIGHT(convHexIntToBinInt(S4),31)</f>
        <v>0000000000000000000000001100100</v>
      </c>
      <c r="V4" s="11" t="str">
        <f>IF((T4*1)=0,convRadix(U4,2,2),"-"&amp;addBaseNNumber(getDiminishedRadixComplement(U4,2),"1",2))</f>
        <v>1100100</v>
      </c>
      <c r="W4" s="12" t="str">
        <f t="shared" ref="W4:W9" si="6">convRadix(V4,2,10)</f>
        <v>100</v>
      </c>
    </row>
    <row r="5" spans="1:23" x14ac:dyDescent="0.15">
      <c r="A5" s="5"/>
      <c r="B5" s="15"/>
      <c r="C5" s="10"/>
      <c r="D5" s="11"/>
      <c r="E5" s="11"/>
      <c r="F5" s="11"/>
      <c r="G5" s="11"/>
      <c r="H5" s="11"/>
      <c r="I5" s="12"/>
      <c r="J5" s="11"/>
      <c r="K5" s="10"/>
      <c r="L5" s="13"/>
      <c r="M5" s="13"/>
      <c r="N5" s="13"/>
      <c r="O5" s="13"/>
      <c r="P5" s="13"/>
      <c r="Q5" s="13"/>
      <c r="R5" s="15"/>
      <c r="S5" s="14"/>
      <c r="T5" s="11"/>
      <c r="U5" s="11"/>
      <c r="V5" s="11"/>
      <c r="W5" s="12"/>
    </row>
    <row r="6" spans="1:23" x14ac:dyDescent="0.15">
      <c r="A6" s="5" t="s">
        <v>7</v>
      </c>
      <c r="B6" s="15">
        <f>B3+B4</f>
        <v>153</v>
      </c>
      <c r="C6" s="10" t="str">
        <f>addtionCDoubleByInternalHex(C3,C4)</f>
        <v>4063200000000000</v>
      </c>
      <c r="D6" s="11" t="str">
        <f>LEFT(convHexIntToBinInt(C6),1)</f>
        <v>0</v>
      </c>
      <c r="E6" s="11" t="str">
        <f>MID(convHexIntToBinInt(C6),2,11)</f>
        <v>10000000110</v>
      </c>
      <c r="F6" s="11">
        <f>convRadix(E6,2,10)-1023</f>
        <v>7</v>
      </c>
      <c r="G6" s="11" t="str">
        <f t="shared" si="0"/>
        <v>10000000</v>
      </c>
      <c r="H6" s="11" t="str">
        <f>RIGHT(convHexIntToBinInt(C6),52)</f>
        <v>0011001000000000000000000000000000000000000000000000</v>
      </c>
      <c r="I6" s="12" t="str">
        <f>IF((D6*1)=0,"","-")&amp;multipleBaseNNumber("1."&amp;H6,G6,2)</f>
        <v>10011001</v>
      </c>
      <c r="J6" s="11" t="str">
        <f t="shared" si="2"/>
        <v>153</v>
      </c>
      <c r="K6" s="10" t="str">
        <f>addtionCFloatByInternalHex(K3,K4)</f>
        <v>43190000</v>
      </c>
      <c r="L6" s="13" t="str">
        <f>LEFT(convHexIntToBinInt(K6),1)</f>
        <v>0</v>
      </c>
      <c r="M6" s="13" t="str">
        <f>MID(convHexIntToBinInt(K6),2,8)</f>
        <v>10000110</v>
      </c>
      <c r="N6" s="13">
        <f t="shared" si="3"/>
        <v>7</v>
      </c>
      <c r="O6" s="13" t="str">
        <f t="shared" si="1"/>
        <v>10000000</v>
      </c>
      <c r="P6" s="13" t="str">
        <f>RIGHT(convHexIntToBinInt(K6),23)</f>
        <v>00110010000000000000000</v>
      </c>
      <c r="Q6" s="11" t="str">
        <f t="shared" si="4"/>
        <v>10011001</v>
      </c>
      <c r="R6" s="12" t="str">
        <f t="shared" si="5"/>
        <v>153</v>
      </c>
      <c r="S6" s="14" t="str">
        <f>addtionCLongByInternalHex(S3,S4)</f>
        <v>00000099</v>
      </c>
      <c r="T6" s="11" t="str">
        <f t="shared" ref="T6:T9" si="7">LEFT(convHexIntToBinInt(S6),1)</f>
        <v>0</v>
      </c>
      <c r="U6" s="11" t="str">
        <f t="shared" ref="U6:U9" si="8">RIGHT(convHexIntToBinInt(S6),31)</f>
        <v>0000000000000000000000010011001</v>
      </c>
      <c r="V6" s="11" t="str">
        <f>IF((T6*1)=0,convRadix(U6,2,2),"-"&amp;addBaseNNumber(getDiminishedRadixComplement(U6,2),"1",2))</f>
        <v>10011001</v>
      </c>
      <c r="W6" s="12" t="str">
        <f t="shared" si="6"/>
        <v>153</v>
      </c>
    </row>
    <row r="7" spans="1:23" x14ac:dyDescent="0.15">
      <c r="A7" s="5" t="s">
        <v>8</v>
      </c>
      <c r="B7" s="15">
        <f>B3-B4</f>
        <v>-47</v>
      </c>
      <c r="C7" s="10" t="str">
        <f>substractionCDoubleByInternalHex(C3,C4)</f>
        <v>C047800000000000</v>
      </c>
      <c r="D7" s="11" t="str">
        <f>LEFT(convHexIntToBinInt(C7),1)</f>
        <v>1</v>
      </c>
      <c r="E7" s="11" t="str">
        <f>MID(convHexIntToBinInt(C7),2,11)</f>
        <v>10000000100</v>
      </c>
      <c r="F7" s="11">
        <f>convRadix(E7,2,10)-1023</f>
        <v>5</v>
      </c>
      <c r="G7" s="11" t="str">
        <f t="shared" si="0"/>
        <v>100000</v>
      </c>
      <c r="H7" s="11" t="str">
        <f>RIGHT(convHexIntToBinInt(C7),52)</f>
        <v>0111100000000000000000000000000000000000000000000000</v>
      </c>
      <c r="I7" s="12" t="str">
        <f>IF((D7*1)=0,"","-")&amp;multipleBaseNNumber("1."&amp;H7,G7,2)</f>
        <v>-101111</v>
      </c>
      <c r="J7" s="11" t="str">
        <f t="shared" si="2"/>
        <v>-47</v>
      </c>
      <c r="K7" s="10" t="str">
        <f>substractionCFloatByInternalHex(K3,K4)</f>
        <v>C23C0000</v>
      </c>
      <c r="L7" s="13" t="str">
        <f>LEFT(convHexIntToBinInt(K7),1)</f>
        <v>1</v>
      </c>
      <c r="M7" s="13" t="str">
        <f>MID(convHexIntToBinInt(K7),2,8)</f>
        <v>10000100</v>
      </c>
      <c r="N7" s="13">
        <f t="shared" si="3"/>
        <v>5</v>
      </c>
      <c r="O7" s="13" t="str">
        <f t="shared" si="1"/>
        <v>100000</v>
      </c>
      <c r="P7" s="13" t="str">
        <f>RIGHT(convHexIntToBinInt(K7),23)</f>
        <v>01111000000000000000000</v>
      </c>
      <c r="Q7" s="11" t="str">
        <f t="shared" si="4"/>
        <v>-101111</v>
      </c>
      <c r="R7" s="12" t="str">
        <f t="shared" si="5"/>
        <v>-47</v>
      </c>
      <c r="S7" s="14" t="str">
        <f>substractionCLongByInternalHex(S3,S4)</f>
        <v>FFFFFFD1</v>
      </c>
      <c r="T7" s="11" t="str">
        <f t="shared" si="7"/>
        <v>1</v>
      </c>
      <c r="U7" s="11" t="str">
        <f t="shared" si="8"/>
        <v>1111111111111111111111111010001</v>
      </c>
      <c r="V7" s="11" t="str">
        <f>IF((T7*1)=0,convRadix(U7,2,2),"-"&amp;addBaseNNumber(getDiminishedRadixComplement(U7,2),"1",2))</f>
        <v>-101111</v>
      </c>
      <c r="W7" s="12" t="str">
        <f t="shared" si="6"/>
        <v>-47</v>
      </c>
    </row>
    <row r="8" spans="1:23" x14ac:dyDescent="0.15">
      <c r="A8" s="5" t="s">
        <v>9</v>
      </c>
      <c r="B8" s="15">
        <f>B3*B4</f>
        <v>5300</v>
      </c>
      <c r="C8" s="10" t="str">
        <f>multiplicationCDoubleByInternalHex(C3,C4)</f>
        <v>40B4B40000000000</v>
      </c>
      <c r="D8" s="11" t="str">
        <f>LEFT(convHexIntToBinInt(C8),1)</f>
        <v>0</v>
      </c>
      <c r="E8" s="11" t="str">
        <f>MID(convHexIntToBinInt(C8),2,11)</f>
        <v>10000001011</v>
      </c>
      <c r="F8" s="11">
        <f>convRadix(E8,2,10)-1023</f>
        <v>12</v>
      </c>
      <c r="G8" s="11" t="str">
        <f t="shared" si="0"/>
        <v>1000000000000</v>
      </c>
      <c r="H8" s="11" t="str">
        <f>RIGHT(convHexIntToBinInt(C8),52)</f>
        <v>0100101101000000000000000000000000000000000000000000</v>
      </c>
      <c r="I8" s="12" t="str">
        <f>IF((D8*1)=0,"","-")&amp;multipleBaseNNumber("1."&amp;H8,G8,2)</f>
        <v>1010010110100</v>
      </c>
      <c r="J8" s="11" t="str">
        <f t="shared" si="2"/>
        <v>5300</v>
      </c>
      <c r="K8" s="10" t="str">
        <f>multiplicationCFloatByInternalHex(K3,K4)</f>
        <v>45A5A000</v>
      </c>
      <c r="L8" s="13" t="str">
        <f>LEFT(convHexIntToBinInt(K8),1)</f>
        <v>0</v>
      </c>
      <c r="M8" s="13" t="str">
        <f>MID(convHexIntToBinInt(K8),2,8)</f>
        <v>10001011</v>
      </c>
      <c r="N8" s="13">
        <f t="shared" si="3"/>
        <v>12</v>
      </c>
      <c r="O8" s="13" t="str">
        <f t="shared" si="1"/>
        <v>1000000000000</v>
      </c>
      <c r="P8" s="13" t="str">
        <f>RIGHT(convHexIntToBinInt(K8),23)</f>
        <v>01001011010000000000000</v>
      </c>
      <c r="Q8" s="11" t="str">
        <f t="shared" si="4"/>
        <v>1010010110100</v>
      </c>
      <c r="R8" s="12" t="str">
        <f t="shared" si="5"/>
        <v>5300</v>
      </c>
      <c r="S8" s="14" t="str">
        <f>multiplicationCLongByInternalHex(S3,S4)</f>
        <v>000014B4</v>
      </c>
      <c r="T8" s="11" t="str">
        <f t="shared" si="7"/>
        <v>0</v>
      </c>
      <c r="U8" s="11" t="str">
        <f t="shared" si="8"/>
        <v>0000000000000000001010010110100</v>
      </c>
      <c r="V8" s="11" t="str">
        <f>IF((T8*1)=0,convRadix(U8,2,2),"-"&amp;addBaseNNumber(getDiminishedRadixComplement(U8,2),"1",2))</f>
        <v>1010010110100</v>
      </c>
      <c r="W8" s="12" t="str">
        <f t="shared" si="6"/>
        <v>5300</v>
      </c>
    </row>
    <row r="9" spans="1:23" x14ac:dyDescent="0.15">
      <c r="A9" s="16" t="s">
        <v>10</v>
      </c>
      <c r="B9" s="17">
        <f>B3/B4</f>
        <v>0.53</v>
      </c>
      <c r="C9" s="18" t="str">
        <f>divisionCDoubleByInternalHex(C3,C4)</f>
        <v>3FE0F5C28F5C28F6</v>
      </c>
      <c r="D9" s="19" t="str">
        <f>LEFT(convHexIntToBinInt(C9),1)</f>
        <v>0</v>
      </c>
      <c r="E9" s="19" t="str">
        <f>MID(convHexIntToBinInt(C9),2,11)</f>
        <v>01111111110</v>
      </c>
      <c r="F9" s="19">
        <f>convRadix(E9,2,10)-1023</f>
        <v>-1</v>
      </c>
      <c r="G9" s="19" t="str">
        <f>IF(F9&gt;=0,"1"&amp;REPT("0",F9),"0."&amp;REPT("0",ABS(F9)-1)&amp;"1")</f>
        <v>0.1</v>
      </c>
      <c r="H9" s="19" t="str">
        <f>RIGHT(convHexIntToBinInt(C9),52)</f>
        <v>0000111101011100001010001111010111000010100011110110</v>
      </c>
      <c r="I9" s="20" t="str">
        <f>IF((D9*1)=0,"","-")&amp;multipleBaseNNumber("1."&amp;H9,G9,2)</f>
        <v>0.1000011110101110000101000111101011100001010001111011</v>
      </c>
      <c r="J9" s="19" t="str">
        <f>convRadix(I9,2,10,255)</f>
        <v>0.5300000000000000266453525910037569701671600341796875</v>
      </c>
      <c r="K9" s="18" t="str">
        <f>divisionCFloatByInternalHex(K3,K4)</f>
        <v>3F07AE14</v>
      </c>
      <c r="L9" s="21" t="str">
        <f>LEFT(convHexIntToBinInt(K9),1)</f>
        <v>0</v>
      </c>
      <c r="M9" s="21" t="str">
        <f>MID(convHexIntToBinInt(K9),2,8)</f>
        <v>01111110</v>
      </c>
      <c r="N9" s="21">
        <f t="shared" si="3"/>
        <v>-1</v>
      </c>
      <c r="O9" s="21" t="str">
        <f t="shared" si="1"/>
        <v>0.1</v>
      </c>
      <c r="P9" s="21" t="str">
        <f>RIGHT(convHexIntToBinInt(K9),23)</f>
        <v>00001111010111000010100</v>
      </c>
      <c r="Q9" s="19" t="str">
        <f t="shared" si="4"/>
        <v>0.1000011110101110000101</v>
      </c>
      <c r="R9" s="20" t="str">
        <f t="shared" si="5"/>
        <v>0.5299999713897705078125</v>
      </c>
      <c r="S9" s="22" t="str">
        <f>divisionCLongByInternalHex(S3,S4)</f>
        <v>00000000</v>
      </c>
      <c r="T9" s="19" t="str">
        <f t="shared" si="7"/>
        <v>0</v>
      </c>
      <c r="U9" s="19" t="str">
        <f t="shared" si="8"/>
        <v>0000000000000000000000000000000</v>
      </c>
      <c r="V9" s="19" t="str">
        <f>IF((T9*1)=0,convRadix(U9,2,2),"-"&amp;addBaseNNumber(getDiminishedRadixComplement(U9,2),"1",2))</f>
        <v>0</v>
      </c>
      <c r="W9" s="20" t="str">
        <f t="shared" si="6"/>
        <v>0</v>
      </c>
    </row>
    <row r="10" spans="1:23" x14ac:dyDescent="0.15">
      <c r="A10" s="2" t="s">
        <v>16</v>
      </c>
      <c r="C10" s="3">
        <f>getSizeOfCDouble()</f>
        <v>8</v>
      </c>
    </row>
    <row r="11" spans="1:23" x14ac:dyDescent="0.15">
      <c r="A11" s="2" t="s">
        <v>17</v>
      </c>
      <c r="C11" s="3">
        <f>getSizeOfCFloat()</f>
        <v>4</v>
      </c>
      <c r="R11" s="1"/>
    </row>
    <row r="12" spans="1:23" x14ac:dyDescent="0.15">
      <c r="A12" s="2" t="s">
        <v>18</v>
      </c>
      <c r="C12" s="3">
        <f>getSizeOfCLong()</f>
        <v>4</v>
      </c>
      <c r="R12" s="1"/>
    </row>
    <row r="14" spans="1:23" x14ac:dyDescent="0.15">
      <c r="A14" s="2" t="s">
        <v>81</v>
      </c>
    </row>
    <row r="15" spans="1:23" x14ac:dyDescent="0.15">
      <c r="A15" s="2" t="s">
        <v>82</v>
      </c>
      <c r="C15" s="3" t="s">
        <v>21</v>
      </c>
      <c r="D15" s="1" t="s">
        <v>19</v>
      </c>
      <c r="E15" s="1" t="s">
        <v>22</v>
      </c>
      <c r="H15" s="1" t="s">
        <v>23</v>
      </c>
      <c r="I15" s="1" t="s">
        <v>24</v>
      </c>
      <c r="J15" s="1" t="s">
        <v>25</v>
      </c>
      <c r="K15" s="3" t="s">
        <v>26</v>
      </c>
      <c r="L15" s="3" t="s">
        <v>19</v>
      </c>
      <c r="M15" s="3" t="s">
        <v>27</v>
      </c>
      <c r="P15" s="3" t="s">
        <v>28</v>
      </c>
      <c r="Q15" s="3" t="s">
        <v>24</v>
      </c>
      <c r="R15" s="1" t="s">
        <v>25</v>
      </c>
      <c r="S15" s="1" t="s">
        <v>29</v>
      </c>
      <c r="T15" s="1" t="s">
        <v>19</v>
      </c>
      <c r="U15" s="1" t="s">
        <v>30</v>
      </c>
      <c r="W15" s="1" t="s">
        <v>25</v>
      </c>
    </row>
    <row r="16" spans="1:23" x14ac:dyDescent="0.15">
      <c r="A16" s="2" t="s">
        <v>83</v>
      </c>
      <c r="C16" s="3" t="s">
        <v>31</v>
      </c>
      <c r="D16" s="1" t="s">
        <v>19</v>
      </c>
      <c r="E16" s="1" t="s">
        <v>32</v>
      </c>
      <c r="H16" s="1" t="s">
        <v>33</v>
      </c>
      <c r="I16" s="1" t="s">
        <v>34</v>
      </c>
      <c r="J16" s="1" t="s">
        <v>20</v>
      </c>
      <c r="K16" s="3" t="s">
        <v>35</v>
      </c>
      <c r="L16" s="3" t="s">
        <v>19</v>
      </c>
      <c r="M16" s="3" t="s">
        <v>36</v>
      </c>
      <c r="P16" s="3" t="s">
        <v>37</v>
      </c>
      <c r="Q16" s="3" t="s">
        <v>34</v>
      </c>
      <c r="R16" s="3" t="s">
        <v>20</v>
      </c>
      <c r="S16" s="1" t="s">
        <v>38</v>
      </c>
      <c r="T16" s="1" t="s">
        <v>19</v>
      </c>
      <c r="U16" s="1" t="s">
        <v>39</v>
      </c>
      <c r="W16" s="1" t="s">
        <v>20</v>
      </c>
    </row>
    <row r="18" spans="1:23" x14ac:dyDescent="0.15">
      <c r="A18" s="2" t="s">
        <v>84</v>
      </c>
      <c r="C18" s="3" t="s">
        <v>40</v>
      </c>
      <c r="D18" s="1" t="s">
        <v>19</v>
      </c>
      <c r="E18" s="1" t="s">
        <v>41</v>
      </c>
      <c r="H18" s="1" t="s">
        <v>42</v>
      </c>
      <c r="I18" s="1" t="s">
        <v>43</v>
      </c>
      <c r="J18" s="1" t="s">
        <v>44</v>
      </c>
      <c r="K18" s="3" t="s">
        <v>45</v>
      </c>
      <c r="L18" s="3" t="s">
        <v>19</v>
      </c>
      <c r="M18" s="3" t="s">
        <v>46</v>
      </c>
      <c r="P18" s="3" t="s">
        <v>47</v>
      </c>
      <c r="Q18" s="3" t="s">
        <v>43</v>
      </c>
      <c r="R18" s="3" t="s">
        <v>44</v>
      </c>
      <c r="S18" s="1" t="s">
        <v>48</v>
      </c>
      <c r="T18" s="1" t="s">
        <v>19</v>
      </c>
      <c r="U18" s="1" t="s">
        <v>49</v>
      </c>
      <c r="W18" s="1" t="s">
        <v>44</v>
      </c>
    </row>
    <row r="19" spans="1:23" x14ac:dyDescent="0.15">
      <c r="A19" s="2" t="s">
        <v>85</v>
      </c>
      <c r="C19" s="3" t="s">
        <v>50</v>
      </c>
      <c r="D19" s="1" t="s">
        <v>51</v>
      </c>
      <c r="E19" s="1" t="s">
        <v>22</v>
      </c>
      <c r="H19" s="1" t="s">
        <v>52</v>
      </c>
      <c r="I19" s="1" t="s">
        <v>53</v>
      </c>
      <c r="J19" s="1" t="s">
        <v>54</v>
      </c>
      <c r="K19" s="3" t="s">
        <v>55</v>
      </c>
      <c r="L19" s="3" t="s">
        <v>51</v>
      </c>
      <c r="M19" s="3" t="s">
        <v>27</v>
      </c>
      <c r="P19" s="3" t="s">
        <v>56</v>
      </c>
      <c r="Q19" s="3" t="s">
        <v>53</v>
      </c>
      <c r="R19" s="3" t="s">
        <v>54</v>
      </c>
      <c r="S19" s="1" t="s">
        <v>57</v>
      </c>
      <c r="T19" s="1" t="s">
        <v>51</v>
      </c>
      <c r="U19" s="1" t="s">
        <v>58</v>
      </c>
      <c r="W19" s="1">
        <v>-47</v>
      </c>
    </row>
    <row r="20" spans="1:23" x14ac:dyDescent="0.15">
      <c r="A20" s="2" t="s">
        <v>86</v>
      </c>
      <c r="C20" s="3" t="s">
        <v>59</v>
      </c>
      <c r="D20" s="1" t="s">
        <v>19</v>
      </c>
      <c r="E20" s="1" t="s">
        <v>60</v>
      </c>
      <c r="H20" s="1" t="s">
        <v>61</v>
      </c>
      <c r="I20" s="1" t="s">
        <v>62</v>
      </c>
      <c r="J20" s="1" t="s">
        <v>63</v>
      </c>
      <c r="K20" s="3" t="s">
        <v>64</v>
      </c>
      <c r="L20" s="3" t="s">
        <v>19</v>
      </c>
      <c r="M20" s="3" t="s">
        <v>65</v>
      </c>
      <c r="P20" s="3" t="s">
        <v>66</v>
      </c>
      <c r="Q20" s="3" t="s">
        <v>62</v>
      </c>
      <c r="R20" s="3" t="s">
        <v>63</v>
      </c>
      <c r="S20" s="1" t="s">
        <v>67</v>
      </c>
      <c r="T20" s="1" t="s">
        <v>19</v>
      </c>
      <c r="U20" s="1" t="s">
        <v>68</v>
      </c>
      <c r="W20" s="1" t="s">
        <v>63</v>
      </c>
    </row>
    <row r="21" spans="1:23" x14ac:dyDescent="0.15">
      <c r="A21" s="2" t="s">
        <v>87</v>
      </c>
      <c r="C21" s="3" t="s">
        <v>69</v>
      </c>
      <c r="D21" s="1" t="s">
        <v>19</v>
      </c>
      <c r="E21" s="1" t="s">
        <v>70</v>
      </c>
      <c r="H21" s="1" t="s">
        <v>71</v>
      </c>
      <c r="I21" s="1" t="s">
        <v>72</v>
      </c>
      <c r="J21" s="1" t="s">
        <v>73</v>
      </c>
      <c r="K21" s="3" t="s">
        <v>74</v>
      </c>
      <c r="L21" s="3" t="s">
        <v>19</v>
      </c>
      <c r="M21" s="3" t="s">
        <v>75</v>
      </c>
      <c r="P21" s="3" t="s">
        <v>76</v>
      </c>
      <c r="Q21" s="3" t="s">
        <v>77</v>
      </c>
      <c r="R21" s="3" t="s">
        <v>78</v>
      </c>
      <c r="S21" s="1" t="s">
        <v>79</v>
      </c>
      <c r="T21" s="1" t="s">
        <v>19</v>
      </c>
      <c r="U21" s="1" t="s">
        <v>80</v>
      </c>
      <c r="W21" s="1" t="s">
        <v>19</v>
      </c>
    </row>
    <row r="22" spans="1:23" x14ac:dyDescent="0.15">
      <c r="A22" s="2" t="s">
        <v>88</v>
      </c>
      <c r="C22" s="3">
        <v>8</v>
      </c>
    </row>
    <row r="23" spans="1:23" x14ac:dyDescent="0.15">
      <c r="A23" s="2" t="s">
        <v>89</v>
      </c>
      <c r="C23" s="3">
        <v>4</v>
      </c>
    </row>
    <row r="24" spans="1:23" x14ac:dyDescent="0.15">
      <c r="A24" s="2" t="s">
        <v>90</v>
      </c>
      <c r="C24" s="3">
        <v>4</v>
      </c>
    </row>
    <row r="26" spans="1:23" x14ac:dyDescent="0.15">
      <c r="A26" s="2" t="s">
        <v>91</v>
      </c>
    </row>
    <row r="27" spans="1:23" x14ac:dyDescent="0.15">
      <c r="A27" s="2" t="s">
        <v>82</v>
      </c>
      <c r="C27" s="3" t="b">
        <f t="shared" ref="C27:W27" si="9">getText(C3)=getText(C15)</f>
        <v>1</v>
      </c>
      <c r="D27" s="3" t="b">
        <f t="shared" si="9"/>
        <v>1</v>
      </c>
      <c r="E27" s="3" t="b">
        <f t="shared" si="9"/>
        <v>1</v>
      </c>
      <c r="F27" s="3"/>
      <c r="G27" s="3"/>
      <c r="H27" s="3" t="b">
        <f t="shared" si="9"/>
        <v>1</v>
      </c>
      <c r="I27" s="4" t="b">
        <f>I3=I15</f>
        <v>1</v>
      </c>
      <c r="J27" s="3" t="b">
        <f t="shared" ref="J27:J36" si="10">getText(J3)=getText(J15)</f>
        <v>1</v>
      </c>
      <c r="K27" s="3" t="b">
        <f t="shared" si="9"/>
        <v>1</v>
      </c>
      <c r="L27" s="3" t="b">
        <f t="shared" si="9"/>
        <v>1</v>
      </c>
      <c r="M27" s="3" t="b">
        <f t="shared" si="9"/>
        <v>1</v>
      </c>
      <c r="P27" s="3" t="b">
        <f t="shared" si="9"/>
        <v>1</v>
      </c>
      <c r="Q27" s="3" t="b">
        <f t="shared" si="9"/>
        <v>1</v>
      </c>
      <c r="R27" s="3" t="b">
        <f t="shared" si="9"/>
        <v>1</v>
      </c>
      <c r="S27" s="3" t="b">
        <f t="shared" si="9"/>
        <v>1</v>
      </c>
      <c r="T27" s="3" t="b">
        <f t="shared" si="9"/>
        <v>1</v>
      </c>
      <c r="U27" s="3" t="b">
        <f t="shared" si="9"/>
        <v>1</v>
      </c>
      <c r="V27" s="3"/>
      <c r="W27" s="3" t="b">
        <f t="shared" si="9"/>
        <v>1</v>
      </c>
    </row>
    <row r="28" spans="1:23" x14ac:dyDescent="0.15">
      <c r="A28" s="2" t="s">
        <v>83</v>
      </c>
      <c r="C28" s="3" t="b">
        <f t="shared" ref="C28:W28" si="11">getText(C4)=getText(C16)</f>
        <v>1</v>
      </c>
      <c r="D28" s="3" t="b">
        <f t="shared" si="11"/>
        <v>1</v>
      </c>
      <c r="E28" s="3" t="b">
        <f t="shared" si="11"/>
        <v>1</v>
      </c>
      <c r="F28" s="3"/>
      <c r="G28" s="3"/>
      <c r="H28" s="3" t="b">
        <f t="shared" si="11"/>
        <v>1</v>
      </c>
      <c r="I28" s="4" t="b">
        <f t="shared" ref="I28:I36" si="12">I4=I16</f>
        <v>1</v>
      </c>
      <c r="J28" s="3" t="b">
        <f t="shared" si="10"/>
        <v>1</v>
      </c>
      <c r="K28" s="3" t="b">
        <f t="shared" si="11"/>
        <v>1</v>
      </c>
      <c r="L28" s="3" t="b">
        <f t="shared" si="11"/>
        <v>1</v>
      </c>
      <c r="M28" s="3" t="b">
        <f t="shared" si="11"/>
        <v>1</v>
      </c>
      <c r="P28" s="3" t="b">
        <f t="shared" si="11"/>
        <v>1</v>
      </c>
      <c r="Q28" s="3" t="b">
        <f t="shared" si="11"/>
        <v>1</v>
      </c>
      <c r="R28" s="3" t="b">
        <f t="shared" si="11"/>
        <v>1</v>
      </c>
      <c r="S28" s="3" t="b">
        <f t="shared" si="11"/>
        <v>1</v>
      </c>
      <c r="T28" s="3" t="b">
        <f t="shared" si="11"/>
        <v>1</v>
      </c>
      <c r="U28" s="3" t="b">
        <f t="shared" si="11"/>
        <v>1</v>
      </c>
      <c r="V28" s="3"/>
      <c r="W28" s="3" t="b">
        <f t="shared" si="11"/>
        <v>1</v>
      </c>
    </row>
    <row r="29" spans="1:23" x14ac:dyDescent="0.15">
      <c r="C29" s="3" t="b">
        <f t="shared" ref="C29:W29" si="13">getText(C5)=getText(C17)</f>
        <v>1</v>
      </c>
      <c r="D29" s="3" t="b">
        <f t="shared" si="13"/>
        <v>1</v>
      </c>
      <c r="E29" s="3" t="b">
        <f t="shared" si="13"/>
        <v>1</v>
      </c>
      <c r="F29" s="3"/>
      <c r="G29" s="3"/>
      <c r="H29" s="3" t="b">
        <f t="shared" si="13"/>
        <v>1</v>
      </c>
      <c r="I29" s="4" t="b">
        <f t="shared" si="12"/>
        <v>1</v>
      </c>
      <c r="J29" s="3" t="b">
        <f t="shared" si="10"/>
        <v>1</v>
      </c>
      <c r="K29" s="3" t="b">
        <f t="shared" si="13"/>
        <v>1</v>
      </c>
      <c r="L29" s="3" t="b">
        <f t="shared" si="13"/>
        <v>1</v>
      </c>
      <c r="M29" s="3" t="b">
        <f t="shared" si="13"/>
        <v>1</v>
      </c>
      <c r="P29" s="3" t="b">
        <f t="shared" si="13"/>
        <v>1</v>
      </c>
      <c r="Q29" s="3" t="b">
        <f t="shared" si="13"/>
        <v>1</v>
      </c>
      <c r="R29" s="3" t="b">
        <f t="shared" si="13"/>
        <v>1</v>
      </c>
      <c r="S29" s="3" t="b">
        <f t="shared" si="13"/>
        <v>1</v>
      </c>
      <c r="T29" s="3" t="b">
        <f t="shared" si="13"/>
        <v>1</v>
      </c>
      <c r="U29" s="3" t="b">
        <f t="shared" si="13"/>
        <v>1</v>
      </c>
      <c r="V29" s="3"/>
      <c r="W29" s="3" t="b">
        <f t="shared" si="13"/>
        <v>1</v>
      </c>
    </row>
    <row r="30" spans="1:23" x14ac:dyDescent="0.15">
      <c r="A30" s="2" t="s">
        <v>84</v>
      </c>
      <c r="C30" s="3" t="b">
        <f t="shared" ref="C30:W30" si="14">getText(C6)=getText(C18)</f>
        <v>1</v>
      </c>
      <c r="D30" s="3" t="b">
        <f t="shared" si="14"/>
        <v>1</v>
      </c>
      <c r="E30" s="3" t="b">
        <f t="shared" si="14"/>
        <v>1</v>
      </c>
      <c r="F30" s="3"/>
      <c r="G30" s="3"/>
      <c r="H30" s="3" t="b">
        <f t="shared" si="14"/>
        <v>1</v>
      </c>
      <c r="I30" s="4" t="b">
        <f t="shared" si="12"/>
        <v>1</v>
      </c>
      <c r="J30" s="3" t="b">
        <f t="shared" si="10"/>
        <v>1</v>
      </c>
      <c r="K30" s="3" t="b">
        <f t="shared" si="14"/>
        <v>1</v>
      </c>
      <c r="L30" s="3" t="b">
        <f t="shared" si="14"/>
        <v>1</v>
      </c>
      <c r="M30" s="3" t="b">
        <f t="shared" si="14"/>
        <v>1</v>
      </c>
      <c r="P30" s="3" t="b">
        <f t="shared" si="14"/>
        <v>1</v>
      </c>
      <c r="Q30" s="3" t="b">
        <f t="shared" si="14"/>
        <v>1</v>
      </c>
      <c r="R30" s="3" t="b">
        <f t="shared" si="14"/>
        <v>1</v>
      </c>
      <c r="S30" s="3" t="b">
        <f t="shared" si="14"/>
        <v>1</v>
      </c>
      <c r="T30" s="3" t="b">
        <f t="shared" si="14"/>
        <v>1</v>
      </c>
      <c r="U30" s="3" t="b">
        <f t="shared" si="14"/>
        <v>1</v>
      </c>
      <c r="V30" s="3"/>
      <c r="W30" s="3" t="b">
        <f t="shared" si="14"/>
        <v>1</v>
      </c>
    </row>
    <row r="31" spans="1:23" x14ac:dyDescent="0.15">
      <c r="A31" s="2" t="s">
        <v>85</v>
      </c>
      <c r="C31" s="3" t="b">
        <f t="shared" ref="C31:W31" si="15">getText(C7)=getText(C19)</f>
        <v>1</v>
      </c>
      <c r="D31" s="3" t="b">
        <f t="shared" si="15"/>
        <v>1</v>
      </c>
      <c r="E31" s="3" t="b">
        <f t="shared" si="15"/>
        <v>1</v>
      </c>
      <c r="F31" s="3"/>
      <c r="G31" s="3"/>
      <c r="H31" s="3" t="b">
        <f t="shared" si="15"/>
        <v>1</v>
      </c>
      <c r="I31" s="4" t="b">
        <f t="shared" si="12"/>
        <v>1</v>
      </c>
      <c r="J31" s="3" t="b">
        <f t="shared" si="10"/>
        <v>1</v>
      </c>
      <c r="K31" s="3" t="b">
        <f t="shared" si="15"/>
        <v>1</v>
      </c>
      <c r="L31" s="3" t="b">
        <f t="shared" si="15"/>
        <v>1</v>
      </c>
      <c r="M31" s="3" t="b">
        <f t="shared" si="15"/>
        <v>1</v>
      </c>
      <c r="P31" s="3" t="b">
        <f t="shared" si="15"/>
        <v>1</v>
      </c>
      <c r="Q31" s="3" t="b">
        <f t="shared" si="15"/>
        <v>1</v>
      </c>
      <c r="R31" s="3" t="b">
        <f t="shared" si="15"/>
        <v>1</v>
      </c>
      <c r="S31" s="3" t="b">
        <f t="shared" si="15"/>
        <v>1</v>
      </c>
      <c r="T31" s="3" t="b">
        <f t="shared" si="15"/>
        <v>1</v>
      </c>
      <c r="U31" s="3" t="b">
        <f t="shared" si="15"/>
        <v>1</v>
      </c>
      <c r="V31" s="3"/>
      <c r="W31" s="3" t="b">
        <f t="shared" si="15"/>
        <v>1</v>
      </c>
    </row>
    <row r="32" spans="1:23" x14ac:dyDescent="0.15">
      <c r="A32" s="2" t="s">
        <v>86</v>
      </c>
      <c r="C32" s="3" t="b">
        <f t="shared" ref="C32:W32" si="16">getText(C8)=getText(C20)</f>
        <v>1</v>
      </c>
      <c r="D32" s="3" t="b">
        <f t="shared" si="16"/>
        <v>1</v>
      </c>
      <c r="E32" s="3" t="b">
        <f t="shared" si="16"/>
        <v>1</v>
      </c>
      <c r="F32" s="3"/>
      <c r="G32" s="3"/>
      <c r="H32" s="3" t="b">
        <f t="shared" si="16"/>
        <v>1</v>
      </c>
      <c r="I32" s="4" t="b">
        <f t="shared" si="12"/>
        <v>1</v>
      </c>
      <c r="J32" s="3" t="b">
        <f t="shared" si="10"/>
        <v>1</v>
      </c>
      <c r="K32" s="3" t="b">
        <f t="shared" si="16"/>
        <v>1</v>
      </c>
      <c r="L32" s="3" t="b">
        <f t="shared" si="16"/>
        <v>1</v>
      </c>
      <c r="M32" s="3" t="b">
        <f t="shared" si="16"/>
        <v>1</v>
      </c>
      <c r="P32" s="3" t="b">
        <f t="shared" si="16"/>
        <v>1</v>
      </c>
      <c r="Q32" s="3" t="b">
        <f t="shared" si="16"/>
        <v>1</v>
      </c>
      <c r="R32" s="3" t="b">
        <f t="shared" si="16"/>
        <v>1</v>
      </c>
      <c r="S32" s="3" t="b">
        <f t="shared" si="16"/>
        <v>1</v>
      </c>
      <c r="T32" s="3" t="b">
        <f t="shared" si="16"/>
        <v>1</v>
      </c>
      <c r="U32" s="3" t="b">
        <f t="shared" si="16"/>
        <v>1</v>
      </c>
      <c r="V32" s="3"/>
      <c r="W32" s="3" t="b">
        <f t="shared" si="16"/>
        <v>1</v>
      </c>
    </row>
    <row r="33" spans="1:23" x14ac:dyDescent="0.15">
      <c r="A33" s="2" t="s">
        <v>87</v>
      </c>
      <c r="C33" s="3" t="b">
        <f t="shared" ref="C33:W33" si="17">getText(C9)=getText(C21)</f>
        <v>1</v>
      </c>
      <c r="D33" s="3" t="b">
        <f t="shared" si="17"/>
        <v>1</v>
      </c>
      <c r="E33" s="3" t="b">
        <f t="shared" si="17"/>
        <v>1</v>
      </c>
      <c r="F33" s="3"/>
      <c r="G33" s="3"/>
      <c r="H33" s="3" t="b">
        <f t="shared" si="17"/>
        <v>1</v>
      </c>
      <c r="I33" s="4" t="b">
        <f t="shared" si="12"/>
        <v>1</v>
      </c>
      <c r="J33" s="3" t="b">
        <f t="shared" si="10"/>
        <v>1</v>
      </c>
      <c r="K33" s="3" t="b">
        <f t="shared" si="17"/>
        <v>1</v>
      </c>
      <c r="L33" s="3" t="b">
        <f t="shared" si="17"/>
        <v>1</v>
      </c>
      <c r="M33" s="3" t="b">
        <f t="shared" si="17"/>
        <v>1</v>
      </c>
      <c r="P33" s="3" t="b">
        <f t="shared" si="17"/>
        <v>1</v>
      </c>
      <c r="Q33" s="3" t="b">
        <f t="shared" si="17"/>
        <v>1</v>
      </c>
      <c r="R33" s="3" t="b">
        <f t="shared" si="17"/>
        <v>1</v>
      </c>
      <c r="S33" s="3" t="b">
        <f t="shared" si="17"/>
        <v>1</v>
      </c>
      <c r="T33" s="3" t="b">
        <f t="shared" si="17"/>
        <v>1</v>
      </c>
      <c r="U33" s="3" t="b">
        <f t="shared" si="17"/>
        <v>1</v>
      </c>
      <c r="V33" s="3"/>
      <c r="W33" s="3" t="b">
        <f t="shared" si="17"/>
        <v>1</v>
      </c>
    </row>
    <row r="34" spans="1:23" x14ac:dyDescent="0.15">
      <c r="A34" s="2" t="s">
        <v>88</v>
      </c>
      <c r="C34" s="3" t="b">
        <f t="shared" ref="C34:W34" si="18">getText(C10)=getText(C22)</f>
        <v>1</v>
      </c>
      <c r="D34" s="3" t="b">
        <f t="shared" si="18"/>
        <v>1</v>
      </c>
      <c r="E34" s="3" t="b">
        <f t="shared" si="18"/>
        <v>1</v>
      </c>
      <c r="F34" s="3"/>
      <c r="G34" s="3"/>
      <c r="H34" s="3" t="b">
        <f t="shared" si="18"/>
        <v>1</v>
      </c>
      <c r="I34" s="4" t="b">
        <f t="shared" si="12"/>
        <v>1</v>
      </c>
      <c r="J34" s="3" t="b">
        <f t="shared" si="10"/>
        <v>1</v>
      </c>
      <c r="K34" s="3" t="b">
        <f t="shared" si="18"/>
        <v>1</v>
      </c>
      <c r="L34" s="3" t="b">
        <f t="shared" si="18"/>
        <v>1</v>
      </c>
      <c r="M34" s="3" t="b">
        <f t="shared" si="18"/>
        <v>1</v>
      </c>
      <c r="P34" s="3" t="b">
        <f t="shared" si="18"/>
        <v>1</v>
      </c>
      <c r="Q34" s="3" t="b">
        <f t="shared" si="18"/>
        <v>1</v>
      </c>
      <c r="R34" s="3" t="b">
        <f t="shared" si="18"/>
        <v>1</v>
      </c>
      <c r="S34" s="3" t="b">
        <f t="shared" si="18"/>
        <v>1</v>
      </c>
      <c r="T34" s="3" t="b">
        <f t="shared" si="18"/>
        <v>1</v>
      </c>
      <c r="U34" s="3" t="b">
        <f t="shared" si="18"/>
        <v>1</v>
      </c>
      <c r="V34" s="3"/>
      <c r="W34" s="3" t="b">
        <f t="shared" si="18"/>
        <v>1</v>
      </c>
    </row>
    <row r="35" spans="1:23" x14ac:dyDescent="0.15">
      <c r="A35" s="2" t="s">
        <v>89</v>
      </c>
      <c r="C35" s="3" t="b">
        <f t="shared" ref="C35:W35" si="19">getText(C11)=getText(C23)</f>
        <v>1</v>
      </c>
      <c r="D35" s="3" t="b">
        <f t="shared" si="19"/>
        <v>1</v>
      </c>
      <c r="E35" s="3" t="b">
        <f t="shared" si="19"/>
        <v>1</v>
      </c>
      <c r="F35" s="3"/>
      <c r="G35" s="3"/>
      <c r="H35" s="3" t="b">
        <f t="shared" si="19"/>
        <v>1</v>
      </c>
      <c r="I35" s="4" t="b">
        <f t="shared" si="12"/>
        <v>1</v>
      </c>
      <c r="J35" s="3" t="b">
        <f t="shared" si="10"/>
        <v>1</v>
      </c>
      <c r="K35" s="3" t="b">
        <f t="shared" si="19"/>
        <v>1</v>
      </c>
      <c r="L35" s="3" t="b">
        <f t="shared" si="19"/>
        <v>1</v>
      </c>
      <c r="M35" s="3" t="b">
        <f t="shared" si="19"/>
        <v>1</v>
      </c>
      <c r="P35" s="3" t="b">
        <f t="shared" si="19"/>
        <v>1</v>
      </c>
      <c r="Q35" s="3" t="b">
        <f t="shared" si="19"/>
        <v>1</v>
      </c>
      <c r="R35" s="3" t="b">
        <f t="shared" si="19"/>
        <v>1</v>
      </c>
      <c r="S35" s="3" t="b">
        <f t="shared" si="19"/>
        <v>1</v>
      </c>
      <c r="T35" s="3" t="b">
        <f t="shared" si="19"/>
        <v>1</v>
      </c>
      <c r="U35" s="3" t="b">
        <f t="shared" si="19"/>
        <v>1</v>
      </c>
      <c r="V35" s="3"/>
      <c r="W35" s="3" t="b">
        <f t="shared" si="19"/>
        <v>1</v>
      </c>
    </row>
    <row r="36" spans="1:23" x14ac:dyDescent="0.15">
      <c r="A36" s="2" t="s">
        <v>90</v>
      </c>
      <c r="C36" s="3" t="b">
        <f t="shared" ref="C36:W36" si="20">getText(C12)=getText(C24)</f>
        <v>1</v>
      </c>
      <c r="D36" s="3" t="b">
        <f t="shared" si="20"/>
        <v>1</v>
      </c>
      <c r="E36" s="3" t="b">
        <f t="shared" si="20"/>
        <v>1</v>
      </c>
      <c r="F36" s="3"/>
      <c r="G36" s="3"/>
      <c r="H36" s="3" t="b">
        <f t="shared" si="20"/>
        <v>1</v>
      </c>
      <c r="I36" s="4" t="b">
        <f t="shared" si="12"/>
        <v>1</v>
      </c>
      <c r="J36" s="3" t="b">
        <f t="shared" si="10"/>
        <v>1</v>
      </c>
      <c r="K36" s="3" t="b">
        <f t="shared" si="20"/>
        <v>1</v>
      </c>
      <c r="L36" s="3" t="b">
        <f t="shared" si="20"/>
        <v>1</v>
      </c>
      <c r="M36" s="3" t="b">
        <f t="shared" si="20"/>
        <v>1</v>
      </c>
      <c r="P36" s="3" t="b">
        <f t="shared" si="20"/>
        <v>1</v>
      </c>
      <c r="Q36" s="3" t="b">
        <f t="shared" si="20"/>
        <v>1</v>
      </c>
      <c r="R36" s="3" t="b">
        <f t="shared" si="20"/>
        <v>1</v>
      </c>
      <c r="S36" s="3" t="b">
        <f t="shared" si="20"/>
        <v>1</v>
      </c>
      <c r="T36" s="3" t="b">
        <f t="shared" si="20"/>
        <v>1</v>
      </c>
      <c r="U36" s="3" t="b">
        <f t="shared" si="20"/>
        <v>1</v>
      </c>
      <c r="V36" s="3"/>
      <c r="W36" s="3" t="b">
        <f t="shared" si="20"/>
        <v>1</v>
      </c>
    </row>
  </sheetData>
  <mergeCells count="3">
    <mergeCell ref="K1:R1"/>
    <mergeCell ref="S1:W1"/>
    <mergeCell ref="C1:J1"/>
  </mergeCells>
  <phoneticPr fontId="1"/>
  <conditionalFormatting sqref="A1">
    <cfRule type="cellIs" dxfId="1" priority="1" operator="equal">
      <formula>"OK"</formula>
    </cfRule>
    <cfRule type="cellIs" dxfId="0" priority="2" operator="equal">
      <formula>"NG"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InternalHex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2018-04-25T13:13:09Z</dcterms:created>
  <dcterms:modified xsi:type="dcterms:W3CDTF">2018-05-20T12:04:35Z</dcterms:modified>
</cp:coreProperties>
</file>