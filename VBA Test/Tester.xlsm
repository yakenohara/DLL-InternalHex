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tad\Desktop\DLL-InternalHex-master\VBA Test\"/>
    </mc:Choice>
  </mc:AlternateContent>
  <bookViews>
    <workbookView xWindow="0" yWindow="23850" windowWidth="28800" windowHeight="13710"/>
  </bookViews>
  <sheets>
    <sheet name="InternalHex" sheetId="7" r:id="rId1"/>
    <sheet name="NumericString" sheetId="8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2" i="7" l="1"/>
  <c r="R42" i="7"/>
  <c r="B9" i="7" l="1"/>
  <c r="M52" i="8"/>
  <c r="M53" i="8"/>
  <c r="M63" i="8"/>
  <c r="M62" i="8"/>
  <c r="M64" i="8"/>
  <c r="M70" i="8"/>
  <c r="M68" i="8"/>
  <c r="M69" i="8"/>
  <c r="M65" i="8"/>
  <c r="M67" i="8"/>
  <c r="M66" i="8"/>
  <c r="L62" i="8"/>
  <c r="L64" i="8"/>
  <c r="L63" i="8"/>
  <c r="L66" i="8"/>
  <c r="L65" i="8"/>
  <c r="L67" i="8"/>
  <c r="L69" i="8"/>
  <c r="L70" i="8"/>
  <c r="L68" i="8"/>
  <c r="L53" i="8"/>
  <c r="L52" i="8"/>
  <c r="M61" i="8"/>
  <c r="M59" i="8"/>
  <c r="M55" i="8"/>
  <c r="M60" i="8"/>
  <c r="M58" i="8"/>
  <c r="M54" i="8"/>
  <c r="M57" i="8"/>
  <c r="M56" i="8"/>
  <c r="L55" i="8"/>
  <c r="L54" i="8"/>
  <c r="L58" i="8"/>
  <c r="L57" i="8"/>
  <c r="L56" i="8"/>
  <c r="L61" i="8"/>
  <c r="L60" i="8"/>
  <c r="L59" i="8"/>
  <c r="M143" i="8"/>
  <c r="L143" i="8"/>
  <c r="L152" i="8"/>
  <c r="L148" i="8"/>
  <c r="L144" i="8"/>
  <c r="L139" i="8"/>
  <c r="L135" i="8"/>
  <c r="L131" i="8"/>
  <c r="L127" i="8"/>
  <c r="L147" i="8"/>
  <c r="L142" i="8"/>
  <c r="L134" i="8"/>
  <c r="L150" i="8"/>
  <c r="L146" i="8"/>
  <c r="L137" i="8"/>
  <c r="L125" i="8"/>
  <c r="L149" i="8"/>
  <c r="L145" i="8"/>
  <c r="L140" i="8"/>
  <c r="L136" i="8"/>
  <c r="L132" i="8"/>
  <c r="L128" i="8"/>
  <c r="L124" i="8"/>
  <c r="L151" i="8"/>
  <c r="L138" i="8"/>
  <c r="L130" i="8"/>
  <c r="L126" i="8"/>
  <c r="L141" i="8"/>
  <c r="L133" i="8"/>
  <c r="L129" i="8"/>
  <c r="L99" i="8"/>
  <c r="M41" i="8"/>
  <c r="L100" i="8"/>
  <c r="L39" i="8"/>
  <c r="M38" i="8"/>
  <c r="L103" i="8"/>
  <c r="M49" i="8"/>
  <c r="L106" i="8"/>
  <c r="L41" i="8"/>
  <c r="L43" i="8"/>
  <c r="L102" i="8"/>
  <c r="L45" i="8"/>
  <c r="M45" i="8"/>
  <c r="M37" i="8"/>
  <c r="L37" i="8"/>
  <c r="M46" i="8"/>
  <c r="L97" i="8"/>
  <c r="L108" i="8"/>
  <c r="L121" i="8"/>
  <c r="M39" i="8"/>
  <c r="M47" i="8"/>
  <c r="L119" i="8"/>
  <c r="M42" i="8"/>
  <c r="L44" i="8"/>
  <c r="L101" i="8"/>
  <c r="L113" i="8"/>
  <c r="M50" i="8"/>
  <c r="L109" i="8"/>
  <c r="L115" i="8"/>
  <c r="L50" i="8"/>
  <c r="M120" i="8"/>
  <c r="L20" i="8"/>
  <c r="L111" i="8"/>
  <c r="M104" i="8"/>
  <c r="L114" i="8"/>
  <c r="L46" i="8"/>
  <c r="L38" i="8"/>
  <c r="L42" i="8"/>
  <c r="L40" i="8"/>
  <c r="M40" i="8"/>
  <c r="M43" i="8"/>
  <c r="M112" i="8"/>
  <c r="L98" i="8"/>
  <c r="M44" i="8"/>
  <c r="L51" i="8"/>
  <c r="L104" i="8"/>
  <c r="L49" i="8"/>
  <c r="L120" i="8"/>
  <c r="L123" i="8"/>
  <c r="L112" i="8"/>
  <c r="L118" i="8"/>
  <c r="L48" i="8"/>
  <c r="L116" i="8"/>
  <c r="M48" i="8"/>
  <c r="L122" i="8"/>
  <c r="L105" i="8"/>
  <c r="L96" i="8"/>
  <c r="L110" i="8"/>
  <c r="L107" i="8"/>
  <c r="L117" i="8"/>
  <c r="M51" i="8"/>
  <c r="L47" i="8"/>
  <c r="B8" i="7" l="1"/>
  <c r="B7" i="7"/>
  <c r="B6" i="7"/>
  <c r="C34" i="7"/>
  <c r="D34" i="7"/>
  <c r="M29" i="7"/>
  <c r="E34" i="7"/>
  <c r="P29" i="7"/>
  <c r="F36" i="7"/>
  <c r="P33" i="7"/>
  <c r="H35" i="7"/>
  <c r="N33" i="7"/>
  <c r="N32" i="7"/>
  <c r="K30" i="7"/>
  <c r="J31" i="7"/>
  <c r="I4" i="7"/>
  <c r="C10" i="7"/>
  <c r="E27" i="7"/>
  <c r="J27" i="7"/>
  <c r="K28" i="7"/>
  <c r="L32" i="7"/>
  <c r="O28" i="7"/>
  <c r="D28" i="7"/>
  <c r="K34" i="7"/>
  <c r="C3" i="7"/>
  <c r="R32" i="7"/>
  <c r="M31" i="7"/>
  <c r="C35" i="7"/>
  <c r="J29" i="7"/>
  <c r="R35" i="7"/>
  <c r="O31" i="7"/>
  <c r="H34" i="7"/>
  <c r="G34" i="7"/>
  <c r="L31" i="7"/>
  <c r="O30" i="7"/>
  <c r="F31" i="7"/>
  <c r="D33" i="7"/>
  <c r="H31" i="7"/>
  <c r="M33" i="7"/>
  <c r="G36" i="7"/>
  <c r="L34" i="7"/>
  <c r="F34" i="7"/>
  <c r="E31" i="7"/>
  <c r="R30" i="7"/>
  <c r="Q35" i="7"/>
  <c r="F33" i="7"/>
  <c r="M73" i="8"/>
  <c r="M2" i="8"/>
  <c r="M14" i="8"/>
  <c r="M139" i="8"/>
  <c r="M10" i="8"/>
  <c r="M81" i="8"/>
  <c r="M29" i="8"/>
  <c r="M116" i="8"/>
  <c r="L88" i="8"/>
  <c r="L7" i="8"/>
  <c r="M96" i="8"/>
  <c r="M148" i="8"/>
  <c r="M8" i="8"/>
  <c r="M145" i="8"/>
  <c r="L83" i="8"/>
  <c r="L8" i="8"/>
  <c r="L76" i="8"/>
  <c r="L74" i="8"/>
  <c r="M22" i="8"/>
  <c r="L16" i="8"/>
  <c r="M99" i="8"/>
  <c r="M142" i="8"/>
  <c r="M125" i="8"/>
  <c r="L87" i="8"/>
  <c r="M3" i="8"/>
  <c r="M132" i="8"/>
  <c r="L71" i="8"/>
  <c r="M15" i="8"/>
  <c r="M20" i="8"/>
  <c r="L31" i="8"/>
  <c r="L90" i="8"/>
  <c r="M94" i="8"/>
  <c r="L32" i="8"/>
  <c r="M74" i="8"/>
  <c r="L80" i="8"/>
  <c r="M136" i="8"/>
  <c r="L82" i="8"/>
  <c r="L18" i="8"/>
  <c r="M26" i="8"/>
  <c r="L9" i="8"/>
  <c r="L23" i="8"/>
  <c r="M90" i="8"/>
  <c r="M119" i="8"/>
  <c r="M137" i="8"/>
  <c r="M121" i="8"/>
  <c r="K33" i="7"/>
  <c r="Q34" i="7"/>
  <c r="J33" i="7"/>
  <c r="O32" i="7"/>
  <c r="C31" i="7"/>
  <c r="R36" i="7"/>
  <c r="J4" i="7"/>
  <c r="E35" i="7"/>
  <c r="D27" i="7"/>
  <c r="P34" i="7"/>
  <c r="E3" i="7"/>
  <c r="C27" i="7"/>
  <c r="Q27" i="7"/>
  <c r="H32" i="7"/>
  <c r="L2" i="8"/>
  <c r="M23" i="8"/>
  <c r="L3" i="8"/>
  <c r="M82" i="8"/>
  <c r="Q30" i="7"/>
  <c r="K27" i="7"/>
  <c r="E36" i="7"/>
  <c r="D29" i="7"/>
  <c r="P35" i="7"/>
  <c r="O27" i="7"/>
  <c r="R29" i="7"/>
  <c r="N35" i="7"/>
  <c r="G32" i="7"/>
  <c r="N27" i="7"/>
  <c r="G29" i="7"/>
  <c r="J34" i="7"/>
  <c r="J28" i="7"/>
  <c r="C12" i="7"/>
  <c r="C11" i="7"/>
  <c r="C28" i="7"/>
  <c r="L29" i="7"/>
  <c r="P27" i="7"/>
  <c r="E32" i="7"/>
  <c r="I32" i="7"/>
  <c r="E28" i="7"/>
  <c r="M34" i="7"/>
  <c r="G28" i="7"/>
  <c r="G31" i="7"/>
  <c r="O4" i="7"/>
  <c r="F32" i="7"/>
  <c r="I33" i="7"/>
  <c r="H36" i="7"/>
  <c r="K36" i="7"/>
  <c r="J36" i="7"/>
  <c r="F27" i="7"/>
  <c r="O33" i="7"/>
  <c r="N29" i="7"/>
  <c r="G30" i="7"/>
  <c r="M30" i="7"/>
  <c r="P28" i="7"/>
  <c r="D32" i="7"/>
  <c r="L28" i="7"/>
  <c r="N34" i="7"/>
  <c r="N36" i="7"/>
  <c r="F3" i="7"/>
  <c r="I36" i="7"/>
  <c r="F29" i="7"/>
  <c r="M27" i="7"/>
  <c r="P4" i="7"/>
  <c r="M31" i="8"/>
  <c r="L75" i="8"/>
  <c r="M110" i="8"/>
  <c r="L33" i="8"/>
  <c r="M5" i="8"/>
  <c r="L28" i="8"/>
  <c r="L29" i="8"/>
  <c r="L34" i="8"/>
  <c r="L78" i="8"/>
  <c r="L5" i="8"/>
  <c r="M105" i="8"/>
  <c r="M103" i="8"/>
  <c r="L86" i="8"/>
  <c r="M150" i="8"/>
  <c r="M17" i="8"/>
  <c r="M134" i="8"/>
  <c r="M92" i="8"/>
  <c r="M79" i="8"/>
  <c r="M84" i="8"/>
  <c r="M117" i="8"/>
  <c r="L6" i="8"/>
  <c r="M25" i="8"/>
  <c r="M109" i="8"/>
  <c r="M4" i="8"/>
  <c r="M102" i="8"/>
  <c r="L95" i="8"/>
  <c r="M27" i="8"/>
  <c r="M108" i="8"/>
  <c r="M133" i="8"/>
  <c r="L17" i="8"/>
  <c r="M80" i="8"/>
  <c r="M106" i="8"/>
  <c r="L25" i="8"/>
  <c r="M113" i="8"/>
  <c r="M75" i="8"/>
  <c r="M97" i="8"/>
  <c r="M141" i="8"/>
  <c r="L93" i="8"/>
  <c r="M16" i="8"/>
  <c r="M138" i="8"/>
  <c r="M131" i="8"/>
  <c r="L27" i="7"/>
  <c r="I31" i="7"/>
  <c r="Q28" i="7"/>
  <c r="I35" i="7"/>
  <c r="K4" i="7"/>
  <c r="N30" i="7"/>
  <c r="E33" i="7"/>
  <c r="H29" i="7"/>
  <c r="K32" i="7"/>
  <c r="R28" i="7"/>
  <c r="K31" i="7"/>
  <c r="Q31" i="7"/>
  <c r="M28" i="7"/>
  <c r="M76" i="8"/>
  <c r="M9" i="8"/>
  <c r="E30" i="7"/>
  <c r="I34" i="7"/>
  <c r="J35" i="7"/>
  <c r="E29" i="7"/>
  <c r="L35" i="7"/>
  <c r="D36" i="7"/>
  <c r="I28" i="7"/>
  <c r="D31" i="7"/>
  <c r="R31" i="7"/>
  <c r="R33" i="7"/>
  <c r="I3" i="7"/>
  <c r="C30" i="7"/>
  <c r="Q36" i="7"/>
  <c r="P32" i="7"/>
  <c r="C32" i="7"/>
  <c r="J3" i="7"/>
  <c r="O34" i="7"/>
  <c r="L4" i="7"/>
  <c r="F28" i="7"/>
  <c r="C4" i="7"/>
  <c r="K3" i="7"/>
  <c r="O29" i="7"/>
  <c r="G33" i="7"/>
  <c r="H33" i="7"/>
  <c r="C9" i="7"/>
  <c r="F9" i="7" s="1"/>
  <c r="I29" i="7"/>
  <c r="O3" i="7"/>
  <c r="O36" i="7"/>
  <c r="M35" i="7"/>
  <c r="J30" i="7"/>
  <c r="K35" i="7"/>
  <c r="G35" i="7"/>
  <c r="I27" i="7"/>
  <c r="D30" i="7"/>
  <c r="R27" i="7"/>
  <c r="H30" i="7"/>
  <c r="K29" i="7"/>
  <c r="P31" i="7"/>
  <c r="C36" i="7"/>
  <c r="I8" i="7"/>
  <c r="M32" i="7"/>
  <c r="J32" i="7"/>
  <c r="N31" i="7"/>
  <c r="L36" i="7"/>
  <c r="H27" i="7"/>
  <c r="R34" i="7"/>
  <c r="D9" i="7"/>
  <c r="F4" i="7"/>
  <c r="O7" i="7"/>
  <c r="Q7" i="7" s="1"/>
  <c r="P3" i="7"/>
  <c r="P7" i="7"/>
  <c r="M33" i="8"/>
  <c r="M36" i="8"/>
  <c r="M95" i="8"/>
  <c r="M77" i="8"/>
  <c r="M6" i="8"/>
  <c r="M107" i="8"/>
  <c r="L81" i="8"/>
  <c r="L94" i="8"/>
  <c r="M151" i="8"/>
  <c r="M130" i="8"/>
  <c r="M85" i="8"/>
  <c r="M135" i="8"/>
  <c r="M144" i="8"/>
  <c r="L11" i="8"/>
  <c r="M91" i="8"/>
  <c r="M152" i="8"/>
  <c r="L12" i="8"/>
  <c r="M89" i="8"/>
  <c r="L92" i="8"/>
  <c r="M13" i="8"/>
  <c r="L14" i="8"/>
  <c r="M83" i="8"/>
  <c r="M12" i="8"/>
  <c r="M124" i="8"/>
  <c r="M122" i="8"/>
  <c r="L4" i="8"/>
  <c r="M7" i="8"/>
  <c r="L15" i="8"/>
  <c r="M93" i="8"/>
  <c r="M128" i="8"/>
  <c r="M111" i="8"/>
  <c r="M11" i="8"/>
  <c r="M129" i="8"/>
  <c r="L19" i="8"/>
  <c r="L36" i="8"/>
  <c r="M86" i="8"/>
  <c r="M28" i="8"/>
  <c r="M71" i="8"/>
  <c r="M115" i="8"/>
  <c r="L73" i="8"/>
  <c r="L24" i="8"/>
  <c r="L91" i="8"/>
  <c r="M118" i="8"/>
  <c r="Q33" i="7"/>
  <c r="C33" i="7"/>
  <c r="Q29" i="7"/>
  <c r="H28" i="7"/>
  <c r="O35" i="7"/>
  <c r="C29" i="7"/>
  <c r="L30" i="7"/>
  <c r="I30" i="7"/>
  <c r="N28" i="7"/>
  <c r="D35" i="7"/>
  <c r="M36" i="7"/>
  <c r="L33" i="7"/>
  <c r="P30" i="7"/>
  <c r="G27" i="7"/>
  <c r="F30" i="7"/>
  <c r="P36" i="7"/>
  <c r="F35" i="7"/>
  <c r="Q32" i="7"/>
  <c r="E9" i="7"/>
  <c r="M24" i="8"/>
  <c r="M100" i="8"/>
  <c r="L79" i="8"/>
  <c r="M123" i="8"/>
  <c r="M87" i="8"/>
  <c r="L72" i="8"/>
  <c r="L22" i="8"/>
  <c r="L30" i="8"/>
  <c r="M146" i="8"/>
  <c r="L26" i="8"/>
  <c r="L13" i="8"/>
  <c r="L89" i="8"/>
  <c r="M127" i="8"/>
  <c r="M35" i="8"/>
  <c r="L84" i="8"/>
  <c r="M34" i="8"/>
  <c r="M30" i="8"/>
  <c r="M98" i="8"/>
  <c r="M72" i="8"/>
  <c r="L35" i="8"/>
  <c r="M21" i="8"/>
  <c r="M78" i="8"/>
  <c r="M19" i="8"/>
  <c r="M149" i="8"/>
  <c r="M140" i="8"/>
  <c r="L85" i="8"/>
  <c r="L10" i="8"/>
  <c r="M32" i="8"/>
  <c r="M114" i="8"/>
  <c r="M126" i="8"/>
  <c r="L77" i="8"/>
  <c r="M101" i="8"/>
  <c r="M88" i="8"/>
  <c r="L27" i="8"/>
  <c r="M147" i="8"/>
  <c r="M18" i="8"/>
  <c r="L21" i="8"/>
  <c r="O6" i="7"/>
  <c r="Q4" i="7"/>
  <c r="I7" i="7"/>
  <c r="I9" i="7"/>
  <c r="I6" i="7"/>
  <c r="C8" i="7"/>
  <c r="C7" i="7"/>
  <c r="C6" i="7"/>
  <c r="E4" i="7"/>
  <c r="D4" i="7"/>
  <c r="Q3" i="7"/>
  <c r="O9" i="7"/>
  <c r="K8" i="7"/>
  <c r="L8" i="7"/>
  <c r="J7" i="7"/>
  <c r="K7" i="7"/>
  <c r="K9" i="7"/>
  <c r="L9" i="7"/>
  <c r="K6" i="7"/>
  <c r="J6" i="7"/>
  <c r="F8" i="7"/>
  <c r="E8" i="7"/>
  <c r="D7" i="7"/>
  <c r="F7" i="7"/>
  <c r="D6" i="7"/>
  <c r="F6" i="7"/>
  <c r="E6" i="7"/>
  <c r="R7" i="7"/>
  <c r="A1" i="7" l="1"/>
  <c r="A1" i="8"/>
  <c r="Q9" i="7"/>
  <c r="D3" i="7"/>
  <c r="G4" i="7"/>
  <c r="P9" i="7"/>
  <c r="J8" i="7"/>
  <c r="M4" i="7"/>
  <c r="L6" i="7"/>
  <c r="J9" i="7"/>
  <c r="G9" i="7"/>
  <c r="H9" i="7" s="1"/>
  <c r="D8" i="7"/>
  <c r="L3" i="7"/>
  <c r="G6" i="7"/>
  <c r="H6" i="7" s="1"/>
  <c r="R4" i="7"/>
  <c r="Q6" i="7"/>
  <c r="E7" i="7"/>
  <c r="G7" i="7" s="1"/>
  <c r="H7" i="7" s="1"/>
  <c r="G3" i="7"/>
  <c r="R3" i="7"/>
  <c r="L7" i="7"/>
  <c r="P6" i="7"/>
  <c r="H4" i="7"/>
  <c r="O8" i="7"/>
  <c r="P8" i="7" s="1"/>
  <c r="Q8" i="7"/>
  <c r="H3" i="7"/>
  <c r="N4" i="7"/>
  <c r="R8" i="7"/>
  <c r="G8" i="7"/>
  <c r="H8" i="7" s="1"/>
  <c r="R9" i="7"/>
  <c r="R6" i="7"/>
  <c r="M9" i="7"/>
  <c r="N9" i="7" s="1"/>
  <c r="M7" i="7"/>
  <c r="N7" i="7" s="1"/>
  <c r="M6" i="7"/>
  <c r="N6" i="7" s="1"/>
  <c r="M3" i="7"/>
  <c r="N3" i="7" s="1"/>
  <c r="M8" i="7"/>
  <c r="N8" i="7" s="1"/>
</calcChain>
</file>

<file path=xl/sharedStrings.xml><?xml version="1.0" encoding="utf-8"?>
<sst xmlns="http://schemas.openxmlformats.org/spreadsheetml/2006/main" count="655" uniqueCount="449">
  <si>
    <t>±</t>
    <phoneticPr fontId="14"/>
  </si>
  <si>
    <t>指</t>
    <rPh sb="0" eb="1">
      <t>ユビ</t>
    </rPh>
    <phoneticPr fontId="14"/>
  </si>
  <si>
    <t>仮</t>
    <rPh sb="0" eb="1">
      <t>カリ</t>
    </rPh>
    <phoneticPr fontId="14"/>
  </si>
  <si>
    <t>10進変換</t>
    <rPh sb="2" eb="3">
      <t>シン</t>
    </rPh>
    <rPh sb="3" eb="5">
      <t>ヘンカン</t>
    </rPh>
    <phoneticPr fontId="14"/>
  </si>
  <si>
    <t>2進値</t>
    <rPh sb="1" eb="2">
      <t>シン</t>
    </rPh>
    <rPh sb="2" eb="3">
      <t>アタイ</t>
    </rPh>
    <phoneticPr fontId="14"/>
  </si>
  <si>
    <t>A</t>
    <phoneticPr fontId="14"/>
  </si>
  <si>
    <t>B</t>
    <phoneticPr fontId="14"/>
  </si>
  <si>
    <t>A+B</t>
    <phoneticPr fontId="14"/>
  </si>
  <si>
    <t>A-B</t>
    <phoneticPr fontId="14"/>
  </si>
  <si>
    <t>A*B</t>
    <phoneticPr fontId="14"/>
  </si>
  <si>
    <t>A/B</t>
    <phoneticPr fontId="14"/>
  </si>
  <si>
    <t>double</t>
    <phoneticPr fontId="14"/>
  </si>
  <si>
    <t>float</t>
    <phoneticPr fontId="14"/>
  </si>
  <si>
    <t>Internal Hex</t>
    <phoneticPr fontId="14"/>
  </si>
  <si>
    <t>long</t>
    <phoneticPr fontId="14"/>
  </si>
  <si>
    <t>実</t>
    <rPh sb="0" eb="1">
      <t>ジツ</t>
    </rPh>
    <phoneticPr fontId="14"/>
  </si>
  <si>
    <t>SizeOfCDouble</t>
    <phoneticPr fontId="14"/>
  </si>
  <si>
    <t>SizeOfCFloat</t>
    <phoneticPr fontId="14"/>
  </si>
  <si>
    <t>SizeOfCLong</t>
    <phoneticPr fontId="14"/>
  </si>
  <si>
    <t>shiftNumeralPnt</t>
    <phoneticPr fontId="14"/>
  </si>
  <si>
    <t>bin</t>
    <phoneticPr fontId="14"/>
  </si>
  <si>
    <t>dec</t>
    <phoneticPr fontId="14"/>
  </si>
  <si>
    <t>hex</t>
    <phoneticPr fontId="14"/>
  </si>
  <si>
    <t>binでない</t>
    <phoneticPr fontId="14"/>
  </si>
  <si>
    <t>decでない</t>
    <phoneticPr fontId="14"/>
  </si>
  <si>
    <t>hexでない</t>
    <phoneticPr fontId="14"/>
  </si>
  <si>
    <t>input</t>
    <phoneticPr fontId="14"/>
  </si>
  <si>
    <t>output</t>
    <phoneticPr fontId="14"/>
  </si>
  <si>
    <t>A</t>
    <phoneticPr fontId="14"/>
  </si>
  <si>
    <t>基数が範囲外</t>
    <rPh sb="0" eb="2">
      <t>キスウ</t>
    </rPh>
    <rPh sb="3" eb="5">
      <t>ハンイ</t>
    </rPh>
    <rPh sb="5" eb="6">
      <t>ガイ</t>
    </rPh>
    <phoneticPr fontId="14"/>
  </si>
  <si>
    <t>F0F</t>
    <phoneticPr fontId="14"/>
  </si>
  <si>
    <t>G</t>
    <phoneticPr fontId="14"/>
  </si>
  <si>
    <t>小数点付き</t>
    <rPh sb="0" eb="3">
      <t>ショウスウテン</t>
    </rPh>
    <rPh sb="3" eb="4">
      <t>ツ</t>
    </rPh>
    <phoneticPr fontId="14"/>
  </si>
  <si>
    <t>+shift</t>
    <phoneticPr fontId="14"/>
  </si>
  <si>
    <t>0shift</t>
    <phoneticPr fontId="14"/>
  </si>
  <si>
    <t>-shift</t>
    <phoneticPr fontId="14"/>
  </si>
  <si>
    <t>F0.F</t>
    <phoneticPr fontId="14"/>
  </si>
  <si>
    <t>isNumeralPnt</t>
    <phoneticPr fontId="14"/>
  </si>
  <si>
    <t>1進数</t>
    <rPh sb="1" eb="3">
      <t>シンスウ</t>
    </rPh>
    <phoneticPr fontId="14"/>
  </si>
  <si>
    <t>17進数</t>
    <rPh sb="2" eb="4">
      <t>シンスウ</t>
    </rPh>
    <phoneticPr fontId="14"/>
  </si>
  <si>
    <t>基数未指定</t>
    <rPh sb="0" eb="2">
      <t>キスウ</t>
    </rPh>
    <rPh sb="2" eb="5">
      <t>ミシテイ</t>
    </rPh>
    <phoneticPr fontId="14"/>
  </si>
  <si>
    <t>A</t>
    <phoneticPr fontId="14"/>
  </si>
  <si>
    <t>NG</t>
    <phoneticPr fontId="14"/>
  </si>
  <si>
    <t>OK</t>
    <phoneticPr fontId="14"/>
  </si>
  <si>
    <t>G</t>
    <phoneticPr fontId="14"/>
  </si>
  <si>
    <t>F</t>
    <phoneticPr fontId="14"/>
  </si>
  <si>
    <t>小数点付きNG</t>
    <rPh sb="0" eb="3">
      <t>ショウスウテン</t>
    </rPh>
    <rPh sb="3" eb="4">
      <t>ツ</t>
    </rPh>
    <phoneticPr fontId="14"/>
  </si>
  <si>
    <t>小数点付きOK</t>
    <rPh sb="0" eb="3">
      <t>ショウスウテン</t>
    </rPh>
    <rPh sb="3" eb="4">
      <t>ツ</t>
    </rPh>
    <phoneticPr fontId="14"/>
  </si>
  <si>
    <t>90.A</t>
    <phoneticPr fontId="14"/>
  </si>
  <si>
    <t>F0.G</t>
    <phoneticPr fontId="14"/>
  </si>
  <si>
    <t>addNPntNPnt</t>
    <phoneticPr fontId="14"/>
  </si>
  <si>
    <t>A</t>
    <phoneticPr fontId="14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</si>
  <si>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14"/>
  </si>
  <si>
    <r>
      <t>(</t>
    </r>
    <r>
      <rPr>
        <sz val="9"/>
        <color theme="1"/>
        <rFont val="ＭＳ ゴシック"/>
        <family val="2"/>
        <charset val="128"/>
      </rPr>
      <t>+) + (-)</t>
    </r>
    <phoneticPr fontId="14"/>
  </si>
  <si>
    <t>(+) + (+)</t>
    <phoneticPr fontId="14"/>
  </si>
  <si>
    <t>(-) + (+)</t>
    <phoneticPr fontId="14"/>
  </si>
  <si>
    <t>(-) + (-)</t>
    <phoneticPr fontId="14"/>
  </si>
  <si>
    <t>小数点付き</t>
    <rPh sb="0" eb="3">
      <t>ショウスウテン</t>
    </rPh>
    <rPh sb="3" eb="4">
      <t>ツ</t>
    </rPh>
    <phoneticPr fontId="14"/>
  </si>
  <si>
    <r>
      <t>b</t>
    </r>
    <r>
      <rPr>
        <sz val="9"/>
        <color theme="1"/>
        <rFont val="ＭＳ ゴシック"/>
        <family val="2"/>
        <charset val="128"/>
      </rPr>
      <t>inでない</t>
    </r>
    <phoneticPr fontId="14"/>
  </si>
  <si>
    <t>dec</t>
    <phoneticPr fontId="14"/>
  </si>
  <si>
    <r>
      <t>10.</t>
    </r>
    <r>
      <rPr>
        <sz val="9"/>
        <color theme="1"/>
        <rFont val="ＭＳ ゴシック"/>
        <family val="2"/>
        <charset val="128"/>
      </rPr>
      <t>A</t>
    </r>
    <phoneticPr fontId="14"/>
  </si>
  <si>
    <r>
      <t>0.</t>
    </r>
    <r>
      <rPr>
        <sz val="9"/>
        <color theme="1"/>
        <rFont val="ＭＳ ゴシック"/>
        <family val="2"/>
        <charset val="128"/>
      </rPr>
      <t>A</t>
    </r>
    <phoneticPr fontId="14"/>
  </si>
  <si>
    <t>decでない</t>
    <phoneticPr fontId="14"/>
  </si>
  <si>
    <t>hex</t>
    <phoneticPr fontId="14"/>
  </si>
  <si>
    <t>hexでない</t>
    <phoneticPr fontId="14"/>
  </si>
  <si>
    <t>F</t>
    <phoneticPr fontId="14"/>
  </si>
  <si>
    <t>F</t>
    <phoneticPr fontId="14"/>
  </si>
  <si>
    <t>-F</t>
    <phoneticPr fontId="14"/>
  </si>
  <si>
    <r>
      <t>-</t>
    </r>
    <r>
      <rPr>
        <sz val="9"/>
        <color theme="1"/>
        <rFont val="ＭＳ ゴシック"/>
        <family val="2"/>
        <charset val="128"/>
      </rPr>
      <t>F</t>
    </r>
    <phoneticPr fontId="14"/>
  </si>
  <si>
    <t>F</t>
    <phoneticPr fontId="14"/>
  </si>
  <si>
    <r>
      <t>F</t>
    </r>
    <r>
      <rPr>
        <sz val="9"/>
        <color theme="1"/>
        <rFont val="ＭＳ ゴシック"/>
        <family val="2"/>
        <charset val="128"/>
      </rPr>
      <t>F.F</t>
    </r>
    <phoneticPr fontId="14"/>
  </si>
  <si>
    <t>0.F</t>
    <phoneticPr fontId="14"/>
  </si>
  <si>
    <t>10.G</t>
    <phoneticPr fontId="14"/>
  </si>
  <si>
    <t>0.G</t>
    <phoneticPr fontId="14"/>
  </si>
  <si>
    <t>90</t>
  </si>
  <si>
    <t>10100000</t>
  </si>
  <si>
    <t>101</t>
  </si>
  <si>
    <t>0.00101</t>
  </si>
  <si>
    <t>1010</t>
  </si>
  <si>
    <t>90900000</t>
  </si>
  <si>
    <t>909</t>
  </si>
  <si>
    <t>0.00909</t>
  </si>
  <si>
    <t>9090</t>
  </si>
  <si>
    <t>F0F00000</t>
  </si>
  <si>
    <t>F0F</t>
  </si>
  <si>
    <t>0.00F0F</t>
  </si>
  <si>
    <t>F0F0</t>
  </si>
  <si>
    <t>10</t>
  </si>
  <si>
    <t>0</t>
  </si>
  <si>
    <t>-10</t>
  </si>
  <si>
    <t>100</t>
  </si>
  <si>
    <t>18</t>
  </si>
  <si>
    <t>-18</t>
  </si>
  <si>
    <t>100.8</t>
  </si>
  <si>
    <t>1E</t>
  </si>
  <si>
    <t>-1E</t>
  </si>
  <si>
    <t>100.E</t>
  </si>
  <si>
    <r>
      <t>output</t>
    </r>
    <r>
      <rPr>
        <sz val="9"/>
        <color theme="1"/>
        <rFont val="ＭＳ ゴシック"/>
        <family val="2"/>
        <charset val="128"/>
      </rPr>
      <t>OLD</t>
    </r>
    <phoneticPr fontId="14"/>
  </si>
  <si>
    <t>A</t>
    <phoneticPr fontId="14"/>
  </si>
  <si>
    <t>(+) * (+)</t>
  </si>
  <si>
    <t>(+) * (-)</t>
  </si>
  <si>
    <t>(-) * (+)</t>
  </si>
  <si>
    <t>(-) * (-)</t>
  </si>
  <si>
    <t>-1</t>
    <phoneticPr fontId="14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</si>
  <si>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14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</si>
  <si>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14"/>
  </si>
  <si>
    <t>decでない</t>
    <phoneticPr fontId="14"/>
  </si>
  <si>
    <t>hexでない</t>
    <phoneticPr fontId="14"/>
  </si>
  <si>
    <r>
      <t>1</t>
    </r>
    <r>
      <rPr>
        <sz val="9"/>
        <color theme="1"/>
        <rFont val="ＭＳ ゴシック"/>
        <family val="2"/>
        <charset val="128"/>
      </rPr>
      <t>0.A</t>
    </r>
    <phoneticPr fontId="14"/>
  </si>
  <si>
    <t>404A800000000000</t>
  </si>
  <si>
    <t>10000000100</t>
  </si>
  <si>
    <t>1010100000000000000000000000000000000000000000000000</t>
  </si>
  <si>
    <t>110101</t>
  </si>
  <si>
    <t>53</t>
  </si>
  <si>
    <t>42540000</t>
  </si>
  <si>
    <t>10000100</t>
  </si>
  <si>
    <t>10101000000000000000000</t>
  </si>
  <si>
    <t>00000035</t>
  </si>
  <si>
    <t>0000000000000000000000000110101</t>
  </si>
  <si>
    <t>4059000000000000</t>
  </si>
  <si>
    <t>10000000101</t>
  </si>
  <si>
    <t>1001000000000000000000000000000000000000000000000000</t>
  </si>
  <si>
    <t>1100100</t>
  </si>
  <si>
    <t>42C80000</t>
  </si>
  <si>
    <t>10000101</t>
  </si>
  <si>
    <t>10010000000000000000000</t>
  </si>
  <si>
    <t>00000064</t>
  </si>
  <si>
    <t>0000000000000000000000001100100</t>
  </si>
  <si>
    <t>4063200000000000</t>
  </si>
  <si>
    <t>10000000110</t>
  </si>
  <si>
    <t>0011001000000000000000000000000000000000000000000000</t>
  </si>
  <si>
    <t>10011001</t>
  </si>
  <si>
    <t>153</t>
  </si>
  <si>
    <t>43190000</t>
  </si>
  <si>
    <t>10000110</t>
  </si>
  <si>
    <t>00110010000000000000000</t>
  </si>
  <si>
    <t>00000099</t>
  </si>
  <si>
    <t>0000000000000000000000010011001</t>
  </si>
  <si>
    <t>C047800000000000</t>
  </si>
  <si>
    <t>1</t>
  </si>
  <si>
    <t>0111100000000000000000000000000000000000000000000000</t>
  </si>
  <si>
    <t>-101111</t>
  </si>
  <si>
    <t>-47</t>
  </si>
  <si>
    <t>C23C0000</t>
  </si>
  <si>
    <t>01111000000000000000000</t>
  </si>
  <si>
    <t>FFFFFFD1</t>
  </si>
  <si>
    <t>1111111111111111111111111010001</t>
  </si>
  <si>
    <t>40B4B40000000000</t>
  </si>
  <si>
    <t>10000001011</t>
  </si>
  <si>
    <t>0100101101000000000000000000000000000000000000000000</t>
  </si>
  <si>
    <t>1010010110100</t>
  </si>
  <si>
    <t>5300</t>
  </si>
  <si>
    <t>45A5A000</t>
  </si>
  <si>
    <t>10001011</t>
  </si>
  <si>
    <t>01001011010000000000000</t>
  </si>
  <si>
    <t>000014B4</t>
  </si>
  <si>
    <t>0000000000000000001010010110100</t>
  </si>
  <si>
    <t>3FE0F5C28F5C28F6</t>
  </si>
  <si>
    <t>01111111110</t>
  </si>
  <si>
    <t>0000111101011100001010001111010111000010100011110110</t>
  </si>
  <si>
    <t>0.1000011110101110000101000111101011100001010001111011</t>
  </si>
  <si>
    <t>0.5300000000000000266453525910037569701671600341796875</t>
  </si>
  <si>
    <t>3F07AE14</t>
  </si>
  <si>
    <t>01111110</t>
  </si>
  <si>
    <t>00001111010111000010100</t>
  </si>
  <si>
    <t>0.1000011110101110000101</t>
  </si>
  <si>
    <t>0.5299999713897705078125</t>
  </si>
  <si>
    <t>00000000</t>
  </si>
  <si>
    <t>0000000000000000000000000000000</t>
  </si>
  <si>
    <t>old</t>
    <phoneticPr fontId="14"/>
  </si>
  <si>
    <t>A</t>
  </si>
  <si>
    <t>B</t>
  </si>
  <si>
    <t>A+B</t>
  </si>
  <si>
    <t>A-B</t>
  </si>
  <si>
    <t>A*B</t>
  </si>
  <si>
    <t>A/B</t>
  </si>
  <si>
    <t>SizeOfCDouble</t>
  </si>
  <si>
    <t>SizeOfCFloat</t>
  </si>
  <si>
    <t>SizeOfCLong</t>
  </si>
  <si>
    <t>same?</t>
    <phoneticPr fontId="14"/>
  </si>
  <si>
    <t>A</t>
    <phoneticPr fontId="14"/>
  </si>
  <si>
    <t>20</t>
  </si>
  <si>
    <t>101.1</t>
  </si>
  <si>
    <t>891</t>
  </si>
  <si>
    <t>-891</t>
  </si>
  <si>
    <t>899.1</t>
  </si>
  <si>
    <t>FF</t>
    <phoneticPr fontId="14"/>
  </si>
  <si>
    <t>F</t>
    <phoneticPr fontId="14"/>
  </si>
  <si>
    <t>F</t>
    <phoneticPr fontId="14"/>
  </si>
  <si>
    <r>
      <t>F</t>
    </r>
    <r>
      <rPr>
        <sz val="9"/>
        <color theme="1"/>
        <rFont val="ＭＳ ゴシック"/>
        <family val="2"/>
        <charset val="128"/>
      </rPr>
      <t>F</t>
    </r>
    <phoneticPr fontId="14"/>
  </si>
  <si>
    <t>-F</t>
    <phoneticPr fontId="14"/>
  </si>
  <si>
    <t>-FF</t>
    <phoneticPr fontId="14"/>
  </si>
  <si>
    <t>F</t>
    <phoneticPr fontId="14"/>
  </si>
  <si>
    <t>-F</t>
    <phoneticPr fontId="14"/>
  </si>
  <si>
    <t>10.F</t>
    <phoneticPr fontId="14"/>
  </si>
  <si>
    <t>G</t>
    <phoneticPr fontId="14"/>
  </si>
  <si>
    <t>A</t>
    <phoneticPr fontId="14"/>
  </si>
  <si>
    <t>A</t>
    <phoneticPr fontId="14"/>
  </si>
  <si>
    <t>G</t>
    <phoneticPr fontId="14"/>
  </si>
  <si>
    <t>EF1</t>
  </si>
  <si>
    <t>-EF1</t>
  </si>
  <si>
    <t>FE.1</t>
  </si>
  <si>
    <t>A</t>
    <phoneticPr fontId="14"/>
  </si>
  <si>
    <t>除算回数指定</t>
    <rPh sb="0" eb="2">
      <t>ジョザン</t>
    </rPh>
    <rPh sb="2" eb="4">
      <t>カイスウ</t>
    </rPh>
    <rPh sb="4" eb="6">
      <t>シテイ</t>
    </rPh>
    <phoneticPr fontId="14"/>
  </si>
  <si>
    <t>0回</t>
    <rPh sb="1" eb="2">
      <t>カイ</t>
    </rPh>
    <phoneticPr fontId="14"/>
  </si>
  <si>
    <t>1回</t>
    <rPh sb="1" eb="2">
      <t>カイ</t>
    </rPh>
    <phoneticPr fontId="14"/>
  </si>
  <si>
    <t>未指定</t>
    <rPh sb="0" eb="3">
      <t>ミシテイ</t>
    </rPh>
    <phoneticPr fontId="14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</si>
  <si>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14"/>
  </si>
  <si>
    <t>(+) / (+)</t>
  </si>
  <si>
    <t>(+) / (-)</t>
  </si>
  <si>
    <t>(-) / (+)</t>
  </si>
  <si>
    <t>(-) / (-)</t>
  </si>
  <si>
    <t>decでない</t>
    <phoneticPr fontId="14"/>
  </si>
  <si>
    <t>hexでない</t>
    <phoneticPr fontId="14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</si>
  <si>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14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</si>
  <si>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14"/>
  </si>
  <si>
    <r>
      <t>9</t>
    </r>
    <r>
      <rPr>
        <sz val="9"/>
        <color theme="1"/>
        <rFont val="ＭＳ ゴシック"/>
        <family val="2"/>
        <charset val="128"/>
      </rPr>
      <t>9.A</t>
    </r>
    <phoneticPr fontId="14"/>
  </si>
  <si>
    <t>A</t>
    <phoneticPr fontId="14"/>
  </si>
  <si>
    <t>FF</t>
    <phoneticPr fontId="14"/>
  </si>
  <si>
    <t>F</t>
    <phoneticPr fontId="14"/>
  </si>
  <si>
    <r>
      <t>F</t>
    </r>
    <r>
      <rPr>
        <sz val="9"/>
        <color theme="1"/>
        <rFont val="ＭＳ ゴシック"/>
        <family val="2"/>
        <charset val="128"/>
      </rPr>
      <t>F</t>
    </r>
    <phoneticPr fontId="14"/>
  </si>
  <si>
    <r>
      <t>-</t>
    </r>
    <r>
      <rPr>
        <sz val="9"/>
        <color theme="1"/>
        <rFont val="ＭＳ ゴシック"/>
        <family val="2"/>
        <charset val="128"/>
      </rPr>
      <t>F</t>
    </r>
    <phoneticPr fontId="14"/>
  </si>
  <si>
    <r>
      <t>-</t>
    </r>
    <r>
      <rPr>
        <sz val="9"/>
        <color theme="1"/>
        <rFont val="ＭＳ ゴシック"/>
        <family val="2"/>
        <charset val="128"/>
      </rPr>
      <t>FF</t>
    </r>
    <phoneticPr fontId="14"/>
  </si>
  <si>
    <t>F</t>
    <phoneticPr fontId="14"/>
  </si>
  <si>
    <t>FF.F</t>
    <phoneticPr fontId="14"/>
  </si>
  <si>
    <t>F</t>
    <phoneticPr fontId="14"/>
  </si>
  <si>
    <t>FF.G</t>
    <phoneticPr fontId="14"/>
  </si>
  <si>
    <t>G</t>
    <phoneticPr fontId="14"/>
  </si>
  <si>
    <t>5</t>
  </si>
  <si>
    <t>3</t>
  </si>
  <si>
    <t>3.3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</si>
  <si>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</si>
  <si>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10.1</t>
  </si>
  <si>
    <t>11</t>
  </si>
  <si>
    <t>-11</t>
  </si>
  <si>
    <t>11.1</t>
  </si>
  <si>
    <r>
      <t>output</t>
    </r>
    <r>
      <rPr>
        <sz val="9"/>
        <color theme="1"/>
        <rFont val="ＭＳ ゴシック"/>
        <family val="2"/>
        <charset val="128"/>
      </rPr>
      <t>Formula</t>
    </r>
    <phoneticPr fontId="14"/>
  </si>
  <si>
    <t>0掛け</t>
    <rPh sb="1" eb="2">
      <t>カ</t>
    </rPh>
    <phoneticPr fontId="14"/>
  </si>
  <si>
    <t>0</t>
    <phoneticPr fontId="14"/>
  </si>
  <si>
    <t>-0</t>
    <phoneticPr fontId="14"/>
  </si>
  <si>
    <r>
      <t>-FF</t>
    </r>
    <r>
      <rPr>
        <sz val="9"/>
        <color theme="1"/>
        <rFont val="ＭＳ ゴシック"/>
        <family val="2"/>
        <charset val="128"/>
      </rPr>
      <t>.F</t>
    </r>
    <phoneticPr fontId="14"/>
  </si>
  <si>
    <r>
      <t>-</t>
    </r>
    <r>
      <rPr>
        <sz val="9"/>
        <color theme="1"/>
        <rFont val="ＭＳ ゴシック"/>
        <family val="2"/>
        <charset val="128"/>
      </rPr>
      <t>0</t>
    </r>
    <phoneticPr fontId="14"/>
  </si>
  <si>
    <t>multipleNPntNPnt</t>
  </si>
  <si>
    <r>
      <t>convDecPntTo</t>
    </r>
    <r>
      <rPr>
        <sz val="9"/>
        <color theme="1"/>
        <rFont val="ＭＳ ゴシック"/>
        <family val="2"/>
        <charset val="128"/>
      </rPr>
      <t>N</t>
    </r>
    <r>
      <rPr>
        <sz val="9"/>
        <color theme="1"/>
        <rFont val="ＭＳ ゴシック"/>
        <family val="2"/>
        <charset val="128"/>
      </rPr>
      <t>Pnt</t>
    </r>
    <phoneticPr fontId="14"/>
  </si>
  <si>
    <t>小数点以下桁数指定</t>
    <rPh sb="0" eb="5">
      <t>ショウスウテンイカ</t>
    </rPh>
    <rPh sb="5" eb="7">
      <t>ケタスウ</t>
    </rPh>
    <rPh sb="7" eb="9">
      <t>シテイ</t>
    </rPh>
    <phoneticPr fontId="14"/>
  </si>
  <si>
    <t>0</t>
    <phoneticPr fontId="14"/>
  </si>
  <si>
    <t>1</t>
    <phoneticPr fontId="14"/>
  </si>
  <si>
    <t>未指定</t>
    <rPh sb="0" eb="3">
      <t>ミシテイ</t>
    </rPh>
    <phoneticPr fontId="14"/>
  </si>
  <si>
    <t>1010.0</t>
  </si>
  <si>
    <t>1010.000110011001100110011001100110011001100110011001100110011001100110011001100110011001100110011001100110011001100110011001100110011001100110011001100110011001100110011001100110011001100110011001100110011001100110011001100110011001100110011001100110011001100</t>
  </si>
  <si>
    <r>
      <t>t</t>
    </r>
    <r>
      <rPr>
        <sz val="9"/>
        <color theme="1"/>
        <rFont val="ＭＳ ゴシック"/>
        <family val="2"/>
        <charset val="128"/>
      </rPr>
      <t>o bin</t>
    </r>
    <phoneticPr fontId="14"/>
  </si>
  <si>
    <t>整数部</t>
    <rPh sb="0" eb="3">
      <t>セイスウブ</t>
    </rPh>
    <phoneticPr fontId="14"/>
  </si>
  <si>
    <t>小数部表現可能</t>
    <rPh sb="0" eb="3">
      <t>ショウスウブ</t>
    </rPh>
    <rPh sb="3" eb="7">
      <t>ヒョウゲンカノウ</t>
    </rPh>
    <phoneticPr fontId="14"/>
  </si>
  <si>
    <t>小数部表現不可能</t>
    <rPh sb="0" eb="3">
      <t>ショウスウブ</t>
    </rPh>
    <rPh sb="3" eb="5">
      <t>ヒョウゲン</t>
    </rPh>
    <rPh sb="5" eb="8">
      <t>フカノウ</t>
    </rPh>
    <phoneticPr fontId="14"/>
  </si>
  <si>
    <t>整数部&amp;小数部表現不可能</t>
    <rPh sb="0" eb="3">
      <t>セイスウブ</t>
    </rPh>
    <rPh sb="4" eb="7">
      <t>ショウスウブ</t>
    </rPh>
    <rPh sb="7" eb="12">
      <t>ヒョウゲンフカノウ</t>
    </rPh>
    <phoneticPr fontId="14"/>
  </si>
  <si>
    <t>111</t>
  </si>
  <si>
    <t>0.001</t>
  </si>
  <si>
    <t>0.100001111010111000010100011110101110000101000111101011100001010001111010111000010100011110101110000101000111101011100001010001111010111000010100011110101110000101000111101011100001010001111010111000010100011110101110000101000111101011100001010001111010111</t>
  </si>
  <si>
    <t>111.100001111010111000010100011110101110000101000111101011100001010001111010111000010100011110101110000101000111101011100001010001111010111000010100011110101110000101000111101011100001010001111010111000010100011110101110000101000111101011100001010001111010111</t>
  </si>
  <si>
    <t>to hex</t>
    <phoneticPr fontId="14"/>
  </si>
  <si>
    <t>FFFF</t>
  </si>
  <si>
    <t>0.1</t>
  </si>
  <si>
    <t>0.0FDF3B645A1CAC083126E978D4FDF3B645A1CAC083126E978D4FDF3B645A1CAC083126E978D4FDF3B645A1CAC083126E978D4FDF3B645A1CAC083126E978D4FDF3B645A1CAC083126E978D4FDF3B645A1CAC083126E978D4FDF3B645A1CAC083126E978D4FDF3B645A1CAC083126E978D4FDF3B645A1CAC083126E978D4FDF3</t>
  </si>
  <si>
    <t>FFFF.0FDF3B645A1CAC083126E978D4FDF3B645A1CAC083126E978D4FDF3B645A1CAC083126E978D4FDF3B645A1CAC083126E978D4FDF3B645A1CAC083126E978D4FDF3B645A1CAC083126E978D4FDF3B645A1CAC083126E978D4FDF3B645A1CAC083126E978D4FDF3B645A1CAC083126E978D4FDF3B645A1CAC083126E978D4FDF3</t>
  </si>
  <si>
    <r>
      <t>t</t>
    </r>
    <r>
      <rPr>
        <sz val="9"/>
        <color theme="1"/>
        <rFont val="ＭＳ ゴシック"/>
        <family val="2"/>
        <charset val="128"/>
      </rPr>
      <t>o dec</t>
    </r>
    <phoneticPr fontId="14"/>
  </si>
  <si>
    <t>0.3</t>
  </si>
  <si>
    <t>divideNPntNPnt</t>
  </si>
  <si>
    <t>0.0032</t>
    <phoneticPr fontId="14"/>
  </si>
  <si>
    <t>31218.75</t>
  </si>
  <si>
    <r>
      <t>conv</t>
    </r>
    <r>
      <rPr>
        <sz val="9"/>
        <color theme="1"/>
        <rFont val="ＭＳ ゴシック"/>
        <family val="2"/>
        <charset val="128"/>
      </rPr>
      <t>N</t>
    </r>
    <r>
      <rPr>
        <sz val="9"/>
        <color theme="1"/>
        <rFont val="ＭＳ ゴシック"/>
        <family val="2"/>
        <charset val="128"/>
      </rPr>
      <t>PntToDecPnt</t>
    </r>
    <phoneticPr fontId="14"/>
  </si>
  <si>
    <t>小数部</t>
    <rPh sb="0" eb="3">
      <t>ショウスウブ</t>
    </rPh>
    <phoneticPr fontId="14"/>
  </si>
  <si>
    <r>
      <t>f</t>
    </r>
    <r>
      <rPr>
        <sz val="9"/>
        <color theme="1"/>
        <rFont val="ＭＳ ゴシック"/>
        <family val="2"/>
        <charset val="128"/>
      </rPr>
      <t>rom bin</t>
    </r>
    <phoneticPr fontId="14"/>
  </si>
  <si>
    <r>
      <t>f</t>
    </r>
    <r>
      <rPr>
        <sz val="9"/>
        <color theme="1"/>
        <rFont val="ＭＳ ゴシック"/>
        <family val="2"/>
        <charset val="128"/>
      </rPr>
      <t>rom dec</t>
    </r>
    <phoneticPr fontId="14"/>
  </si>
  <si>
    <r>
      <t>f</t>
    </r>
    <r>
      <rPr>
        <sz val="9"/>
        <color theme="1"/>
        <rFont val="ＭＳ ゴシック"/>
        <family val="2"/>
        <charset val="128"/>
      </rPr>
      <t>rom hex</t>
    </r>
    <phoneticPr fontId="14"/>
  </si>
  <si>
    <t>精度2</t>
    <rPh sb="0" eb="2">
      <t>セイド</t>
    </rPh>
    <phoneticPr fontId="14"/>
  </si>
  <si>
    <t>精度3</t>
    <rPh sb="0" eb="2">
      <t>セイド</t>
    </rPh>
    <phoneticPr fontId="14"/>
  </si>
  <si>
    <t>精度 -</t>
    <rPh sb="0" eb="2">
      <t>セイド</t>
    </rPh>
    <phoneticPr fontId="14"/>
  </si>
  <si>
    <t>精度1</t>
    <rPh sb="0" eb="2">
      <t>セイド</t>
    </rPh>
    <phoneticPr fontId="14"/>
  </si>
  <si>
    <t>精度 0</t>
    <rPh sb="0" eb="2">
      <t>セイド</t>
    </rPh>
    <phoneticPr fontId="14"/>
  </si>
  <si>
    <t>変換精度(from 3)</t>
    <rPh sb="0" eb="2">
      <t>ヘンカン</t>
    </rPh>
    <rPh sb="2" eb="4">
      <t>セイド</t>
    </rPh>
    <phoneticPr fontId="14"/>
  </si>
  <si>
    <t>精度未指定</t>
    <rPh sb="0" eb="2">
      <t>セイド</t>
    </rPh>
    <rPh sb="2" eb="5">
      <t>ミシテイ</t>
    </rPh>
    <phoneticPr fontId="14"/>
  </si>
  <si>
    <t>1.1</t>
  </si>
  <si>
    <t>1.111</t>
  </si>
  <si>
    <t>1.111111111111111111111111111111111111111111111111111111111111111111111111111111111111111111111111111111111111111111111111111111111111111111111111111111111111111111111111111111111111111111111111111111111111111111111111111111111111111111111111111111111111111</t>
  </si>
  <si>
    <t>0.0266</t>
  </si>
  <si>
    <t>0.027666</t>
  </si>
  <si>
    <t>0.027777777777777777777777777777777777777777777777777777777777777777777777777777777777777777777777777777777777777777777777777777777777777777777777777777777777777777777777777777777777777777777777777777777777777777777777777777777777777777777777777777777777777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</si>
  <si>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r>
      <t>1</t>
    </r>
    <r>
      <rPr>
        <sz val="9"/>
        <color theme="1"/>
        <rFont val="ＭＳ ゴシック"/>
        <family val="2"/>
        <charset val="128"/>
      </rPr>
      <t>.0</t>
    </r>
    <phoneticPr fontId="14"/>
  </si>
  <si>
    <t>10.0</t>
    <phoneticPr fontId="14"/>
  </si>
  <si>
    <t>10.1</t>
    <phoneticPr fontId="14"/>
  </si>
  <si>
    <t>整数部&amp;小数部</t>
    <rPh sb="0" eb="3">
      <t>セイスウブ</t>
    </rPh>
    <rPh sb="4" eb="7">
      <t>ショウスウブ</t>
    </rPh>
    <phoneticPr fontId="14"/>
  </si>
  <si>
    <t>10</t>
    <phoneticPr fontId="14"/>
  </si>
  <si>
    <t>16</t>
  </si>
  <si>
    <t>0.0625</t>
  </si>
  <si>
    <t>16.0625</t>
  </si>
  <si>
    <t>2</t>
  </si>
  <si>
    <t>0.5</t>
  </si>
  <si>
    <t>2.5</t>
  </si>
  <si>
    <t>=shiftNumeralPnt(E2,F2,G2)</t>
  </si>
  <si>
    <t>=shiftNumeralPnt(E3,F3,G3)</t>
  </si>
  <si>
    <t>=shiftNumeralPnt(E4,F4)</t>
  </si>
  <si>
    <t>=shiftNumeralPnt(E5,F5)</t>
  </si>
  <si>
    <t>=shiftNumeralPnt(E6,F6,G6)</t>
  </si>
  <si>
    <t>=shiftNumeralPnt(E7,F7,G7)</t>
  </si>
  <si>
    <t>=shiftNumeralPnt(E8,F8,G8)</t>
  </si>
  <si>
    <t>=shiftNumeralPnt(E9,F9,G9)</t>
  </si>
  <si>
    <t>=shiftNumeralPnt(E10,F10,G10)</t>
  </si>
  <si>
    <t>=shiftNumeralPnt(E11,F11,G11)</t>
  </si>
  <si>
    <t>=shiftNumeralPnt(E12,F12,G12)</t>
  </si>
  <si>
    <t>=shiftNumeralPnt(E13,F13,G13)</t>
  </si>
  <si>
    <t>=shiftNumeralPnt(E14,F14,G14)</t>
  </si>
  <si>
    <t>=shiftNumeralPnt(E15,F15,G15)</t>
  </si>
  <si>
    <t>=shiftNumeralPnt(E16,F16,G16)</t>
  </si>
  <si>
    <t>=shiftNumeralPnt(E17,F17,G17)</t>
  </si>
  <si>
    <t>=shiftNumeralPnt(E18,F18,G18)</t>
  </si>
  <si>
    <t>=shiftNumeralPnt(E19,F19,G19)</t>
  </si>
  <si>
    <t>=shiftNumeralPnt(E20,F20,G20)</t>
  </si>
  <si>
    <t>=isNumeralPnt(E21,F21)</t>
  </si>
  <si>
    <t>=isNumeralPnt(E22,F22)</t>
  </si>
  <si>
    <t>=isNumeralPnt(E23)</t>
  </si>
  <si>
    <t>=isNumeralPnt(E24)</t>
  </si>
  <si>
    <t>=isNumeralPnt(E25,F25)</t>
  </si>
  <si>
    <t>=isNumeralPnt(E26,F26)</t>
  </si>
  <si>
    <t>=isNumeralPnt(E27,F27)</t>
  </si>
  <si>
    <t>=isNumeralPnt(E28,F28)</t>
  </si>
  <si>
    <t>=isNumeralPnt(E29,F29)</t>
  </si>
  <si>
    <t>=isNumeralPnt(E30,F30)</t>
  </si>
  <si>
    <t>=isNumeralPnt(E31,F31)</t>
  </si>
  <si>
    <t>=isNumeralPnt(E32,F32)</t>
  </si>
  <si>
    <t>=isNumeralPnt(E33,F33)</t>
  </si>
  <si>
    <t>=isNumeralPnt(E34,F34)</t>
  </si>
  <si>
    <t>=isNumeralPnt(E35,F35)</t>
  </si>
  <si>
    <t>=isNumeralPnt(E36,F36)</t>
  </si>
  <si>
    <t>=convDecPntToNPnt(E37,F37)</t>
  </si>
  <si>
    <t>=convDecPntToNPnt(E38,F38)</t>
  </si>
  <si>
    <t>=convDecPntToNPnt(E39,F39,G39)</t>
  </si>
  <si>
    <t>=convDecPntToNPnt(E40,F40,G40)</t>
  </si>
  <si>
    <t>=convDecPntToNPnt(E41,F41)</t>
  </si>
  <si>
    <t>=convDecPntToNPnt(E42,F42)</t>
  </si>
  <si>
    <t>=convDecPntToNPnt(E43,F43)</t>
  </si>
  <si>
    <t>=convDecPntToNPnt(E44,F44)</t>
  </si>
  <si>
    <t>=convDecPntToNPnt(E45,F45)</t>
  </si>
  <si>
    <t>=convDecPntToNPnt(E46,F46)</t>
  </si>
  <si>
    <t>=convDecPntToNPnt(E47,F47)</t>
  </si>
  <si>
    <t>=convDecPntToNPnt(E48,F48)</t>
  </si>
  <si>
    <t>=convDecPntToNPnt(E49,F49)</t>
  </si>
  <si>
    <t>=convDecPntToNPnt(E50,F50)</t>
  </si>
  <si>
    <t>=convDecPntToNPnt(E51,F51)</t>
  </si>
  <si>
    <t>=convNPntToDecPnt(E52,F52)</t>
  </si>
  <si>
    <t>=convNPntToDecPnt(E53,F53)</t>
  </si>
  <si>
    <t>=convNPntToDecPnt(E54,F54,G54)</t>
  </si>
  <si>
    <t>=convNPntToDecPnt(E55,F55,G55)</t>
  </si>
  <si>
    <t>=convNPntToDecPnt(E56,F56,G56)</t>
  </si>
  <si>
    <t>=convNPntToDecPnt(E57,F57,G57)</t>
  </si>
  <si>
    <t>=convNPntToDecPnt(E58,F58)</t>
  </si>
  <si>
    <t>=convNPntToDecPnt(E59,F59,G59)</t>
  </si>
  <si>
    <t>=convNPntToDecPnt(E60,F60,G60)</t>
  </si>
  <si>
    <t>=convNPntToDecPnt(E61,F61)</t>
  </si>
  <si>
    <t>=convNPntToDecPnt(E62,F62)</t>
  </si>
  <si>
    <t>=convNPntToDecPnt(E63,F63)</t>
  </si>
  <si>
    <t>=convNPntToDecPnt(E64,F64)</t>
  </si>
  <si>
    <t>=convNPntToDecPnt(E65,F65)</t>
  </si>
  <si>
    <t>=convNPntToDecPnt(E66,F66)</t>
  </si>
  <si>
    <t>=convNPntToDecPnt(E67,F67)</t>
  </si>
  <si>
    <t>=convNPntToDecPnt(E68,F68)</t>
  </si>
  <si>
    <t>=convNPntToDecPnt(E69,F69)</t>
  </si>
  <si>
    <t>=convNPntToDecPnt(E70,F70)</t>
  </si>
  <si>
    <t>=addNPntNPnt(E71,F71,G71)</t>
  </si>
  <si>
    <t>=addNPntNPnt(E72,F72,G72)</t>
  </si>
  <si>
    <t>=addNPntNPnt(E73,F73)</t>
  </si>
  <si>
    <t>=addNPntNPnt(E74,F74)</t>
  </si>
  <si>
    <t>=addNPntNPnt(E75,F75,G75)</t>
  </si>
  <si>
    <t>=addNPntNPnt(E76,F76,G76)</t>
  </si>
  <si>
    <t>=addNPntNPnt(E77,F77,G77)</t>
  </si>
  <si>
    <t>=addNPntNPnt(E78,F78,G78)</t>
  </si>
  <si>
    <t>=addNPntNPnt(E79,F79,G79)</t>
  </si>
  <si>
    <t>=addNPntNPnt(E80,F80,G80)</t>
  </si>
  <si>
    <t>=addNPntNPnt(E81,F81,G81)</t>
  </si>
  <si>
    <t>=addNPntNPnt(E82,F82,G82)</t>
  </si>
  <si>
    <t>=addNPntNPnt(E83,F83,G83)</t>
  </si>
  <si>
    <t>=addNPntNPnt(E84,F84,G84)</t>
  </si>
  <si>
    <t>=addNPntNPnt(E85,F85,G85)</t>
  </si>
  <si>
    <t>=addNPntNPnt(E86,F86,G86)</t>
  </si>
  <si>
    <t>=addNPntNPnt(E87,F87,G87)</t>
  </si>
  <si>
    <t>=addNPntNPnt(E88,F88,G88)</t>
  </si>
  <si>
    <t>=addNPntNPnt(E89,F89,G89)</t>
  </si>
  <si>
    <t>=addNPntNPnt(E90,F90,G90)</t>
  </si>
  <si>
    <t>=addNPntNPnt(E91,F91,G91)</t>
  </si>
  <si>
    <t>=addNPntNPnt(E92,F92,G92)</t>
  </si>
  <si>
    <t>=addNPntNPnt(E93,F93,G93)</t>
  </si>
  <si>
    <t>=addNPntNPnt(E94,F94,G94)</t>
  </si>
  <si>
    <t>=addNPntNPnt(E95,F95,G95)</t>
  </si>
  <si>
    <t>=multipleNPntNPnt(E96,F96,G96)</t>
  </si>
  <si>
    <t>=multipleNPntNPnt(E97,F97,G97)</t>
  </si>
  <si>
    <t>=multipleNPntNPnt(E98,F98)</t>
  </si>
  <si>
    <t>=multipleNPntNPnt(E99,F99)</t>
  </si>
  <si>
    <t>=multipleNPntNPnt(E100,F100,G100)</t>
  </si>
  <si>
    <t>=multipleNPntNPnt(E101,F101,G101)</t>
  </si>
  <si>
    <t>=multipleNPntNPnt(E102,F102,G102)</t>
  </si>
  <si>
    <t>=multipleNPntNPnt(E103,F103,G103)</t>
  </si>
  <si>
    <t>=multipleNPntNPnt(E104,F104,G104)</t>
  </si>
  <si>
    <t>=multipleNPntNPnt(E105,F105,G105)</t>
  </si>
  <si>
    <t>=multipleNPntNPnt(E106,F106,G106)</t>
  </si>
  <si>
    <t>=multipleNPntNPnt(E107,F107,G107)</t>
  </si>
  <si>
    <t>=multipleNPntNPnt(E108,F108,G108)</t>
  </si>
  <si>
    <t>=multipleNPntNPnt(E109,F109,G109)</t>
  </si>
  <si>
    <t>=multipleNPntNPnt(E110,F110,G110)</t>
  </si>
  <si>
    <t>=multipleNPntNPnt(E111,F111,G111)</t>
  </si>
  <si>
    <t>=multipleNPntNPnt(E112,F112,G112)</t>
  </si>
  <si>
    <t>=multipleNPntNPnt(E113,F113,G113)</t>
  </si>
  <si>
    <t>=multipleNPntNPnt(E114,F114,G114)</t>
  </si>
  <si>
    <t>=multipleNPntNPnt(E115,F115,G115)</t>
  </si>
  <si>
    <t>=multipleNPntNPnt(E116,F116,G116)</t>
  </si>
  <si>
    <t>=multipleNPntNPnt(E117,F117,G117)</t>
  </si>
  <si>
    <t>=multipleNPntNPnt(E118,F118,G118)</t>
  </si>
  <si>
    <t>=multipleNPntNPnt(E119,F119,G119)</t>
  </si>
  <si>
    <t>=multipleNPntNPnt(E120,F120,G120)</t>
  </si>
  <si>
    <t>=multipleNPntNPnt(E121,F121,G121)</t>
  </si>
  <si>
    <t>=multipleNPntNPnt(E122,F122,G122)</t>
  </si>
  <si>
    <t>=multipleNPntNPnt(E123,F123,G123)</t>
  </si>
  <si>
    <t>=divideNPntNPnt(E124,F124,G124)</t>
  </si>
  <si>
    <t>=divideNPntNPnt(E125,F125,G125)</t>
  </si>
  <si>
    <t>=divideNPntNPnt(E126,F126)</t>
  </si>
  <si>
    <t>=divideNPntNPnt(E127,F127)</t>
  </si>
  <si>
    <t>=divideNPntNPnt(E128,F128,G128,H128)</t>
  </si>
  <si>
    <t>=divideNPntNPnt(E129,F129,G129,H129)</t>
  </si>
  <si>
    <t>=divideNPntNPnt(E130,F130)</t>
  </si>
  <si>
    <t>=divideNPntNPnt(E131,F131,G131)</t>
  </si>
  <si>
    <t>=divideNPntNPnt(E132,F132,G132)</t>
  </si>
  <si>
    <t>=divideNPntNPnt(E133,F133,G133)</t>
  </si>
  <si>
    <t>=divideNPntNPnt(E134,F134,G134)</t>
  </si>
  <si>
    <t>=divideNPntNPnt(E135,F135,G135)</t>
  </si>
  <si>
    <t>=divideNPntNPnt(E136,F136,G136)</t>
  </si>
  <si>
    <t>=divideNPntNPnt(E137,F137,G137)</t>
  </si>
  <si>
    <t>=divideNPntNPnt(E138,F138,G138)</t>
  </si>
  <si>
    <t>=divideNPntNPnt(E139,F139,G139)</t>
  </si>
  <si>
    <t>=divideNPntNPnt(E140,F140,G140)</t>
  </si>
  <si>
    <t>=divideNPntNPnt(E141,F141,G141)</t>
  </si>
  <si>
    <t>=divideNPntNPnt(E142,F142,G142)</t>
  </si>
  <si>
    <t>=divideNPntNPnt(E144,F144,G144)</t>
  </si>
  <si>
    <t>=divideNPntNPnt(E145,F145,G145)</t>
  </si>
  <si>
    <t>=divideNPntNPnt(E146,F146,G146)</t>
  </si>
  <si>
    <t>=divideNPntNPnt(E147,F147,G147)</t>
  </si>
  <si>
    <t>=divideNPntNPnt(E148,F148,G148)</t>
  </si>
  <si>
    <t>=divideNPntNPnt(E149,F149,G149)</t>
  </si>
  <si>
    <t>=divideNPntNPnt(E150,F150,G150)</t>
  </si>
  <si>
    <t>=divideNPntNPnt(E151,F151,G151)</t>
  </si>
  <si>
    <t>=divideNPntNPnt(E152,F152,G152)</t>
  </si>
  <si>
    <t>=divideNPntNPnt(E143,F143,G143)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</si>
</sst>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0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13" fillId="0" borderId="0" xfId="0" applyFont="1">
      <alignment vertical="center"/>
    </xf>
    <xf numFmtId="0" fontId="15" fillId="0" borderId="0" xfId="0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5" fillId="0" borderId="3" xfId="0" applyFont="1" applyBorder="1">
      <alignment vertical="center"/>
    </xf>
    <xf numFmtId="0" fontId="15" fillId="0" borderId="4" xfId="0" applyFont="1" applyBorder="1">
      <alignment vertical="center"/>
    </xf>
    <xf numFmtId="0" fontId="15" fillId="0" borderId="0" xfId="0" applyFont="1" applyBorder="1" applyAlignment="1">
      <alignment horizontal="right" vertical="center"/>
    </xf>
    <xf numFmtId="0" fontId="15" fillId="0" borderId="5" xfId="0" applyFont="1" applyBorder="1" applyAlignment="1">
      <alignment horizontal="right" vertical="center"/>
    </xf>
    <xf numFmtId="0" fontId="15" fillId="0" borderId="0" xfId="0" applyFont="1" applyBorder="1">
      <alignment vertical="center"/>
    </xf>
    <xf numFmtId="0" fontId="15" fillId="0" borderId="4" xfId="0" applyFont="1" applyBorder="1" applyAlignment="1">
      <alignment horizontal="right" vertical="center"/>
    </xf>
    <xf numFmtId="0" fontId="15" fillId="0" borderId="5" xfId="0" applyFont="1" applyBorder="1">
      <alignment vertical="center"/>
    </xf>
    <xf numFmtId="0" fontId="16" fillId="0" borderId="6" xfId="0" applyFont="1" applyBorder="1" applyAlignment="1">
      <alignment horizontal="center" vertical="center"/>
    </xf>
    <xf numFmtId="0" fontId="15" fillId="0" borderId="8" xfId="0" applyFont="1" applyBorder="1">
      <alignment vertical="center"/>
    </xf>
    <xf numFmtId="0" fontId="15" fillId="0" borderId="6" xfId="0" applyFont="1" applyBorder="1">
      <alignment vertical="center"/>
    </xf>
    <xf numFmtId="0" fontId="15" fillId="0" borderId="7" xfId="0" applyFont="1" applyBorder="1" applyAlignment="1">
      <alignment horizontal="right" vertical="center"/>
    </xf>
    <xf numFmtId="0" fontId="15" fillId="0" borderId="8" xfId="0" applyFont="1" applyBorder="1" applyAlignment="1">
      <alignment horizontal="right" vertical="center"/>
    </xf>
    <xf numFmtId="0" fontId="15" fillId="0" borderId="7" xfId="0" applyFont="1" applyBorder="1">
      <alignment vertical="center"/>
    </xf>
    <xf numFmtId="0" fontId="15" fillId="0" borderId="6" xfId="0" applyFont="1" applyBorder="1" applyAlignment="1">
      <alignment horizontal="right" vertical="center"/>
    </xf>
    <xf numFmtId="49" fontId="13" fillId="0" borderId="0" xfId="0" applyNumberFormat="1" applyFont="1">
      <alignment vertical="center"/>
    </xf>
    <xf numFmtId="0" fontId="13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49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right" vertical="center"/>
    </xf>
    <xf numFmtId="49" fontId="13" fillId="0" borderId="0" xfId="0" applyNumberFormat="1" applyFont="1" applyAlignment="1">
      <alignment horizontal="right" vertical="center"/>
    </xf>
    <xf numFmtId="0" fontId="11" fillId="0" borderId="0" xfId="0" applyFont="1">
      <alignment vertical="center"/>
    </xf>
    <xf numFmtId="49" fontId="11" fillId="0" borderId="0" xfId="0" applyNumberFormat="1" applyFont="1">
      <alignment vertical="center"/>
    </xf>
    <xf numFmtId="49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right" vertical="center"/>
    </xf>
    <xf numFmtId="49" fontId="8" fillId="0" borderId="0" xfId="0" applyNumberFormat="1" applyFont="1">
      <alignment vertical="center"/>
    </xf>
    <xf numFmtId="49" fontId="8" fillId="0" borderId="0" xfId="0" applyNumberFormat="1" applyFont="1" applyAlignment="1">
      <alignment horizontal="right" vertical="center"/>
    </xf>
    <xf numFmtId="0" fontId="13" fillId="0" borderId="0" xfId="0" applyFont="1" applyFill="1">
      <alignment vertical="center"/>
    </xf>
    <xf numFmtId="49" fontId="7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2"/>
  <sheetViews>
    <sheetView tabSelected="1" zoomScaleNormal="100"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R7" sqref="R7"/>
    </sheetView>
  </sheetViews>
  <sheetFormatPr defaultRowHeight="11.25" x14ac:dyDescent="0.15"/>
  <cols>
    <col min="1" max="1" width="21.28515625" style="3" bestFit="1" customWidth="1"/>
    <col min="2" max="2" width="13" style="4" bestFit="1" customWidth="1"/>
    <col min="3" max="3" width="18.7109375" style="4" bestFit="1" customWidth="1"/>
    <col min="4" max="4" width="5.140625" style="2" bestFit="1" customWidth="1"/>
    <col min="5" max="5" width="13" style="2" bestFit="1" customWidth="1"/>
    <col min="6" max="6" width="59.140625" style="2" bestFit="1" customWidth="1"/>
    <col min="7" max="8" width="62.5703125" style="2" bestFit="1" customWidth="1"/>
    <col min="9" max="9" width="16.140625" style="4" bestFit="1" customWidth="1"/>
    <col min="10" max="10" width="5.140625" style="4" bestFit="1" customWidth="1"/>
    <col min="11" max="11" width="9.7109375" style="4" bestFit="1" customWidth="1"/>
    <col min="12" max="12" width="26.5703125" style="4" bestFit="1" customWidth="1"/>
    <col min="13" max="14" width="35.5703125" style="4" bestFit="1" customWidth="1"/>
    <col min="15" max="15" width="16.140625" style="2" bestFit="1" customWidth="1"/>
    <col min="16" max="16" width="5.140625" style="2" bestFit="1" customWidth="1"/>
    <col min="17" max="17" width="35.5703125" style="2" bestFit="1" customWidth="1"/>
    <col min="18" max="18" width="10.42578125" style="2" bestFit="1" customWidth="1"/>
    <col min="19" max="16384" width="9.140625" style="4"/>
  </cols>
  <sheetData>
    <row r="1" spans="1:18" x14ac:dyDescent="0.15">
      <c r="A1" s="3" t="str">
        <f>IF(COUNTIF(C27:R36,FALSE)&gt;0,"NG","OK")</f>
        <v>OK</v>
      </c>
      <c r="C1" s="52" t="s">
        <v>11</v>
      </c>
      <c r="D1" s="53"/>
      <c r="E1" s="53"/>
      <c r="F1" s="53"/>
      <c r="G1" s="53"/>
      <c r="H1" s="54"/>
      <c r="I1" s="52" t="s">
        <v>12</v>
      </c>
      <c r="J1" s="53"/>
      <c r="K1" s="53"/>
      <c r="L1" s="53"/>
      <c r="M1" s="53"/>
      <c r="N1" s="54"/>
      <c r="O1" s="52" t="s">
        <v>14</v>
      </c>
      <c r="P1" s="53"/>
      <c r="Q1" s="53"/>
      <c r="R1" s="54"/>
    </row>
    <row r="2" spans="1:18" s="5" customFormat="1" x14ac:dyDescent="0.15">
      <c r="A2" s="3"/>
      <c r="C2" s="6" t="s">
        <v>13</v>
      </c>
      <c r="D2" s="7" t="s">
        <v>0</v>
      </c>
      <c r="E2" s="7" t="s">
        <v>1</v>
      </c>
      <c r="F2" s="7" t="s">
        <v>2</v>
      </c>
      <c r="G2" s="7" t="s">
        <v>4</v>
      </c>
      <c r="H2" s="8" t="s">
        <v>3</v>
      </c>
      <c r="I2" s="6" t="s">
        <v>13</v>
      </c>
      <c r="J2" s="7" t="s">
        <v>0</v>
      </c>
      <c r="K2" s="7" t="s">
        <v>1</v>
      </c>
      <c r="L2" s="7" t="s">
        <v>2</v>
      </c>
      <c r="M2" s="7" t="s">
        <v>4</v>
      </c>
      <c r="N2" s="8" t="s">
        <v>3</v>
      </c>
      <c r="O2" s="6" t="s">
        <v>13</v>
      </c>
      <c r="P2" s="7" t="s">
        <v>0</v>
      </c>
      <c r="Q2" s="7" t="s">
        <v>15</v>
      </c>
      <c r="R2" s="8" t="s">
        <v>3</v>
      </c>
    </row>
    <row r="3" spans="1:18" x14ac:dyDescent="0.15">
      <c r="A3" s="9" t="s">
        <v>5</v>
      </c>
      <c r="B3" s="10">
        <v>53</v>
      </c>
      <c r="C3" s="11" t="str">
        <f>convDecPntStrToCDoubleAndGetInternalHex(B3)</f>
        <v>404A800000000000</v>
      </c>
      <c r="D3" s="12" t="str">
        <f>LEFT(convHexIntToBinInt(C3),1)</f>
        <v>0</v>
      </c>
      <c r="E3" s="12" t="str">
        <f>MID(convHexIntToBinInt(C3),2,11)</f>
        <v>10000000100</v>
      </c>
      <c r="F3" s="12" t="str">
        <f>RIGHT(convHexIntToBinInt(C3),52)</f>
        <v>1010100000000000000000000000000000000000000000000000</v>
      </c>
      <c r="G3" s="12" t="str">
        <f>shiftNumeralPnt("1."&amp;F3,convNPntToDecPnt(E3,2)-1023)</f>
        <v>110101</v>
      </c>
      <c r="H3" s="13" t="str">
        <f>convNPntToDecPnt(G3,2)</f>
        <v>53</v>
      </c>
      <c r="I3" s="11" t="str">
        <f>convDecPntStrToCFloatAndGetInternalHex(B3)</f>
        <v>42540000</v>
      </c>
      <c r="J3" s="14" t="str">
        <f>LEFT(convHexIntToBinInt(I3),1)</f>
        <v>0</v>
      </c>
      <c r="K3" s="14" t="str">
        <f>MID(convHexIntToBinInt(I3),2,8)</f>
        <v>10000100</v>
      </c>
      <c r="L3" s="14" t="str">
        <f>RIGHT(convHexIntToBinInt(I3),23)</f>
        <v>10101000000000000000000</v>
      </c>
      <c r="M3" s="12" t="str">
        <f>IF(J3="1","-","")&amp;shiftNumeralPnt("1."&amp;L3,convNPntToDecPnt(K3,2)-127)</f>
        <v>110101</v>
      </c>
      <c r="N3" s="13" t="str">
        <f>convNPntToDecPnt(M3,2)</f>
        <v>53</v>
      </c>
      <c r="O3" s="15" t="str">
        <f>convDecIntStrToCLongAndGetInternalHex(B3)</f>
        <v>00000035</v>
      </c>
      <c r="P3" s="12" t="str">
        <f>LEFT(convHexIntToBinInt(O3),1)</f>
        <v>0</v>
      </c>
      <c r="Q3" s="12" t="str">
        <f>RIGHT(convHexIntToBinInt(O3),31)</f>
        <v>0000000000000000000000000110101</v>
      </c>
      <c r="R3" s="13" t="str">
        <f>IF(P3="0",convNPntToDecPnt(Q3,2),"-"&amp;addDecPntDecPnt(convNPntToDecPnt(SUBSTITUTE(SUBSTITUTE(SUBSTITUTE(Q3,"1","x"),"0","1"),"x","0"), 2),"1"))</f>
        <v>53</v>
      </c>
    </row>
    <row r="4" spans="1:18" x14ac:dyDescent="0.15">
      <c r="A4" s="6" t="s">
        <v>6</v>
      </c>
      <c r="B4" s="16">
        <v>100</v>
      </c>
      <c r="C4" s="11" t="str">
        <f>convDecPntStrToCDoubleAndGetInternalHex(B4)</f>
        <v>4059000000000000</v>
      </c>
      <c r="D4" s="12" t="str">
        <f>LEFT(convHexIntToBinInt(C4),1)</f>
        <v>0</v>
      </c>
      <c r="E4" s="12" t="str">
        <f>MID(convHexIntToBinInt(C4),2,11)</f>
        <v>10000000101</v>
      </c>
      <c r="F4" s="12" t="str">
        <f>RIGHT(convHexIntToBinInt(C4),52)</f>
        <v>1001000000000000000000000000000000000000000000000000</v>
      </c>
      <c r="G4" s="12" t="str">
        <f>shiftNumeralPnt("1."&amp;F4,convNPntToDecPnt(E4,2)-1023)</f>
        <v>1100100</v>
      </c>
      <c r="H4" s="13" t="str">
        <f>convNPntToDecPnt(G4,2)</f>
        <v>100</v>
      </c>
      <c r="I4" s="11" t="str">
        <f>convDecPntStrToCFloatAndGetInternalHex(B4)</f>
        <v>42C80000</v>
      </c>
      <c r="J4" s="14" t="str">
        <f>LEFT(convHexIntToBinInt(I4),1)</f>
        <v>0</v>
      </c>
      <c r="K4" s="14" t="str">
        <f>MID(convHexIntToBinInt(I4),2,8)</f>
        <v>10000101</v>
      </c>
      <c r="L4" s="14" t="str">
        <f>RIGHT(convHexIntToBinInt(I4),23)</f>
        <v>10010000000000000000000</v>
      </c>
      <c r="M4" s="12" t="str">
        <f>IF(J4="1","-","")&amp;shiftNumeralPnt("1."&amp;L4,convNPntToDecPnt(K4,2)-127)</f>
        <v>1100100</v>
      </c>
      <c r="N4" s="13" t="str">
        <f>convNPntToDecPnt(M4,2)</f>
        <v>100</v>
      </c>
      <c r="O4" s="15" t="str">
        <f>convDecIntStrToCLongAndGetInternalHex(B4)</f>
        <v>00000064</v>
      </c>
      <c r="P4" s="12" t="str">
        <f>LEFT(convHexIntToBinInt(O4),1)</f>
        <v>0</v>
      </c>
      <c r="Q4" s="12" t="str">
        <f>RIGHT(convHexIntToBinInt(O4),31)</f>
        <v>0000000000000000000000001100100</v>
      </c>
      <c r="R4" s="13" t="str">
        <f>IF(P4="0",convNPntToDecPnt(Q4,2),"-"&amp;addDecPntDecPnt(convNPntToDecPnt(SUBSTITUTE(SUBSTITUTE(SUBSTITUTE(Q4,"1","x"),"0","1"),"x","0"), 2),"1"))</f>
        <v>100</v>
      </c>
    </row>
    <row r="5" spans="1:18" x14ac:dyDescent="0.15">
      <c r="A5" s="6"/>
      <c r="B5" s="16"/>
      <c r="C5" s="11"/>
      <c r="D5" s="12"/>
      <c r="E5" s="12"/>
      <c r="F5" s="12"/>
      <c r="G5" s="12"/>
      <c r="H5" s="13"/>
      <c r="I5" s="11"/>
      <c r="J5" s="14"/>
      <c r="K5" s="14"/>
      <c r="L5" s="14"/>
      <c r="M5" s="14"/>
      <c r="N5" s="16"/>
      <c r="O5" s="15"/>
      <c r="P5" s="12"/>
      <c r="Q5" s="12"/>
      <c r="R5" s="13"/>
    </row>
    <row r="6" spans="1:18" x14ac:dyDescent="0.15">
      <c r="A6" s="6" t="s">
        <v>7</v>
      </c>
      <c r="B6" s="16">
        <f>B3+B4</f>
        <v>153</v>
      </c>
      <c r="C6" s="11" t="str">
        <f>addtionDoubleByInternalHex(C3,C4)</f>
        <v>4063200000000000</v>
      </c>
      <c r="D6" s="12" t="str">
        <f>LEFT(convHexIntToBinInt(C6),1)</f>
        <v>0</v>
      </c>
      <c r="E6" s="12" t="str">
        <f>MID(convHexIntToBinInt(C6),2,11)</f>
        <v>10000000110</v>
      </c>
      <c r="F6" s="12" t="str">
        <f>RIGHT(convHexIntToBinInt(C6),52)</f>
        <v>0011001000000000000000000000000000000000000000000000</v>
      </c>
      <c r="G6" s="12" t="str">
        <f>IF(D6="1","-","")&amp;shiftNumeralPnt("1."&amp;F6,convNPntToDecPnt(E6,2)-1023)</f>
        <v>10011001</v>
      </c>
      <c r="H6" s="13" t="str">
        <f>convNPntToDecPnt(G6,2)</f>
        <v>153</v>
      </c>
      <c r="I6" s="11" t="str">
        <f>addtionFloatByInternalHex(I3,I4)</f>
        <v>43190000</v>
      </c>
      <c r="J6" s="14" t="str">
        <f>LEFT(convHexIntToBinInt(I6),1)</f>
        <v>0</v>
      </c>
      <c r="K6" s="14" t="str">
        <f>MID(convHexIntToBinInt(I6),2,8)</f>
        <v>10000110</v>
      </c>
      <c r="L6" s="14" t="str">
        <f>RIGHT(convHexIntToBinInt(I6),23)</f>
        <v>00110010000000000000000</v>
      </c>
      <c r="M6" s="12" t="str">
        <f>IF(J6="1","-","")&amp;shiftNumeralPnt("1."&amp;L6,convNPntToDecPnt(K6,2)-127)</f>
        <v>10011001</v>
      </c>
      <c r="N6" s="13" t="str">
        <f>convNPntToDecPnt(M6,2)</f>
        <v>153</v>
      </c>
      <c r="O6" s="15" t="str">
        <f>addtionLongByInternalHex(O3,O4)</f>
        <v>00000099</v>
      </c>
      <c r="P6" s="12" t="str">
        <f t="shared" ref="P6:P9" si="0">LEFT(convHexIntToBinInt(O6),1)</f>
        <v>0</v>
      </c>
      <c r="Q6" s="12" t="str">
        <f t="shared" ref="Q6:Q9" si="1">RIGHT(convHexIntToBinInt(O6),31)</f>
        <v>0000000000000000000000010011001</v>
      </c>
      <c r="R6" s="13" t="str">
        <f>IF(P6="0",convNPntToDecPnt(Q6,2),"-"&amp;addDecPntDecPnt(convNPntToDecPnt(SUBSTITUTE(SUBSTITUTE(SUBSTITUTE(Q6,"1","x"),"0","1"),"x","0"), 2),"1"))</f>
        <v>153</v>
      </c>
    </row>
    <row r="7" spans="1:18" x14ac:dyDescent="0.15">
      <c r="A7" s="6" t="s">
        <v>8</v>
      </c>
      <c r="B7" s="16">
        <f>B3-B4</f>
        <v>-47</v>
      </c>
      <c r="C7" s="11" t="str">
        <f>substractionDoubleByInternalHex(C3,C4)</f>
        <v>C047800000000000</v>
      </c>
      <c r="D7" s="12" t="str">
        <f>LEFT(convHexIntToBinInt(C7),1)</f>
        <v>1</v>
      </c>
      <c r="E7" s="12" t="str">
        <f>MID(convHexIntToBinInt(C7),2,11)</f>
        <v>10000000100</v>
      </c>
      <c r="F7" s="12" t="str">
        <f>RIGHT(convHexIntToBinInt(C7),52)</f>
        <v>0111100000000000000000000000000000000000000000000000</v>
      </c>
      <c r="G7" s="12" t="str">
        <f>IF(D7="1","-","")&amp;shiftNumeralPnt("1."&amp;F7,convNPntToDecPnt(E7,2)-1023)</f>
        <v>-101111</v>
      </c>
      <c r="H7" s="13" t="str">
        <f>convNPntToDecPnt(G7,2)</f>
        <v>-47</v>
      </c>
      <c r="I7" s="11" t="str">
        <f>substractionFloatByInternalHex(I3,I4)</f>
        <v>C23C0000</v>
      </c>
      <c r="J7" s="14" t="str">
        <f>LEFT(convHexIntToBinInt(I7),1)</f>
        <v>1</v>
      </c>
      <c r="K7" s="14" t="str">
        <f>MID(convHexIntToBinInt(I7),2,8)</f>
        <v>10000100</v>
      </c>
      <c r="L7" s="14" t="str">
        <f>RIGHT(convHexIntToBinInt(I7),23)</f>
        <v>01111000000000000000000</v>
      </c>
      <c r="M7" s="12" t="str">
        <f>IF(J7="1","-","")&amp;shiftNumeralPnt("1."&amp;L7,convNPntToDecPnt(K7,2)-127)</f>
        <v>-101111</v>
      </c>
      <c r="N7" s="13" t="str">
        <f>convNPntToDecPnt(M7,2)</f>
        <v>-47</v>
      </c>
      <c r="O7" s="15" t="str">
        <f>substractionLongByInternalHex(O3,O4)</f>
        <v>FFFFFFD1</v>
      </c>
      <c r="P7" s="12" t="str">
        <f t="shared" si="0"/>
        <v>1</v>
      </c>
      <c r="Q7" s="12" t="str">
        <f t="shared" si="1"/>
        <v>1111111111111111111111111010001</v>
      </c>
      <c r="R7" s="13" t="e">
        <f ca="1">IF(P7="0",convNPntToDecPnt(Q7,2),"-"&amp;addDecPntDecPnt(convNPntToDecPnt(SUBSTITUTE(SUBSTITUTE(SUBSTITUTE(Q7,"1","x"),"0","1"),"x","0"), 2),"1"))</f>
        <v>#NAME?</v>
      </c>
    </row>
    <row r="8" spans="1:18" x14ac:dyDescent="0.15">
      <c r="A8" s="6" t="s">
        <v>9</v>
      </c>
      <c r="B8" s="16">
        <f>B3*B4</f>
        <v>5300</v>
      </c>
      <c r="C8" s="11" t="str">
        <f>multiplicationDoubleByInternalHex(C3,C4)</f>
        <v>40B4B40000000000</v>
      </c>
      <c r="D8" s="12" t="str">
        <f>LEFT(convHexIntToBinInt(C8),1)</f>
        <v>0</v>
      </c>
      <c r="E8" s="12" t="str">
        <f>MID(convHexIntToBinInt(C8),2,11)</f>
        <v>10000001011</v>
      </c>
      <c r="F8" s="12" t="str">
        <f>RIGHT(convHexIntToBinInt(C8),52)</f>
        <v>0100101101000000000000000000000000000000000000000000</v>
      </c>
      <c r="G8" s="12" t="str">
        <f>IF(D8="1","-","")&amp;shiftNumeralPnt("1."&amp;F8,convNPntToDecPnt(E8,2)-1023)</f>
        <v>1010010110100</v>
      </c>
      <c r="H8" s="13" t="str">
        <f>convNPntToDecPnt(G8,2)</f>
        <v>5300</v>
      </c>
      <c r="I8" s="11" t="str">
        <f>multiplicationFloatByInternalHex(I3,I4)</f>
        <v>45A5A000</v>
      </c>
      <c r="J8" s="14" t="str">
        <f>LEFT(convHexIntToBinInt(I8),1)</f>
        <v>0</v>
      </c>
      <c r="K8" s="14" t="str">
        <f>MID(convHexIntToBinInt(I8),2,8)</f>
        <v>10001011</v>
      </c>
      <c r="L8" s="14" t="str">
        <f>RIGHT(convHexIntToBinInt(I8),23)</f>
        <v>01001011010000000000000</v>
      </c>
      <c r="M8" s="12" t="str">
        <f>IF(J8="1","-","")&amp;shiftNumeralPnt("1."&amp;L8,convNPntToDecPnt(K8,2)-127)</f>
        <v>1010010110100</v>
      </c>
      <c r="N8" s="13" t="str">
        <f>convNPntToDecPnt(M8,2)</f>
        <v>5300</v>
      </c>
      <c r="O8" s="15" t="str">
        <f>multiplicationLongByInternalHex(O3,O4)</f>
        <v>000014B4</v>
      </c>
      <c r="P8" s="12" t="str">
        <f t="shared" si="0"/>
        <v>0</v>
      </c>
      <c r="Q8" s="12" t="str">
        <f t="shared" si="1"/>
        <v>0000000000000000001010010110100</v>
      </c>
      <c r="R8" s="13" t="str">
        <f>IF(P8="0",convNPntToDecPnt(Q8,2),"-"&amp;addDecPntDecPnt(convNPntToDecPnt(SUBSTITUTE(SUBSTITUTE(SUBSTITUTE(Q8,"1","x"),"0","1"),"x","0"), 2),"1"))</f>
        <v>5300</v>
      </c>
    </row>
    <row r="9" spans="1:18" x14ac:dyDescent="0.15">
      <c r="A9" s="17" t="s">
        <v>10</v>
      </c>
      <c r="B9" s="18">
        <f>B3/B4</f>
        <v>0.53</v>
      </c>
      <c r="C9" s="19" t="str">
        <f>divisionDoubleByInternalHex(C3,C4)</f>
        <v>3FE0F5C28F5C28F6</v>
      </c>
      <c r="D9" s="20" t="str">
        <f>LEFT(convHexIntToBinInt(C9),1)</f>
        <v>0</v>
      </c>
      <c r="E9" s="20" t="str">
        <f>MID(convHexIntToBinInt(C9),2,11)</f>
        <v>01111111110</v>
      </c>
      <c r="F9" s="20" t="str">
        <f>RIGHT(convHexIntToBinInt(C9),52)</f>
        <v>0000111101011100001010001111010111000010100011110110</v>
      </c>
      <c r="G9" s="20" t="str">
        <f>IF(D9="1","-","")&amp;shiftNumeralPnt("1."&amp;F9,convNPntToDecPnt(E9,2)-1023)</f>
        <v>0.1000011110101110000101000111101011100001010001111011</v>
      </c>
      <c r="H9" s="21" t="str">
        <f>convNPntToDecPnt(G9,2)</f>
        <v>0.5300000000000000266453525910037569701671600341796875</v>
      </c>
      <c r="I9" s="19" t="str">
        <f>divisionFloatByInternalHex(I3,I4)</f>
        <v>3F07AE14</v>
      </c>
      <c r="J9" s="22" t="str">
        <f>LEFT(convHexIntToBinInt(I9),1)</f>
        <v>0</v>
      </c>
      <c r="K9" s="22" t="str">
        <f>MID(convHexIntToBinInt(I9),2,8)</f>
        <v>01111110</v>
      </c>
      <c r="L9" s="22" t="str">
        <f>RIGHT(convHexIntToBinInt(I9),23)</f>
        <v>00001111010111000010100</v>
      </c>
      <c r="M9" s="20" t="str">
        <f>IF(J9="1","-","")&amp;shiftNumeralPnt("1."&amp;L9,convNPntToDecPnt(K9,2)-127)</f>
        <v>0.1000011110101110000101</v>
      </c>
      <c r="N9" s="21" t="str">
        <f>convNPntToDecPnt(M9,2)</f>
        <v>0.5299999713897705078125</v>
      </c>
      <c r="O9" s="23" t="str">
        <f>divisionLongByInternalHex(O3,O4)</f>
        <v>00000000</v>
      </c>
      <c r="P9" s="20" t="str">
        <f t="shared" si="0"/>
        <v>0</v>
      </c>
      <c r="Q9" s="20" t="str">
        <f t="shared" si="1"/>
        <v>0000000000000000000000000000000</v>
      </c>
      <c r="R9" s="21" t="str">
        <f>IF(P9="0",convNPntToDecPnt(Q9,2),"-"&amp;addDecPntDecPnt(convNPntToDecPnt(SUBSTITUTE(SUBSTITUTE(SUBSTITUTE(Q9,"1","x"),"0","1"),"x","0"), 2),"1"))</f>
        <v>0</v>
      </c>
    </row>
    <row r="10" spans="1:18" x14ac:dyDescent="0.15">
      <c r="A10" s="3" t="s">
        <v>16</v>
      </c>
      <c r="C10" s="4">
        <f>getSizeOfCDouble()</f>
        <v>8</v>
      </c>
    </row>
    <row r="11" spans="1:18" x14ac:dyDescent="0.15">
      <c r="A11" s="3" t="s">
        <v>17</v>
      </c>
      <c r="C11" s="4">
        <f>getSizeOfCFloat()</f>
        <v>4</v>
      </c>
      <c r="N11" s="2"/>
    </row>
    <row r="12" spans="1:18" x14ac:dyDescent="0.15">
      <c r="A12" s="3" t="s">
        <v>18</v>
      </c>
      <c r="C12" s="4">
        <f>getSizeOfCLong()</f>
        <v>4</v>
      </c>
      <c r="N12" s="2"/>
    </row>
    <row r="14" spans="1:18" x14ac:dyDescent="0.15">
      <c r="A14" s="3" t="s">
        <v>169</v>
      </c>
    </row>
    <row r="15" spans="1:18" x14ac:dyDescent="0.15">
      <c r="A15" s="3" t="s">
        <v>170</v>
      </c>
      <c r="C15" s="4" t="s">
        <v>109</v>
      </c>
      <c r="D15" s="2" t="s">
        <v>88</v>
      </c>
      <c r="E15" s="2" t="s">
        <v>110</v>
      </c>
      <c r="F15" s="2" t="s">
        <v>111</v>
      </c>
      <c r="G15" s="2" t="s">
        <v>112</v>
      </c>
      <c r="H15" s="2" t="s">
        <v>113</v>
      </c>
      <c r="I15" s="4" t="s">
        <v>114</v>
      </c>
      <c r="J15" s="4" t="s">
        <v>88</v>
      </c>
      <c r="K15" s="4" t="s">
        <v>115</v>
      </c>
      <c r="L15" s="4" t="s">
        <v>116</v>
      </c>
      <c r="M15" s="4" t="s">
        <v>112</v>
      </c>
      <c r="N15" s="2" t="s">
        <v>113</v>
      </c>
      <c r="O15" s="2" t="s">
        <v>117</v>
      </c>
      <c r="P15" s="2" t="s">
        <v>88</v>
      </c>
      <c r="Q15" s="2" t="s">
        <v>118</v>
      </c>
      <c r="R15" s="2" t="s">
        <v>113</v>
      </c>
    </row>
    <row r="16" spans="1:18" x14ac:dyDescent="0.15">
      <c r="A16" s="3" t="s">
        <v>171</v>
      </c>
      <c r="C16" s="4" t="s">
        <v>119</v>
      </c>
      <c r="D16" s="2" t="s">
        <v>88</v>
      </c>
      <c r="E16" s="2" t="s">
        <v>120</v>
      </c>
      <c r="F16" s="2" t="s">
        <v>121</v>
      </c>
      <c r="G16" s="2" t="s">
        <v>122</v>
      </c>
      <c r="H16" s="2" t="s">
        <v>90</v>
      </c>
      <c r="I16" s="4" t="s">
        <v>123</v>
      </c>
      <c r="J16" s="4" t="s">
        <v>88</v>
      </c>
      <c r="K16" s="4" t="s">
        <v>124</v>
      </c>
      <c r="L16" s="4" t="s">
        <v>125</v>
      </c>
      <c r="M16" s="4" t="s">
        <v>122</v>
      </c>
      <c r="N16" s="4" t="s">
        <v>90</v>
      </c>
      <c r="O16" s="2" t="s">
        <v>126</v>
      </c>
      <c r="P16" s="2" t="s">
        <v>88</v>
      </c>
      <c r="Q16" s="2" t="s">
        <v>127</v>
      </c>
      <c r="R16" s="2" t="s">
        <v>90</v>
      </c>
    </row>
    <row r="18" spans="1:18" x14ac:dyDescent="0.15">
      <c r="A18" s="3" t="s">
        <v>172</v>
      </c>
      <c r="C18" s="4" t="s">
        <v>128</v>
      </c>
      <c r="D18" s="2" t="s">
        <v>88</v>
      </c>
      <c r="E18" s="2" t="s">
        <v>129</v>
      </c>
      <c r="F18" s="2" t="s">
        <v>130</v>
      </c>
      <c r="G18" s="2" t="s">
        <v>131</v>
      </c>
      <c r="H18" s="2" t="s">
        <v>132</v>
      </c>
      <c r="I18" s="4" t="s">
        <v>133</v>
      </c>
      <c r="J18" s="4" t="s">
        <v>88</v>
      </c>
      <c r="K18" s="4" t="s">
        <v>134</v>
      </c>
      <c r="L18" s="4" t="s">
        <v>135</v>
      </c>
      <c r="M18" s="4" t="s">
        <v>131</v>
      </c>
      <c r="N18" s="4" t="s">
        <v>132</v>
      </c>
      <c r="O18" s="2" t="s">
        <v>136</v>
      </c>
      <c r="P18" s="2" t="s">
        <v>88</v>
      </c>
      <c r="Q18" s="2" t="s">
        <v>137</v>
      </c>
      <c r="R18" s="2" t="s">
        <v>132</v>
      </c>
    </row>
    <row r="19" spans="1:18" x14ac:dyDescent="0.15">
      <c r="A19" s="3" t="s">
        <v>173</v>
      </c>
      <c r="C19" s="4" t="s">
        <v>138</v>
      </c>
      <c r="D19" s="2" t="s">
        <v>139</v>
      </c>
      <c r="E19" s="2" t="s">
        <v>110</v>
      </c>
      <c r="F19" s="2" t="s">
        <v>140</v>
      </c>
      <c r="G19" s="2" t="s">
        <v>141</v>
      </c>
      <c r="H19" s="2" t="s">
        <v>142</v>
      </c>
      <c r="I19" s="4" t="s">
        <v>143</v>
      </c>
      <c r="J19" s="4" t="s">
        <v>139</v>
      </c>
      <c r="K19" s="4" t="s">
        <v>115</v>
      </c>
      <c r="L19" s="4" t="s">
        <v>144</v>
      </c>
      <c r="M19" s="4" t="s">
        <v>141</v>
      </c>
      <c r="N19" s="4" t="s">
        <v>142</v>
      </c>
      <c r="O19" s="2" t="s">
        <v>145</v>
      </c>
      <c r="P19" s="2" t="s">
        <v>139</v>
      </c>
      <c r="Q19" s="2" t="s">
        <v>146</v>
      </c>
      <c r="R19" s="2" t="e">
        <v>#NAME?</v>
      </c>
    </row>
    <row r="20" spans="1:18" x14ac:dyDescent="0.15">
      <c r="A20" s="3" t="s">
        <v>174</v>
      </c>
      <c r="C20" s="4" t="s">
        <v>147</v>
      </c>
      <c r="D20" s="2" t="s">
        <v>88</v>
      </c>
      <c r="E20" s="2" t="s">
        <v>148</v>
      </c>
      <c r="F20" s="2" t="s">
        <v>149</v>
      </c>
      <c r="G20" s="2" t="s">
        <v>150</v>
      </c>
      <c r="H20" s="2" t="s">
        <v>151</v>
      </c>
      <c r="I20" s="4" t="s">
        <v>152</v>
      </c>
      <c r="J20" s="4" t="s">
        <v>88</v>
      </c>
      <c r="K20" s="4" t="s">
        <v>153</v>
      </c>
      <c r="L20" s="4" t="s">
        <v>154</v>
      </c>
      <c r="M20" s="4" t="s">
        <v>150</v>
      </c>
      <c r="N20" s="4" t="s">
        <v>151</v>
      </c>
      <c r="O20" s="2" t="s">
        <v>155</v>
      </c>
      <c r="P20" s="2" t="s">
        <v>88</v>
      </c>
      <c r="Q20" s="2" t="s">
        <v>156</v>
      </c>
      <c r="R20" s="2" t="s">
        <v>151</v>
      </c>
    </row>
    <row r="21" spans="1:18" x14ac:dyDescent="0.15">
      <c r="A21" s="3" t="s">
        <v>175</v>
      </c>
      <c r="C21" s="4" t="s">
        <v>157</v>
      </c>
      <c r="D21" s="2" t="s">
        <v>88</v>
      </c>
      <c r="E21" s="2" t="s">
        <v>158</v>
      </c>
      <c r="F21" s="2" t="s">
        <v>159</v>
      </c>
      <c r="G21" s="2" t="s">
        <v>160</v>
      </c>
      <c r="H21" s="2" t="s">
        <v>161</v>
      </c>
      <c r="I21" s="4" t="s">
        <v>162</v>
      </c>
      <c r="J21" s="4" t="s">
        <v>88</v>
      </c>
      <c r="K21" s="4" t="s">
        <v>163</v>
      </c>
      <c r="L21" s="4" t="s">
        <v>164</v>
      </c>
      <c r="M21" s="4" t="s">
        <v>165</v>
      </c>
      <c r="N21" s="4" t="s">
        <v>166</v>
      </c>
      <c r="O21" s="2" t="s">
        <v>167</v>
      </c>
      <c r="P21" s="2" t="s">
        <v>88</v>
      </c>
      <c r="Q21" s="2" t="s">
        <v>168</v>
      </c>
      <c r="R21" s="2" t="s">
        <v>88</v>
      </c>
    </row>
    <row r="22" spans="1:18" x14ac:dyDescent="0.15">
      <c r="A22" s="3" t="s">
        <v>176</v>
      </c>
      <c r="C22" s="4">
        <v>8</v>
      </c>
    </row>
    <row r="23" spans="1:18" x14ac:dyDescent="0.15">
      <c r="A23" s="3" t="s">
        <v>177</v>
      </c>
      <c r="C23" s="4">
        <v>4</v>
      </c>
    </row>
    <row r="24" spans="1:18" x14ac:dyDescent="0.15">
      <c r="A24" s="3" t="s">
        <v>178</v>
      </c>
      <c r="C24" s="4">
        <v>4</v>
      </c>
    </row>
    <row r="26" spans="1:18" x14ac:dyDescent="0.15">
      <c r="A26" s="3" t="s">
        <v>179</v>
      </c>
    </row>
    <row r="27" spans="1:18" x14ac:dyDescent="0.15">
      <c r="A27" s="3" t="s">
        <v>170</v>
      </c>
      <c r="C27" s="4" t="b">
        <f t="shared" ref="C27:R27" si="2">getText(C3)=getText(C15)</f>
        <v>1</v>
      </c>
      <c r="D27" s="4" t="b">
        <f t="shared" si="2"/>
        <v>1</v>
      </c>
      <c r="E27" s="4" t="b">
        <f t="shared" si="2"/>
        <v>1</v>
      </c>
      <c r="F27" s="4" t="b">
        <f t="shared" si="2"/>
        <v>1</v>
      </c>
      <c r="G27" s="4" t="b">
        <f t="shared" si="2"/>
        <v>1</v>
      </c>
      <c r="H27" s="4" t="b">
        <f t="shared" si="2"/>
        <v>1</v>
      </c>
      <c r="I27" s="4" t="b">
        <f t="shared" si="2"/>
        <v>1</v>
      </c>
      <c r="J27" s="4" t="b">
        <f t="shared" si="2"/>
        <v>1</v>
      </c>
      <c r="K27" s="4" t="b">
        <f t="shared" si="2"/>
        <v>1</v>
      </c>
      <c r="L27" s="4" t="b">
        <f t="shared" si="2"/>
        <v>1</v>
      </c>
      <c r="M27" s="4" t="b">
        <f t="shared" si="2"/>
        <v>1</v>
      </c>
      <c r="N27" s="4" t="b">
        <f t="shared" si="2"/>
        <v>1</v>
      </c>
      <c r="O27" s="4" t="b">
        <f t="shared" si="2"/>
        <v>1</v>
      </c>
      <c r="P27" s="4" t="b">
        <f t="shared" si="2"/>
        <v>1</v>
      </c>
      <c r="Q27" s="4" t="b">
        <f t="shared" si="2"/>
        <v>1</v>
      </c>
      <c r="R27" s="4" t="b">
        <f t="shared" si="2"/>
        <v>1</v>
      </c>
    </row>
    <row r="28" spans="1:18" x14ac:dyDescent="0.15">
      <c r="A28" s="3" t="s">
        <v>171</v>
      </c>
      <c r="C28" s="4" t="b">
        <f t="shared" ref="C28:R28" si="3">getText(C4)=getText(C16)</f>
        <v>1</v>
      </c>
      <c r="D28" s="4" t="b">
        <f t="shared" si="3"/>
        <v>1</v>
      </c>
      <c r="E28" s="4" t="b">
        <f t="shared" si="3"/>
        <v>1</v>
      </c>
      <c r="F28" s="4" t="b">
        <f t="shared" si="3"/>
        <v>1</v>
      </c>
      <c r="G28" s="4" t="b">
        <f t="shared" si="3"/>
        <v>1</v>
      </c>
      <c r="H28" s="4" t="b">
        <f t="shared" si="3"/>
        <v>1</v>
      </c>
      <c r="I28" s="4" t="b">
        <f t="shared" si="3"/>
        <v>1</v>
      </c>
      <c r="J28" s="4" t="b">
        <f t="shared" si="3"/>
        <v>1</v>
      </c>
      <c r="K28" s="4" t="b">
        <f t="shared" si="3"/>
        <v>1</v>
      </c>
      <c r="L28" s="4" t="b">
        <f t="shared" si="3"/>
        <v>1</v>
      </c>
      <c r="M28" s="4" t="b">
        <f t="shared" si="3"/>
        <v>1</v>
      </c>
      <c r="N28" s="4" t="b">
        <f t="shared" si="3"/>
        <v>1</v>
      </c>
      <c r="O28" s="4" t="b">
        <f t="shared" si="3"/>
        <v>1</v>
      </c>
      <c r="P28" s="4" t="b">
        <f t="shared" si="3"/>
        <v>1</v>
      </c>
      <c r="Q28" s="4" t="b">
        <f t="shared" si="3"/>
        <v>1</v>
      </c>
      <c r="R28" s="4" t="b">
        <f t="shared" si="3"/>
        <v>1</v>
      </c>
    </row>
    <row r="29" spans="1:18" x14ac:dyDescent="0.15">
      <c r="C29" s="4" t="b">
        <f t="shared" ref="C29:R29" si="4">getText(C5)=getText(C17)</f>
        <v>1</v>
      </c>
      <c r="D29" s="4" t="b">
        <f t="shared" si="4"/>
        <v>1</v>
      </c>
      <c r="E29" s="4" t="b">
        <f t="shared" si="4"/>
        <v>1</v>
      </c>
      <c r="F29" s="4" t="b">
        <f t="shared" si="4"/>
        <v>1</v>
      </c>
      <c r="G29" s="4" t="b">
        <f t="shared" si="4"/>
        <v>1</v>
      </c>
      <c r="H29" s="4" t="b">
        <f t="shared" si="4"/>
        <v>1</v>
      </c>
      <c r="I29" s="4" t="b">
        <f t="shared" si="4"/>
        <v>1</v>
      </c>
      <c r="J29" s="4" t="b">
        <f t="shared" si="4"/>
        <v>1</v>
      </c>
      <c r="K29" s="4" t="b">
        <f t="shared" si="4"/>
        <v>1</v>
      </c>
      <c r="L29" s="4" t="b">
        <f t="shared" si="4"/>
        <v>1</v>
      </c>
      <c r="M29" s="4" t="b">
        <f t="shared" si="4"/>
        <v>1</v>
      </c>
      <c r="N29" s="4" t="b">
        <f t="shared" si="4"/>
        <v>1</v>
      </c>
      <c r="O29" s="4" t="b">
        <f t="shared" si="4"/>
        <v>1</v>
      </c>
      <c r="P29" s="4" t="b">
        <f t="shared" si="4"/>
        <v>1</v>
      </c>
      <c r="Q29" s="4" t="b">
        <f t="shared" si="4"/>
        <v>1</v>
      </c>
      <c r="R29" s="4" t="b">
        <f t="shared" si="4"/>
        <v>1</v>
      </c>
    </row>
    <row r="30" spans="1:18" x14ac:dyDescent="0.15">
      <c r="A30" s="3" t="s">
        <v>172</v>
      </c>
      <c r="C30" s="4" t="b">
        <f t="shared" ref="C30:R30" si="5">getText(C6)=getText(C18)</f>
        <v>1</v>
      </c>
      <c r="D30" s="4" t="b">
        <f t="shared" si="5"/>
        <v>1</v>
      </c>
      <c r="E30" s="4" t="b">
        <f t="shared" si="5"/>
        <v>1</v>
      </c>
      <c r="F30" s="4" t="b">
        <f t="shared" si="5"/>
        <v>1</v>
      </c>
      <c r="G30" s="4" t="b">
        <f t="shared" si="5"/>
        <v>1</v>
      </c>
      <c r="H30" s="4" t="b">
        <f t="shared" si="5"/>
        <v>1</v>
      </c>
      <c r="I30" s="4" t="b">
        <f t="shared" si="5"/>
        <v>1</v>
      </c>
      <c r="J30" s="4" t="b">
        <f t="shared" si="5"/>
        <v>1</v>
      </c>
      <c r="K30" s="4" t="b">
        <f t="shared" si="5"/>
        <v>1</v>
      </c>
      <c r="L30" s="4" t="b">
        <f t="shared" si="5"/>
        <v>1</v>
      </c>
      <c r="M30" s="4" t="b">
        <f t="shared" si="5"/>
        <v>1</v>
      </c>
      <c r="N30" s="4" t="b">
        <f t="shared" si="5"/>
        <v>1</v>
      </c>
      <c r="O30" s="4" t="b">
        <f t="shared" si="5"/>
        <v>1</v>
      </c>
      <c r="P30" s="4" t="b">
        <f t="shared" si="5"/>
        <v>1</v>
      </c>
      <c r="Q30" s="4" t="b">
        <f t="shared" si="5"/>
        <v>1</v>
      </c>
      <c r="R30" s="4" t="b">
        <f t="shared" si="5"/>
        <v>1</v>
      </c>
    </row>
    <row r="31" spans="1:18" x14ac:dyDescent="0.15">
      <c r="A31" s="3" t="s">
        <v>173</v>
      </c>
      <c r="C31" s="4" t="b">
        <f t="shared" ref="C31:R31" si="6">getText(C7)=getText(C19)</f>
        <v>1</v>
      </c>
      <c r="D31" s="4" t="b">
        <f t="shared" si="6"/>
        <v>1</v>
      </c>
      <c r="E31" s="4" t="b">
        <f t="shared" si="6"/>
        <v>1</v>
      </c>
      <c r="F31" s="4" t="b">
        <f t="shared" si="6"/>
        <v>1</v>
      </c>
      <c r="G31" s="4" t="b">
        <f t="shared" si="6"/>
        <v>1</v>
      </c>
      <c r="H31" s="4" t="b">
        <f t="shared" si="6"/>
        <v>1</v>
      </c>
      <c r="I31" s="4" t="b">
        <f t="shared" si="6"/>
        <v>1</v>
      </c>
      <c r="J31" s="4" t="b">
        <f t="shared" si="6"/>
        <v>1</v>
      </c>
      <c r="K31" s="4" t="b">
        <f t="shared" si="6"/>
        <v>1</v>
      </c>
      <c r="L31" s="4" t="b">
        <f t="shared" si="6"/>
        <v>1</v>
      </c>
      <c r="M31" s="4" t="b">
        <f t="shared" si="6"/>
        <v>1</v>
      </c>
      <c r="N31" s="4" t="b">
        <f t="shared" si="6"/>
        <v>1</v>
      </c>
      <c r="O31" s="4" t="b">
        <f t="shared" si="6"/>
        <v>1</v>
      </c>
      <c r="P31" s="4" t="b">
        <f t="shared" si="6"/>
        <v>1</v>
      </c>
      <c r="Q31" s="4" t="b">
        <f t="shared" si="6"/>
        <v>1</v>
      </c>
      <c r="R31" s="4" t="b">
        <f t="shared" si="6"/>
        <v>1</v>
      </c>
    </row>
    <row r="32" spans="1:18" x14ac:dyDescent="0.15">
      <c r="A32" s="3" t="s">
        <v>174</v>
      </c>
      <c r="C32" s="4" t="b">
        <f t="shared" ref="C32:R32" si="7">getText(C8)=getText(C20)</f>
        <v>1</v>
      </c>
      <c r="D32" s="4" t="b">
        <f t="shared" si="7"/>
        <v>1</v>
      </c>
      <c r="E32" s="4" t="b">
        <f t="shared" si="7"/>
        <v>1</v>
      </c>
      <c r="F32" s="4" t="b">
        <f t="shared" si="7"/>
        <v>1</v>
      </c>
      <c r="G32" s="4" t="b">
        <f t="shared" si="7"/>
        <v>1</v>
      </c>
      <c r="H32" s="4" t="b">
        <f t="shared" si="7"/>
        <v>1</v>
      </c>
      <c r="I32" s="4" t="b">
        <f t="shared" si="7"/>
        <v>1</v>
      </c>
      <c r="J32" s="4" t="b">
        <f t="shared" si="7"/>
        <v>1</v>
      </c>
      <c r="K32" s="4" t="b">
        <f t="shared" si="7"/>
        <v>1</v>
      </c>
      <c r="L32" s="4" t="b">
        <f t="shared" si="7"/>
        <v>1</v>
      </c>
      <c r="M32" s="4" t="b">
        <f t="shared" si="7"/>
        <v>1</v>
      </c>
      <c r="N32" s="4" t="b">
        <f t="shared" si="7"/>
        <v>1</v>
      </c>
      <c r="O32" s="4" t="b">
        <f t="shared" si="7"/>
        <v>1</v>
      </c>
      <c r="P32" s="4" t="b">
        <f t="shared" si="7"/>
        <v>1</v>
      </c>
      <c r="Q32" s="4" t="b">
        <f t="shared" si="7"/>
        <v>1</v>
      </c>
      <c r="R32" s="4" t="b">
        <f t="shared" si="7"/>
        <v>1</v>
      </c>
    </row>
    <row r="33" spans="1:18" x14ac:dyDescent="0.15">
      <c r="A33" s="3" t="s">
        <v>175</v>
      </c>
      <c r="C33" s="4" t="b">
        <f t="shared" ref="C33:R33" si="8">getText(C9)=getText(C21)</f>
        <v>1</v>
      </c>
      <c r="D33" s="4" t="b">
        <f t="shared" si="8"/>
        <v>1</v>
      </c>
      <c r="E33" s="4" t="b">
        <f t="shared" si="8"/>
        <v>1</v>
      </c>
      <c r="F33" s="4" t="b">
        <f t="shared" si="8"/>
        <v>1</v>
      </c>
      <c r="G33" s="4" t="b">
        <f t="shared" si="8"/>
        <v>1</v>
      </c>
      <c r="H33" s="4" t="b">
        <f t="shared" si="8"/>
        <v>1</v>
      </c>
      <c r="I33" s="4" t="b">
        <f t="shared" si="8"/>
        <v>1</v>
      </c>
      <c r="J33" s="4" t="b">
        <f t="shared" si="8"/>
        <v>1</v>
      </c>
      <c r="K33" s="4" t="b">
        <f t="shared" si="8"/>
        <v>1</v>
      </c>
      <c r="L33" s="4" t="b">
        <f t="shared" si="8"/>
        <v>1</v>
      </c>
      <c r="M33" s="4" t="b">
        <f t="shared" si="8"/>
        <v>1</v>
      </c>
      <c r="N33" s="4" t="b">
        <f t="shared" si="8"/>
        <v>1</v>
      </c>
      <c r="O33" s="4" t="b">
        <f t="shared" si="8"/>
        <v>1</v>
      </c>
      <c r="P33" s="4" t="b">
        <f t="shared" si="8"/>
        <v>1</v>
      </c>
      <c r="Q33" s="4" t="b">
        <f t="shared" si="8"/>
        <v>1</v>
      </c>
      <c r="R33" s="4" t="b">
        <f t="shared" si="8"/>
        <v>1</v>
      </c>
    </row>
    <row r="34" spans="1:18" x14ac:dyDescent="0.15">
      <c r="A34" s="3" t="s">
        <v>176</v>
      </c>
      <c r="C34" s="4" t="b">
        <f t="shared" ref="C34:R34" si="9">getText(C10)=getText(C22)</f>
        <v>1</v>
      </c>
      <c r="D34" s="4" t="b">
        <f t="shared" si="9"/>
        <v>1</v>
      </c>
      <c r="E34" s="4" t="b">
        <f t="shared" si="9"/>
        <v>1</v>
      </c>
      <c r="F34" s="4" t="b">
        <f t="shared" si="9"/>
        <v>1</v>
      </c>
      <c r="G34" s="4" t="b">
        <f t="shared" si="9"/>
        <v>1</v>
      </c>
      <c r="H34" s="4" t="b">
        <f t="shared" si="9"/>
        <v>1</v>
      </c>
      <c r="I34" s="4" t="b">
        <f t="shared" si="9"/>
        <v>1</v>
      </c>
      <c r="J34" s="4" t="b">
        <f t="shared" si="9"/>
        <v>1</v>
      </c>
      <c r="K34" s="4" t="b">
        <f t="shared" si="9"/>
        <v>1</v>
      </c>
      <c r="L34" s="4" t="b">
        <f t="shared" si="9"/>
        <v>1</v>
      </c>
      <c r="M34" s="4" t="b">
        <f t="shared" si="9"/>
        <v>1</v>
      </c>
      <c r="N34" s="4" t="b">
        <f t="shared" si="9"/>
        <v>1</v>
      </c>
      <c r="O34" s="4" t="b">
        <f t="shared" si="9"/>
        <v>1</v>
      </c>
      <c r="P34" s="4" t="b">
        <f t="shared" si="9"/>
        <v>1</v>
      </c>
      <c r="Q34" s="4" t="b">
        <f t="shared" si="9"/>
        <v>1</v>
      </c>
      <c r="R34" s="4" t="b">
        <f t="shared" si="9"/>
        <v>1</v>
      </c>
    </row>
    <row r="35" spans="1:18" x14ac:dyDescent="0.15">
      <c r="A35" s="3" t="s">
        <v>177</v>
      </c>
      <c r="C35" s="4" t="b">
        <f t="shared" ref="C35:R35" si="10">getText(C11)=getText(C23)</f>
        <v>1</v>
      </c>
      <c r="D35" s="4" t="b">
        <f t="shared" si="10"/>
        <v>1</v>
      </c>
      <c r="E35" s="4" t="b">
        <f t="shared" si="10"/>
        <v>1</v>
      </c>
      <c r="F35" s="4" t="b">
        <f t="shared" si="10"/>
        <v>1</v>
      </c>
      <c r="G35" s="4" t="b">
        <f t="shared" si="10"/>
        <v>1</v>
      </c>
      <c r="H35" s="4" t="b">
        <f t="shared" si="10"/>
        <v>1</v>
      </c>
      <c r="I35" s="4" t="b">
        <f t="shared" si="10"/>
        <v>1</v>
      </c>
      <c r="J35" s="4" t="b">
        <f t="shared" si="10"/>
        <v>1</v>
      </c>
      <c r="K35" s="4" t="b">
        <f t="shared" si="10"/>
        <v>1</v>
      </c>
      <c r="L35" s="4" t="b">
        <f t="shared" si="10"/>
        <v>1</v>
      </c>
      <c r="M35" s="4" t="b">
        <f t="shared" si="10"/>
        <v>1</v>
      </c>
      <c r="N35" s="4" t="b">
        <f t="shared" si="10"/>
        <v>1</v>
      </c>
      <c r="O35" s="4" t="b">
        <f t="shared" si="10"/>
        <v>1</v>
      </c>
      <c r="P35" s="4" t="b">
        <f t="shared" si="10"/>
        <v>1</v>
      </c>
      <c r="Q35" s="4" t="b">
        <f t="shared" si="10"/>
        <v>1</v>
      </c>
      <c r="R35" s="4" t="b">
        <f t="shared" si="10"/>
        <v>1</v>
      </c>
    </row>
    <row r="36" spans="1:18" x14ac:dyDescent="0.15">
      <c r="A36" s="3" t="s">
        <v>178</v>
      </c>
      <c r="C36" s="4" t="b">
        <f t="shared" ref="C36:R36" si="11">getText(C12)=getText(C24)</f>
        <v>1</v>
      </c>
      <c r="D36" s="4" t="b">
        <f t="shared" si="11"/>
        <v>1</v>
      </c>
      <c r="E36" s="4" t="b">
        <f t="shared" si="11"/>
        <v>1</v>
      </c>
      <c r="F36" s="4" t="b">
        <f t="shared" si="11"/>
        <v>1</v>
      </c>
      <c r="G36" s="4" t="b">
        <f t="shared" si="11"/>
        <v>1</v>
      </c>
      <c r="H36" s="4" t="b">
        <f t="shared" si="11"/>
        <v>1</v>
      </c>
      <c r="I36" s="4" t="b">
        <f t="shared" si="11"/>
        <v>1</v>
      </c>
      <c r="J36" s="4" t="b">
        <f t="shared" si="11"/>
        <v>1</v>
      </c>
      <c r="K36" s="4" t="b">
        <f t="shared" si="11"/>
        <v>1</v>
      </c>
      <c r="L36" s="4" t="b">
        <f t="shared" si="11"/>
        <v>1</v>
      </c>
      <c r="M36" s="4" t="b">
        <f t="shared" si="11"/>
        <v>1</v>
      </c>
      <c r="N36" s="4" t="b">
        <f t="shared" si="11"/>
        <v>1</v>
      </c>
      <c r="O36" s="4" t="b">
        <f t="shared" si="11"/>
        <v>1</v>
      </c>
      <c r="P36" s="4" t="b">
        <f t="shared" si="11"/>
        <v>1</v>
      </c>
      <c r="Q36" s="4" t="b">
        <f t="shared" si="11"/>
        <v>1</v>
      </c>
      <c r="R36" s="4" t="b">
        <f t="shared" si="11"/>
        <v>1</v>
      </c>
    </row>
    <row r="42" spans="1:18" x14ac:dyDescent="0.15">
      <c r="Q42" s="2" t="str">
        <f>SUBSTITUTE(SUBSTITUTE(SUBSTITUTE(Q7,"1","x"),"0","1"),"x","0")</f>
        <v>0000000000000000000000000101110</v>
      </c>
      <c r="R42" s="2" t="str">
        <f>convNPntToDecPnt(Q42,2)</f>
        <v>46</v>
      </c>
    </row>
  </sheetData>
  <mergeCells count="3">
    <mergeCell ref="C1:H1"/>
    <mergeCell ref="I1:N1"/>
    <mergeCell ref="O1:R1"/>
  </mergeCells>
  <phoneticPr fontId="14"/>
  <conditionalFormatting sqref="A1">
    <cfRule type="cellIs" dxfId="3" priority="1" operator="equal">
      <formula>"OK"</formula>
    </cfRule>
    <cfRule type="cellIs" dxfId="2" priority="2" operator="equal">
      <formula>"NG"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52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1.25" x14ac:dyDescent="0.15"/>
  <cols>
    <col min="1" max="1" width="21.85546875" style="1" bestFit="1" customWidth="1"/>
    <col min="2" max="2" width="14.140625" style="24" bestFit="1" customWidth="1"/>
    <col min="3" max="3" width="12.28515625" style="24" bestFit="1" customWidth="1"/>
    <col min="4" max="4" width="10.7109375" style="24" customWidth="1"/>
    <col min="5" max="5" width="10.7109375" style="1" customWidth="1"/>
    <col min="6" max="6" width="9.140625" style="1" customWidth="1"/>
    <col min="7" max="10" width="9.140625" style="1"/>
    <col min="11" max="11" width="35.42578125" style="24" bestFit="1" customWidth="1"/>
    <col min="12" max="16384" width="9.140625" style="1"/>
  </cols>
  <sheetData>
    <row r="1" spans="1:13" x14ac:dyDescent="0.15">
      <c r="A1" s="3" t="str">
        <f>IF(COUNTIF(M:M,FALSE)&gt;0,"NG","OK")</f>
        <v>OK</v>
      </c>
      <c r="E1" s="1" t="s">
        <v>26</v>
      </c>
      <c r="J1" s="31" t="s">
        <v>97</v>
      </c>
      <c r="K1" s="42" t="s">
        <v>236</v>
      </c>
      <c r="L1" s="1" t="s">
        <v>27</v>
      </c>
    </row>
    <row r="2" spans="1:13" x14ac:dyDescent="0.15">
      <c r="A2" s="1" t="s">
        <v>19</v>
      </c>
      <c r="B2" s="24" t="s">
        <v>29</v>
      </c>
      <c r="C2" s="24" t="s">
        <v>38</v>
      </c>
      <c r="E2" s="2">
        <v>101</v>
      </c>
      <c r="F2" s="1">
        <v>5</v>
      </c>
      <c r="G2" s="1">
        <v>1</v>
      </c>
      <c r="J2" s="1" t="e">
        <v>#NUM!</v>
      </c>
      <c r="K2" s="49" t="s">
        <v>298</v>
      </c>
      <c r="L2" s="1" t="e">
        <f>shiftNumeralPnt(E2,F2,G2)</f>
        <v>#NUM!</v>
      </c>
      <c r="M2" s="1" t="b">
        <f t="shared" ref="M2:M53" si="0">getText(J2)=getText(L2)</f>
        <v>1</v>
      </c>
    </row>
    <row r="3" spans="1:13" x14ac:dyDescent="0.15">
      <c r="C3" s="24" t="s">
        <v>39</v>
      </c>
      <c r="E3" s="2">
        <v>101</v>
      </c>
      <c r="F3" s="1">
        <v>5</v>
      </c>
      <c r="G3" s="1">
        <v>17</v>
      </c>
      <c r="J3" s="1" t="e">
        <v>#NUM!</v>
      </c>
      <c r="K3" s="49" t="s">
        <v>299</v>
      </c>
      <c r="L3" s="1" t="e">
        <f>shiftNumeralPnt(E3,F3,G3)</f>
        <v>#NUM!</v>
      </c>
      <c r="M3" s="1" t="b">
        <f t="shared" si="0"/>
        <v>1</v>
      </c>
    </row>
    <row r="4" spans="1:13" x14ac:dyDescent="0.15">
      <c r="B4" s="24" t="s">
        <v>40</v>
      </c>
      <c r="C4" s="24" t="s">
        <v>42</v>
      </c>
      <c r="E4" s="2" t="s">
        <v>41</v>
      </c>
      <c r="F4" s="1">
        <v>1</v>
      </c>
      <c r="J4" s="1" t="e">
        <v>#NUM!</v>
      </c>
      <c r="K4" s="49" t="s">
        <v>300</v>
      </c>
      <c r="L4" s="1" t="e">
        <f>shiftNumeralPnt(E4,F4)</f>
        <v>#NUM!</v>
      </c>
      <c r="M4" s="1" t="b">
        <f t="shared" si="0"/>
        <v>1</v>
      </c>
    </row>
    <row r="5" spans="1:13" x14ac:dyDescent="0.15">
      <c r="C5" s="24" t="s">
        <v>43</v>
      </c>
      <c r="E5" s="2">
        <v>9</v>
      </c>
      <c r="F5" s="1">
        <v>1</v>
      </c>
      <c r="J5" s="1" t="s">
        <v>74</v>
      </c>
      <c r="K5" s="49" t="s">
        <v>301</v>
      </c>
      <c r="L5" s="1" t="str">
        <f>shiftNumeralPnt(E5,F5)</f>
        <v>90</v>
      </c>
      <c r="M5" s="1" t="b">
        <f t="shared" si="0"/>
        <v>1</v>
      </c>
    </row>
    <row r="6" spans="1:13" x14ac:dyDescent="0.15">
      <c r="B6" s="24" t="s">
        <v>20</v>
      </c>
      <c r="C6" s="24" t="s">
        <v>33</v>
      </c>
      <c r="E6" s="2">
        <v>101</v>
      </c>
      <c r="F6" s="1">
        <v>5</v>
      </c>
      <c r="G6" s="1">
        <v>2</v>
      </c>
      <c r="J6" s="1" t="s">
        <v>75</v>
      </c>
      <c r="K6" s="49" t="s">
        <v>302</v>
      </c>
      <c r="L6" s="1" t="str">
        <f t="shared" ref="L6:L19" si="1">shiftNumeralPnt(E6,F6,G6)</f>
        <v>10100000</v>
      </c>
      <c r="M6" s="1" t="b">
        <f t="shared" si="0"/>
        <v>1</v>
      </c>
    </row>
    <row r="7" spans="1:13" x14ac:dyDescent="0.15">
      <c r="C7" s="24" t="s">
        <v>34</v>
      </c>
      <c r="E7" s="2">
        <v>101</v>
      </c>
      <c r="F7" s="1">
        <v>0</v>
      </c>
      <c r="G7" s="1">
        <v>2</v>
      </c>
      <c r="J7" s="1" t="s">
        <v>76</v>
      </c>
      <c r="K7" s="49" t="s">
        <v>303</v>
      </c>
      <c r="L7" s="1" t="str">
        <f t="shared" si="1"/>
        <v>101</v>
      </c>
      <c r="M7" s="1" t="b">
        <f t="shared" si="0"/>
        <v>1</v>
      </c>
    </row>
    <row r="8" spans="1:13" x14ac:dyDescent="0.15">
      <c r="C8" s="24" t="s">
        <v>35</v>
      </c>
      <c r="E8" s="2">
        <v>101</v>
      </c>
      <c r="F8" s="1">
        <v>-5</v>
      </c>
      <c r="G8" s="1">
        <v>2</v>
      </c>
      <c r="J8" s="1" t="s">
        <v>77</v>
      </c>
      <c r="K8" s="49" t="s">
        <v>304</v>
      </c>
      <c r="L8" s="1" t="str">
        <f t="shared" si="1"/>
        <v>0.00101</v>
      </c>
      <c r="M8" s="1" t="b">
        <f t="shared" si="0"/>
        <v>1</v>
      </c>
    </row>
    <row r="9" spans="1:13" x14ac:dyDescent="0.15">
      <c r="C9" s="24" t="s">
        <v>32</v>
      </c>
      <c r="E9" s="2">
        <v>10.1</v>
      </c>
      <c r="F9" s="1">
        <v>2</v>
      </c>
      <c r="G9" s="1">
        <v>2</v>
      </c>
      <c r="J9" s="1" t="s">
        <v>78</v>
      </c>
      <c r="K9" s="49" t="s">
        <v>305</v>
      </c>
      <c r="L9" s="1" t="str">
        <f t="shared" si="1"/>
        <v>1010</v>
      </c>
      <c r="M9" s="1" t="b">
        <f t="shared" si="0"/>
        <v>1</v>
      </c>
    </row>
    <row r="10" spans="1:13" x14ac:dyDescent="0.15">
      <c r="C10" s="24" t="s">
        <v>23</v>
      </c>
      <c r="E10" s="2">
        <v>2</v>
      </c>
      <c r="F10" s="1">
        <v>1</v>
      </c>
      <c r="G10" s="1">
        <v>2</v>
      </c>
      <c r="J10" s="1" t="e">
        <v>#NUM!</v>
      </c>
      <c r="K10" s="49" t="s">
        <v>306</v>
      </c>
      <c r="L10" s="1" t="e">
        <f t="shared" si="1"/>
        <v>#NUM!</v>
      </c>
      <c r="M10" s="1" t="b">
        <f t="shared" si="0"/>
        <v>1</v>
      </c>
    </row>
    <row r="11" spans="1:13" x14ac:dyDescent="0.15">
      <c r="B11" s="24" t="s">
        <v>21</v>
      </c>
      <c r="C11" s="24" t="s">
        <v>33</v>
      </c>
      <c r="E11" s="2">
        <v>909</v>
      </c>
      <c r="F11" s="1">
        <v>5</v>
      </c>
      <c r="G11" s="1">
        <v>10</v>
      </c>
      <c r="J11" s="1" t="s">
        <v>79</v>
      </c>
      <c r="K11" s="49" t="s">
        <v>307</v>
      </c>
      <c r="L11" s="1" t="str">
        <f t="shared" si="1"/>
        <v>90900000</v>
      </c>
      <c r="M11" s="1" t="b">
        <f t="shared" si="0"/>
        <v>1</v>
      </c>
    </row>
    <row r="12" spans="1:13" x14ac:dyDescent="0.15">
      <c r="C12" s="24" t="s">
        <v>34</v>
      </c>
      <c r="E12" s="2">
        <v>909</v>
      </c>
      <c r="F12" s="1">
        <v>0</v>
      </c>
      <c r="G12" s="1">
        <v>10</v>
      </c>
      <c r="J12" s="1" t="s">
        <v>80</v>
      </c>
      <c r="K12" s="49" t="s">
        <v>308</v>
      </c>
      <c r="L12" s="1" t="str">
        <f t="shared" si="1"/>
        <v>909</v>
      </c>
      <c r="M12" s="1" t="b">
        <f t="shared" si="0"/>
        <v>1</v>
      </c>
    </row>
    <row r="13" spans="1:13" x14ac:dyDescent="0.15">
      <c r="C13" s="24" t="s">
        <v>35</v>
      </c>
      <c r="E13" s="2">
        <v>909</v>
      </c>
      <c r="F13" s="1">
        <v>-5</v>
      </c>
      <c r="G13" s="1">
        <v>10</v>
      </c>
      <c r="J13" s="1" t="s">
        <v>81</v>
      </c>
      <c r="K13" s="49" t="s">
        <v>309</v>
      </c>
      <c r="L13" s="1" t="str">
        <f t="shared" si="1"/>
        <v>0.00909</v>
      </c>
      <c r="M13" s="1" t="b">
        <f t="shared" si="0"/>
        <v>1</v>
      </c>
    </row>
    <row r="14" spans="1:13" x14ac:dyDescent="0.15">
      <c r="C14" s="24" t="s">
        <v>32</v>
      </c>
      <c r="E14" s="2">
        <v>90.9</v>
      </c>
      <c r="F14" s="1">
        <v>2</v>
      </c>
      <c r="G14" s="1">
        <v>10</v>
      </c>
      <c r="J14" s="1" t="s">
        <v>82</v>
      </c>
      <c r="K14" s="49" t="s">
        <v>310</v>
      </c>
      <c r="L14" s="1" t="str">
        <f t="shared" si="1"/>
        <v>9090</v>
      </c>
      <c r="M14" s="1" t="b">
        <f t="shared" si="0"/>
        <v>1</v>
      </c>
    </row>
    <row r="15" spans="1:13" x14ac:dyDescent="0.15">
      <c r="C15" s="24" t="s">
        <v>24</v>
      </c>
      <c r="E15" s="2" t="s">
        <v>28</v>
      </c>
      <c r="F15" s="1">
        <v>1</v>
      </c>
      <c r="G15" s="1">
        <v>10</v>
      </c>
      <c r="J15" s="1" t="e">
        <v>#NUM!</v>
      </c>
      <c r="K15" s="49" t="s">
        <v>311</v>
      </c>
      <c r="L15" s="1" t="e">
        <f t="shared" si="1"/>
        <v>#NUM!</v>
      </c>
      <c r="M15" s="1" t="b">
        <f t="shared" si="0"/>
        <v>1</v>
      </c>
    </row>
    <row r="16" spans="1:13" x14ac:dyDescent="0.15">
      <c r="B16" s="24" t="s">
        <v>22</v>
      </c>
      <c r="C16" s="24" t="s">
        <v>33</v>
      </c>
      <c r="E16" s="2" t="s">
        <v>30</v>
      </c>
      <c r="F16" s="1">
        <v>5</v>
      </c>
      <c r="G16" s="1">
        <v>16</v>
      </c>
      <c r="J16" s="1" t="s">
        <v>83</v>
      </c>
      <c r="K16" s="49" t="s">
        <v>312</v>
      </c>
      <c r="L16" s="1" t="str">
        <f t="shared" si="1"/>
        <v>F0F00000</v>
      </c>
      <c r="M16" s="1" t="b">
        <f t="shared" si="0"/>
        <v>1</v>
      </c>
    </row>
    <row r="17" spans="1:13" x14ac:dyDescent="0.15">
      <c r="C17" s="24" t="s">
        <v>34</v>
      </c>
      <c r="E17" s="2" t="s">
        <v>30</v>
      </c>
      <c r="F17" s="1">
        <v>0</v>
      </c>
      <c r="G17" s="1">
        <v>16</v>
      </c>
      <c r="J17" s="1" t="s">
        <v>84</v>
      </c>
      <c r="K17" s="49" t="s">
        <v>313</v>
      </c>
      <c r="L17" s="1" t="str">
        <f t="shared" si="1"/>
        <v>F0F</v>
      </c>
      <c r="M17" s="1" t="b">
        <f t="shared" si="0"/>
        <v>1</v>
      </c>
    </row>
    <row r="18" spans="1:13" x14ac:dyDescent="0.15">
      <c r="C18" s="24" t="s">
        <v>35</v>
      </c>
      <c r="E18" s="2" t="s">
        <v>30</v>
      </c>
      <c r="F18" s="1">
        <v>-5</v>
      </c>
      <c r="G18" s="1">
        <v>16</v>
      </c>
      <c r="J18" s="1" t="s">
        <v>85</v>
      </c>
      <c r="K18" s="49" t="s">
        <v>314</v>
      </c>
      <c r="L18" s="1" t="str">
        <f t="shared" si="1"/>
        <v>0.00F0F</v>
      </c>
      <c r="M18" s="1" t="b">
        <f t="shared" si="0"/>
        <v>1</v>
      </c>
    </row>
    <row r="19" spans="1:13" x14ac:dyDescent="0.15">
      <c r="C19" s="24" t="s">
        <v>32</v>
      </c>
      <c r="E19" s="2" t="s">
        <v>36</v>
      </c>
      <c r="F19" s="1">
        <v>2</v>
      </c>
      <c r="G19" s="1">
        <v>16</v>
      </c>
      <c r="J19" s="1" t="s">
        <v>86</v>
      </c>
      <c r="K19" s="49" t="s">
        <v>315</v>
      </c>
      <c r="L19" s="1" t="str">
        <f t="shared" si="1"/>
        <v>F0F0</v>
      </c>
      <c r="M19" s="1" t="b">
        <f t="shared" si="0"/>
        <v>1</v>
      </c>
    </row>
    <row r="20" spans="1:13" x14ac:dyDescent="0.15">
      <c r="C20" s="24" t="s">
        <v>25</v>
      </c>
      <c r="E20" s="2" t="s">
        <v>31</v>
      </c>
      <c r="F20" s="1">
        <v>1</v>
      </c>
      <c r="G20" s="1">
        <v>16</v>
      </c>
      <c r="J20" s="1" t="e">
        <v>#NUM!</v>
      </c>
      <c r="K20" s="49" t="s">
        <v>316</v>
      </c>
      <c r="L20" s="1" t="e">
        <f>shiftNumeralPnt(E20,F20,G20)</f>
        <v>#NUM!</v>
      </c>
      <c r="M20" s="1" t="b">
        <f t="shared" si="0"/>
        <v>1</v>
      </c>
    </row>
    <row r="21" spans="1:13" x14ac:dyDescent="0.15">
      <c r="A21" s="1" t="s">
        <v>37</v>
      </c>
      <c r="B21" s="24" t="s">
        <v>29</v>
      </c>
      <c r="C21" s="24" t="s">
        <v>38</v>
      </c>
      <c r="E21" s="1">
        <v>55</v>
      </c>
      <c r="F21" s="1">
        <v>1</v>
      </c>
      <c r="J21" s="1" t="b">
        <v>0</v>
      </c>
      <c r="K21" s="49" t="s">
        <v>317</v>
      </c>
      <c r="L21" s="1" t="b">
        <f>isNumeralPnt(E21,F21)</f>
        <v>0</v>
      </c>
      <c r="M21" s="1" t="b">
        <f t="shared" si="0"/>
        <v>1</v>
      </c>
    </row>
    <row r="22" spans="1:13" x14ac:dyDescent="0.15">
      <c r="C22" s="24" t="s">
        <v>39</v>
      </c>
      <c r="E22" s="1">
        <v>55</v>
      </c>
      <c r="F22" s="1">
        <v>17</v>
      </c>
      <c r="J22" s="1" t="b">
        <v>0</v>
      </c>
      <c r="K22" s="49" t="s">
        <v>318</v>
      </c>
      <c r="L22" s="1" t="b">
        <f>isNumeralPnt(E22,F22)</f>
        <v>0</v>
      </c>
      <c r="M22" s="1" t="b">
        <f t="shared" si="0"/>
        <v>1</v>
      </c>
    </row>
    <row r="23" spans="1:13" x14ac:dyDescent="0.15">
      <c r="B23" s="24" t="s">
        <v>40</v>
      </c>
      <c r="C23" s="24" t="s">
        <v>42</v>
      </c>
      <c r="E23" s="25" t="s">
        <v>41</v>
      </c>
      <c r="J23" s="1" t="b">
        <v>0</v>
      </c>
      <c r="K23" s="49" t="s">
        <v>319</v>
      </c>
      <c r="L23" s="1" t="b">
        <f>isNumeralPnt(E23)</f>
        <v>0</v>
      </c>
      <c r="M23" s="1" t="b">
        <f t="shared" si="0"/>
        <v>1</v>
      </c>
    </row>
    <row r="24" spans="1:13" x14ac:dyDescent="0.15">
      <c r="C24" s="24" t="s">
        <v>43</v>
      </c>
      <c r="E24" s="1">
        <v>9</v>
      </c>
      <c r="J24" s="1" t="b">
        <v>1</v>
      </c>
      <c r="K24" s="49" t="s">
        <v>320</v>
      </c>
      <c r="L24" s="1" t="b">
        <f>isNumeralPnt(E24)</f>
        <v>1</v>
      </c>
      <c r="M24" s="1" t="b">
        <f t="shared" si="0"/>
        <v>1</v>
      </c>
    </row>
    <row r="25" spans="1:13" x14ac:dyDescent="0.15">
      <c r="B25" s="24" t="s">
        <v>20</v>
      </c>
      <c r="C25" s="24" t="s">
        <v>42</v>
      </c>
      <c r="E25" s="1">
        <v>2</v>
      </c>
      <c r="F25" s="1">
        <v>2</v>
      </c>
      <c r="J25" s="1" t="b">
        <v>0</v>
      </c>
      <c r="K25" s="49" t="s">
        <v>321</v>
      </c>
      <c r="L25" s="1" t="b">
        <f>isNumeralPnt(E25,F25)</f>
        <v>0</v>
      </c>
      <c r="M25" s="1" t="b">
        <f t="shared" si="0"/>
        <v>1</v>
      </c>
    </row>
    <row r="26" spans="1:13" x14ac:dyDescent="0.15">
      <c r="C26" s="24" t="s">
        <v>43</v>
      </c>
      <c r="E26" s="1">
        <v>1</v>
      </c>
      <c r="F26" s="1">
        <v>2</v>
      </c>
      <c r="J26" s="1" t="b">
        <v>1</v>
      </c>
      <c r="K26" s="49" t="s">
        <v>322</v>
      </c>
      <c r="L26" s="1" t="b">
        <f t="shared" ref="L26:L36" si="2">isNumeralPnt(E26,F26)</f>
        <v>1</v>
      </c>
      <c r="M26" s="1" t="b">
        <f t="shared" si="0"/>
        <v>1</v>
      </c>
    </row>
    <row r="27" spans="1:13" x14ac:dyDescent="0.15">
      <c r="C27" s="24" t="s">
        <v>46</v>
      </c>
      <c r="E27" s="1">
        <v>10.199999999999999</v>
      </c>
      <c r="F27" s="1">
        <v>2</v>
      </c>
      <c r="J27" s="1" t="b">
        <v>0</v>
      </c>
      <c r="K27" s="49" t="s">
        <v>323</v>
      </c>
      <c r="L27" s="1" t="b">
        <f t="shared" si="2"/>
        <v>0</v>
      </c>
      <c r="M27" s="1" t="b">
        <f t="shared" si="0"/>
        <v>1</v>
      </c>
    </row>
    <row r="28" spans="1:13" x14ac:dyDescent="0.15">
      <c r="C28" s="24" t="s">
        <v>47</v>
      </c>
      <c r="E28" s="1">
        <v>10.1</v>
      </c>
      <c r="F28" s="1">
        <v>2</v>
      </c>
      <c r="J28" s="1" t="b">
        <v>1</v>
      </c>
      <c r="K28" s="49" t="s">
        <v>324</v>
      </c>
      <c r="L28" s="1" t="b">
        <f t="shared" si="2"/>
        <v>1</v>
      </c>
      <c r="M28" s="1" t="b">
        <f t="shared" si="0"/>
        <v>1</v>
      </c>
    </row>
    <row r="29" spans="1:13" x14ac:dyDescent="0.15">
      <c r="B29" s="24" t="s">
        <v>21</v>
      </c>
      <c r="C29" s="24" t="s">
        <v>42</v>
      </c>
      <c r="E29" s="25" t="s">
        <v>41</v>
      </c>
      <c r="F29" s="1">
        <v>10</v>
      </c>
      <c r="J29" s="1" t="b">
        <v>0</v>
      </c>
      <c r="K29" s="49" t="s">
        <v>325</v>
      </c>
      <c r="L29" s="1" t="b">
        <f t="shared" si="2"/>
        <v>0</v>
      </c>
      <c r="M29" s="1" t="b">
        <f t="shared" si="0"/>
        <v>1</v>
      </c>
    </row>
    <row r="30" spans="1:13" x14ac:dyDescent="0.15">
      <c r="C30" s="24" t="s">
        <v>43</v>
      </c>
      <c r="E30" s="1">
        <v>9</v>
      </c>
      <c r="F30" s="1">
        <v>10</v>
      </c>
      <c r="J30" s="1" t="b">
        <v>1</v>
      </c>
      <c r="K30" s="49" t="s">
        <v>326</v>
      </c>
      <c r="L30" s="1" t="b">
        <f t="shared" si="2"/>
        <v>1</v>
      </c>
      <c r="M30" s="1" t="b">
        <f t="shared" si="0"/>
        <v>1</v>
      </c>
    </row>
    <row r="31" spans="1:13" x14ac:dyDescent="0.15">
      <c r="C31" s="24" t="s">
        <v>46</v>
      </c>
      <c r="E31" s="25" t="s">
        <v>48</v>
      </c>
      <c r="F31" s="1">
        <v>10</v>
      </c>
      <c r="J31" s="1" t="b">
        <v>0</v>
      </c>
      <c r="K31" s="49" t="s">
        <v>327</v>
      </c>
      <c r="L31" s="1" t="b">
        <f t="shared" si="2"/>
        <v>0</v>
      </c>
      <c r="M31" s="1" t="b">
        <f t="shared" si="0"/>
        <v>1</v>
      </c>
    </row>
    <row r="32" spans="1:13" x14ac:dyDescent="0.15">
      <c r="C32" s="24" t="s">
        <v>47</v>
      </c>
      <c r="E32" s="1">
        <v>90.9</v>
      </c>
      <c r="F32" s="1">
        <v>10</v>
      </c>
      <c r="J32" s="1" t="b">
        <v>1</v>
      </c>
      <c r="K32" s="49" t="s">
        <v>328</v>
      </c>
      <c r="L32" s="1" t="b">
        <f t="shared" si="2"/>
        <v>1</v>
      </c>
      <c r="M32" s="1" t="b">
        <f t="shared" si="0"/>
        <v>1</v>
      </c>
    </row>
    <row r="33" spans="1:13" x14ac:dyDescent="0.15">
      <c r="B33" s="24" t="s">
        <v>22</v>
      </c>
      <c r="C33" s="24" t="s">
        <v>42</v>
      </c>
      <c r="E33" s="25" t="s">
        <v>44</v>
      </c>
      <c r="F33" s="1">
        <v>16</v>
      </c>
      <c r="J33" s="1" t="b">
        <v>0</v>
      </c>
      <c r="K33" s="49" t="s">
        <v>329</v>
      </c>
      <c r="L33" s="1" t="b">
        <f t="shared" si="2"/>
        <v>0</v>
      </c>
      <c r="M33" s="1" t="b">
        <f t="shared" si="0"/>
        <v>1</v>
      </c>
    </row>
    <row r="34" spans="1:13" x14ac:dyDescent="0.15">
      <c r="C34" s="24" t="s">
        <v>43</v>
      </c>
      <c r="E34" s="25" t="s">
        <v>45</v>
      </c>
      <c r="F34" s="1">
        <v>16</v>
      </c>
      <c r="J34" s="1" t="b">
        <v>1</v>
      </c>
      <c r="K34" s="49" t="s">
        <v>330</v>
      </c>
      <c r="L34" s="1" t="b">
        <f t="shared" si="2"/>
        <v>1</v>
      </c>
      <c r="M34" s="1" t="b">
        <f t="shared" si="0"/>
        <v>1</v>
      </c>
    </row>
    <row r="35" spans="1:13" x14ac:dyDescent="0.15">
      <c r="C35" s="24" t="s">
        <v>46</v>
      </c>
      <c r="E35" s="25" t="s">
        <v>49</v>
      </c>
      <c r="F35" s="1">
        <v>16</v>
      </c>
      <c r="J35" s="1" t="b">
        <v>0</v>
      </c>
      <c r="K35" s="49" t="s">
        <v>331</v>
      </c>
      <c r="L35" s="1" t="b">
        <f t="shared" si="2"/>
        <v>0</v>
      </c>
      <c r="M35" s="1" t="b">
        <f t="shared" si="0"/>
        <v>1</v>
      </c>
    </row>
    <row r="36" spans="1:13" x14ac:dyDescent="0.15">
      <c r="C36" s="24" t="s">
        <v>47</v>
      </c>
      <c r="E36" s="25" t="s">
        <v>36</v>
      </c>
      <c r="F36" s="1">
        <v>16</v>
      </c>
      <c r="J36" s="1" t="b">
        <v>1</v>
      </c>
      <c r="K36" s="49" t="s">
        <v>332</v>
      </c>
      <c r="L36" s="1" t="b">
        <f t="shared" si="2"/>
        <v>1</v>
      </c>
      <c r="M36" s="1" t="b">
        <f t="shared" si="0"/>
        <v>1</v>
      </c>
    </row>
    <row r="37" spans="1:13" x14ac:dyDescent="0.15">
      <c r="A37" s="45" t="s">
        <v>243</v>
      </c>
      <c r="B37" s="24" t="s">
        <v>29</v>
      </c>
      <c r="C37" s="24" t="s">
        <v>38</v>
      </c>
      <c r="E37" s="1">
        <v>10.1</v>
      </c>
      <c r="F37" s="1">
        <v>1</v>
      </c>
      <c r="J37" s="1" t="e">
        <v>#VALUE!</v>
      </c>
      <c r="K37" s="49" t="s">
        <v>333</v>
      </c>
      <c r="L37" s="1" t="e">
        <f>convDecPntToNPnt(E37,F37)</f>
        <v>#VALUE!</v>
      </c>
      <c r="M37" s="1" t="b">
        <f t="shared" si="0"/>
        <v>1</v>
      </c>
    </row>
    <row r="38" spans="1:13" x14ac:dyDescent="0.15">
      <c r="C38" s="24" t="s">
        <v>39</v>
      </c>
      <c r="E38" s="1">
        <v>10.1</v>
      </c>
      <c r="F38" s="1">
        <v>17</v>
      </c>
      <c r="J38" s="1" t="e">
        <v>#VALUE!</v>
      </c>
      <c r="K38" s="49" t="s">
        <v>334</v>
      </c>
      <c r="L38" s="1" t="e">
        <f>convDecPntToNPnt(E38,F38)</f>
        <v>#VALUE!</v>
      </c>
      <c r="M38" s="1" t="b">
        <f t="shared" si="0"/>
        <v>1</v>
      </c>
    </row>
    <row r="39" spans="1:13" x14ac:dyDescent="0.15">
      <c r="B39" s="46" t="s">
        <v>244</v>
      </c>
      <c r="C39" s="46" t="s">
        <v>245</v>
      </c>
      <c r="E39" s="1">
        <v>10.1</v>
      </c>
      <c r="F39" s="1">
        <v>2</v>
      </c>
      <c r="G39" s="1">
        <v>0</v>
      </c>
      <c r="J39" s="1" t="s">
        <v>78</v>
      </c>
      <c r="K39" s="49" t="s">
        <v>335</v>
      </c>
      <c r="L39" s="1" t="str">
        <f>convDecPntToNPnt(E39,F39,G39)</f>
        <v>1010</v>
      </c>
      <c r="M39" s="1" t="b">
        <f t="shared" si="0"/>
        <v>1</v>
      </c>
    </row>
    <row r="40" spans="1:13" x14ac:dyDescent="0.15">
      <c r="C40" s="46" t="s">
        <v>246</v>
      </c>
      <c r="E40" s="1">
        <v>10.1</v>
      </c>
      <c r="F40" s="1">
        <v>2</v>
      </c>
      <c r="G40" s="1">
        <v>1</v>
      </c>
      <c r="J40" s="1" t="s">
        <v>248</v>
      </c>
      <c r="K40" s="49" t="s">
        <v>336</v>
      </c>
      <c r="L40" s="1" t="str">
        <f>convDecPntToNPnt(E40,F40,G40)</f>
        <v>1010.0</v>
      </c>
      <c r="M40" s="1" t="b">
        <f t="shared" si="0"/>
        <v>1</v>
      </c>
    </row>
    <row r="41" spans="1:13" x14ac:dyDescent="0.15">
      <c r="C41" s="46" t="s">
        <v>247</v>
      </c>
      <c r="E41" s="1">
        <v>10.1</v>
      </c>
      <c r="F41" s="1">
        <v>2</v>
      </c>
      <c r="J41" s="1" t="s">
        <v>249</v>
      </c>
      <c r="K41" s="49" t="s">
        <v>337</v>
      </c>
      <c r="L41" s="1" t="str">
        <f t="shared" ref="L41:L49" si="3">convDecPntToNPnt(E41,F41)</f>
        <v>1010.000110011001100110011001100110011001100110011001100110011001100110011001100110011001100110011001100110011001100110011001100110011001100110011001100110011001100110011001100110011001100110011001100110011001100110011001100110011001100110011001100110011001100</v>
      </c>
      <c r="M41" s="1" t="b">
        <f t="shared" si="0"/>
        <v>1</v>
      </c>
    </row>
    <row r="42" spans="1:13" x14ac:dyDescent="0.15">
      <c r="B42" s="47" t="s">
        <v>250</v>
      </c>
      <c r="C42" s="47" t="s">
        <v>251</v>
      </c>
      <c r="E42" s="1">
        <v>7</v>
      </c>
      <c r="F42" s="1">
        <v>2</v>
      </c>
      <c r="J42" s="1" t="s">
        <v>255</v>
      </c>
      <c r="K42" s="49" t="s">
        <v>338</v>
      </c>
      <c r="L42" s="1" t="str">
        <f t="shared" si="3"/>
        <v>111</v>
      </c>
      <c r="M42" s="1" t="b">
        <f t="shared" si="0"/>
        <v>1</v>
      </c>
    </row>
    <row r="43" spans="1:13" x14ac:dyDescent="0.15">
      <c r="C43" s="47" t="s">
        <v>252</v>
      </c>
      <c r="E43" s="1">
        <v>0.125</v>
      </c>
      <c r="F43" s="1">
        <v>2</v>
      </c>
      <c r="J43" s="1" t="s">
        <v>256</v>
      </c>
      <c r="K43" s="49" t="s">
        <v>339</v>
      </c>
      <c r="L43" s="1" t="str">
        <f t="shared" si="3"/>
        <v>0.001</v>
      </c>
      <c r="M43" s="1" t="b">
        <f t="shared" si="0"/>
        <v>1</v>
      </c>
    </row>
    <row r="44" spans="1:13" x14ac:dyDescent="0.15">
      <c r="C44" s="47" t="s">
        <v>253</v>
      </c>
      <c r="E44" s="1">
        <v>0.53</v>
      </c>
      <c r="F44" s="1">
        <v>2</v>
      </c>
      <c r="J44" s="1" t="s">
        <v>257</v>
      </c>
      <c r="K44" s="49" t="s">
        <v>340</v>
      </c>
      <c r="L44" s="1" t="str">
        <f t="shared" si="3"/>
        <v>0.100001111010111000010100011110101110000101000111101011100001010001111010111000010100011110101110000101000111101011100001010001111010111000010100011110101110000101000111101011100001010001111010111000010100011110101110000101000111101011100001010001111010111</v>
      </c>
      <c r="M44" s="1" t="b">
        <f t="shared" si="0"/>
        <v>1</v>
      </c>
    </row>
    <row r="45" spans="1:13" x14ac:dyDescent="0.15">
      <c r="C45" s="47" t="s">
        <v>254</v>
      </c>
      <c r="E45" s="1">
        <v>7.53</v>
      </c>
      <c r="F45" s="1">
        <v>2</v>
      </c>
      <c r="J45" s="1" t="s">
        <v>258</v>
      </c>
      <c r="K45" s="49" t="s">
        <v>341</v>
      </c>
      <c r="L45" s="1" t="str">
        <f t="shared" si="3"/>
        <v>111.100001111010111000010100011110101110000101000111101011100001010001111010111000010100011110101110000101000111101011100001010001111010111000010100011110101110000101000111101011100001010001111010111000010100011110101110000101000111101011100001010001111010111</v>
      </c>
      <c r="M45" s="1" t="b">
        <f t="shared" si="0"/>
        <v>1</v>
      </c>
    </row>
    <row r="46" spans="1:13" x14ac:dyDescent="0.15">
      <c r="B46" s="48" t="s">
        <v>264</v>
      </c>
      <c r="C46" s="47" t="s">
        <v>251</v>
      </c>
      <c r="E46" s="1">
        <v>10</v>
      </c>
      <c r="F46" s="1">
        <v>10</v>
      </c>
      <c r="J46" s="1" t="s">
        <v>87</v>
      </c>
      <c r="K46" s="49" t="s">
        <v>342</v>
      </c>
      <c r="L46" s="1" t="str">
        <f t="shared" si="3"/>
        <v>10</v>
      </c>
      <c r="M46" s="1" t="b">
        <f t="shared" si="0"/>
        <v>1</v>
      </c>
    </row>
    <row r="47" spans="1:13" x14ac:dyDescent="0.15">
      <c r="C47" s="49" t="s">
        <v>270</v>
      </c>
      <c r="E47" s="1">
        <v>0.3</v>
      </c>
      <c r="F47" s="1">
        <v>10</v>
      </c>
      <c r="J47" s="1" t="s">
        <v>265</v>
      </c>
      <c r="K47" s="49" t="s">
        <v>343</v>
      </c>
      <c r="L47" s="1" t="str">
        <f t="shared" si="3"/>
        <v>0.3</v>
      </c>
      <c r="M47" s="1" t="b">
        <f t="shared" si="0"/>
        <v>1</v>
      </c>
    </row>
    <row r="48" spans="1:13" x14ac:dyDescent="0.15">
      <c r="B48" s="47" t="s">
        <v>259</v>
      </c>
      <c r="C48" s="47" t="s">
        <v>251</v>
      </c>
      <c r="E48" s="1">
        <v>65535</v>
      </c>
      <c r="F48" s="1">
        <v>16</v>
      </c>
      <c r="J48" s="1" t="s">
        <v>260</v>
      </c>
      <c r="K48" s="49" t="s">
        <v>344</v>
      </c>
      <c r="L48" s="1" t="str">
        <f t="shared" si="3"/>
        <v>FFFF</v>
      </c>
      <c r="M48" s="1" t="b">
        <f t="shared" si="0"/>
        <v>1</v>
      </c>
    </row>
    <row r="49" spans="1:13" x14ac:dyDescent="0.15">
      <c r="C49" s="47" t="s">
        <v>252</v>
      </c>
      <c r="E49" s="1">
        <v>6.25E-2</v>
      </c>
      <c r="F49" s="1">
        <v>16</v>
      </c>
      <c r="J49" s="1" t="s">
        <v>261</v>
      </c>
      <c r="K49" s="49" t="s">
        <v>345</v>
      </c>
      <c r="L49" s="1" t="str">
        <f t="shared" si="3"/>
        <v>0.1</v>
      </c>
      <c r="M49" s="1" t="b">
        <f t="shared" si="0"/>
        <v>1</v>
      </c>
    </row>
    <row r="50" spans="1:13" x14ac:dyDescent="0.15">
      <c r="C50" s="47" t="s">
        <v>253</v>
      </c>
      <c r="E50" s="1">
        <v>6.2E-2</v>
      </c>
      <c r="F50" s="1">
        <v>16</v>
      </c>
      <c r="J50" s="1" t="s">
        <v>262</v>
      </c>
      <c r="K50" s="49" t="s">
        <v>346</v>
      </c>
      <c r="L50" s="1" t="str">
        <f t="shared" ref="L50:L51" si="4">convDecPntToNPnt(E50,F50)</f>
        <v>0.0FDF3B645A1CAC083126E978D4FDF3B645A1CAC083126E978D4FDF3B645A1CAC083126E978D4FDF3B645A1CAC083126E978D4FDF3B645A1CAC083126E978D4FDF3B645A1CAC083126E978D4FDF3B645A1CAC083126E978D4FDF3B645A1CAC083126E978D4FDF3B645A1CAC083126E978D4FDF3B645A1CAC083126E978D4FDF3</v>
      </c>
      <c r="M50" s="1" t="b">
        <f t="shared" si="0"/>
        <v>1</v>
      </c>
    </row>
    <row r="51" spans="1:13" x14ac:dyDescent="0.15">
      <c r="C51" s="47" t="s">
        <v>254</v>
      </c>
      <c r="E51" s="1">
        <v>65535.061999999998</v>
      </c>
      <c r="F51" s="1">
        <v>16</v>
      </c>
      <c r="J51" s="1" t="s">
        <v>263</v>
      </c>
      <c r="K51" s="49" t="s">
        <v>347</v>
      </c>
      <c r="L51" s="1" t="str">
        <f t="shared" si="4"/>
        <v>FFFF.0FDF3B645A1CAC083126E978D4FDF3B645A1CAC083126E978D4FDF3B645A1CAC083126E978D4FDF3B645A1CAC083126E978D4FDF3B645A1CAC083126E978D4FDF3B645A1CAC083126E978D4FDF3B645A1CAC083126E978D4FDF3B645A1CAC083126E978D4FDF3B645A1CAC083126E978D4FDF3B645A1CAC083126E978D4FDF3</v>
      </c>
      <c r="M51" s="1" t="b">
        <f t="shared" si="0"/>
        <v>1</v>
      </c>
    </row>
    <row r="52" spans="1:13" x14ac:dyDescent="0.15">
      <c r="A52" s="51" t="s">
        <v>269</v>
      </c>
      <c r="B52" s="24" t="s">
        <v>29</v>
      </c>
      <c r="E52" s="50" t="s">
        <v>287</v>
      </c>
      <c r="F52" s="1">
        <v>1</v>
      </c>
      <c r="J52" s="1" t="e">
        <v>#VALUE!</v>
      </c>
      <c r="K52" s="49" t="s">
        <v>348</v>
      </c>
      <c r="L52" s="1" t="e">
        <f>convNPntToDecPnt(E52,F52)</f>
        <v>#VALUE!</v>
      </c>
      <c r="M52" s="1" t="b">
        <f t="shared" si="0"/>
        <v>1</v>
      </c>
    </row>
    <row r="53" spans="1:13" x14ac:dyDescent="0.15">
      <c r="E53" s="50" t="s">
        <v>288</v>
      </c>
      <c r="F53" s="1">
        <v>17</v>
      </c>
      <c r="J53" s="1" t="e">
        <v>#VALUE!</v>
      </c>
      <c r="K53" s="49" t="s">
        <v>349</v>
      </c>
      <c r="L53" s="1" t="e">
        <f>convNPntToDecPnt(E53,F53)</f>
        <v>#VALUE!</v>
      </c>
      <c r="M53" s="1" t="b">
        <f t="shared" si="0"/>
        <v>1</v>
      </c>
    </row>
    <row r="54" spans="1:13" x14ac:dyDescent="0.15">
      <c r="B54" s="49" t="s">
        <v>279</v>
      </c>
      <c r="C54" s="49" t="s">
        <v>276</v>
      </c>
      <c r="E54" s="1">
        <v>1.01</v>
      </c>
      <c r="F54" s="1">
        <v>3</v>
      </c>
      <c r="G54" s="1">
        <v>-1</v>
      </c>
      <c r="J54" s="1" t="e">
        <v>#VALUE!</v>
      </c>
      <c r="K54" s="49" t="s">
        <v>350</v>
      </c>
      <c r="L54" s="1" t="e">
        <f>convNPntToDecPnt(E54,F54,G54)</f>
        <v>#VALUE!</v>
      </c>
      <c r="M54" s="1" t="b">
        <f t="shared" ref="M54:M64" si="5">getText(J54)=getText(L54)</f>
        <v>1</v>
      </c>
    </row>
    <row r="55" spans="1:13" x14ac:dyDescent="0.15">
      <c r="B55" s="49"/>
      <c r="C55" s="49" t="s">
        <v>278</v>
      </c>
      <c r="E55" s="1">
        <v>1.01</v>
      </c>
      <c r="F55" s="1">
        <v>3</v>
      </c>
      <c r="G55" s="1">
        <v>0</v>
      </c>
      <c r="J55" s="1" t="s">
        <v>139</v>
      </c>
      <c r="K55" s="49" t="s">
        <v>351</v>
      </c>
      <c r="L55" s="1" t="str">
        <f>convNPntToDecPnt(E55,F55,G55)</f>
        <v>1</v>
      </c>
      <c r="M55" s="1" t="b">
        <f t="shared" si="5"/>
        <v>1</v>
      </c>
    </row>
    <row r="56" spans="1:13" x14ac:dyDescent="0.15">
      <c r="B56" s="1"/>
      <c r="C56" s="49" t="s">
        <v>277</v>
      </c>
      <c r="E56" s="1">
        <v>1.01</v>
      </c>
      <c r="F56" s="1">
        <v>3</v>
      </c>
      <c r="G56" s="1">
        <v>1</v>
      </c>
      <c r="J56" s="1" t="s">
        <v>281</v>
      </c>
      <c r="K56" s="49" t="s">
        <v>352</v>
      </c>
      <c r="L56" s="1" t="str">
        <f>convNPntToDecPnt(E56,F56,G56)</f>
        <v>1.1</v>
      </c>
      <c r="M56" s="1" t="b">
        <f t="shared" si="5"/>
        <v>1</v>
      </c>
    </row>
    <row r="57" spans="1:13" x14ac:dyDescent="0.15">
      <c r="C57" s="49" t="s">
        <v>275</v>
      </c>
      <c r="E57" s="1">
        <v>1.01</v>
      </c>
      <c r="F57" s="1">
        <v>3</v>
      </c>
      <c r="G57" s="1">
        <v>3</v>
      </c>
      <c r="J57" s="1" t="s">
        <v>282</v>
      </c>
      <c r="K57" s="49" t="s">
        <v>353</v>
      </c>
      <c r="L57" s="1" t="str">
        <f>convNPntToDecPnt(E57,F57,G57)</f>
        <v>1.111</v>
      </c>
      <c r="M57" s="1" t="b">
        <f t="shared" si="5"/>
        <v>1</v>
      </c>
    </row>
    <row r="58" spans="1:13" x14ac:dyDescent="0.15">
      <c r="C58" s="49" t="s">
        <v>280</v>
      </c>
      <c r="E58" s="1">
        <v>1.01</v>
      </c>
      <c r="F58" s="1">
        <v>3</v>
      </c>
      <c r="J58" s="1" t="s">
        <v>283</v>
      </c>
      <c r="K58" s="49" t="s">
        <v>354</v>
      </c>
      <c r="L58" s="1" t="str">
        <f>convNPntToDecPnt(E58,F58)</f>
        <v>1.111111111111111111111111111111111111111111111111111111111111111111111111111111111111111111111111111111111111111111111111111111111111111111111111111111111111111111111111111111111111111111111111111111111111111111111111111111111111111111111111111111111111111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M58" s="1" t="b">
        <f t="shared" si="5"/>
        <v>1</v>
      </c>
    </row>
    <row r="59" spans="1:13" x14ac:dyDescent="0.15">
      <c r="B59" s="49" t="s">
        <v>279</v>
      </c>
      <c r="C59" s="49" t="s">
        <v>274</v>
      </c>
      <c r="E59" s="1">
        <v>0.01</v>
      </c>
      <c r="F59" s="1">
        <v>6</v>
      </c>
      <c r="G59" s="1">
        <v>2</v>
      </c>
      <c r="J59" s="1" t="s">
        <v>284</v>
      </c>
      <c r="K59" s="49" t="s">
        <v>355</v>
      </c>
      <c r="L59" s="1" t="str">
        <f>convNPntToDecPnt(E59,F59,G59)</f>
        <v>0.0266</v>
      </c>
      <c r="M59" s="1" t="b">
        <f t="shared" si="5"/>
        <v>1</v>
      </c>
    </row>
    <row r="60" spans="1:13" x14ac:dyDescent="0.15">
      <c r="C60" s="49" t="s">
        <v>275</v>
      </c>
      <c r="E60" s="1">
        <v>0.01</v>
      </c>
      <c r="F60" s="1">
        <v>6</v>
      </c>
      <c r="G60" s="1">
        <v>3</v>
      </c>
      <c r="J60" s="1" t="s">
        <v>285</v>
      </c>
      <c r="K60" s="49" t="s">
        <v>356</v>
      </c>
      <c r="L60" s="1" t="str">
        <f>convNPntToDecPnt(E60,F60,G60)</f>
        <v>0.027666</v>
      </c>
      <c r="M60" s="1" t="b">
        <f t="shared" si="5"/>
        <v>1</v>
      </c>
    </row>
    <row r="61" spans="1:13" x14ac:dyDescent="0.15">
      <c r="B61" s="1"/>
      <c r="C61" s="49" t="s">
        <v>280</v>
      </c>
      <c r="E61" s="1">
        <v>0.01</v>
      </c>
      <c r="F61" s="1">
        <v>6</v>
      </c>
      <c r="J61" s="1" t="s">
        <v>286</v>
      </c>
      <c r="K61" s="49" t="s">
        <v>357</v>
      </c>
      <c r="L61" s="1" t="str">
        <f>convNPntToDecPnt(E61,F61)</f>
        <v>0.027777777777777777777777777777777777777777777777777777777777777777777777777777777777777777777777777777777777777777777777777777777777777777777777777777777777777777777777777777777777777777777777777777777777777777777777777777777777777777777777777777777777777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M61" s="1" t="b">
        <f t="shared" si="5"/>
        <v>1</v>
      </c>
    </row>
    <row r="62" spans="1:13" x14ac:dyDescent="0.15">
      <c r="B62" s="49" t="s">
        <v>271</v>
      </c>
      <c r="C62" s="47" t="s">
        <v>251</v>
      </c>
      <c r="E62" s="1">
        <v>10</v>
      </c>
      <c r="F62" s="1">
        <v>2</v>
      </c>
      <c r="J62" s="1" t="s">
        <v>295</v>
      </c>
      <c r="K62" s="49" t="s">
        <v>358</v>
      </c>
      <c r="L62" s="1" t="str">
        <f>convNPntToDecPnt(E62,F62)</f>
        <v>2</v>
      </c>
      <c r="M62" s="1" t="b">
        <f t="shared" si="5"/>
        <v>1</v>
      </c>
    </row>
    <row r="63" spans="1:13" x14ac:dyDescent="0.15">
      <c r="B63" s="49"/>
      <c r="C63" s="49" t="s">
        <v>270</v>
      </c>
      <c r="E63" s="1">
        <v>0.1</v>
      </c>
      <c r="F63" s="1">
        <v>2</v>
      </c>
      <c r="J63" s="1" t="s">
        <v>296</v>
      </c>
      <c r="K63" s="49" t="s">
        <v>359</v>
      </c>
      <c r="L63" s="1" t="str">
        <f>convNPntToDecPnt(E63,F63)</f>
        <v>0.5</v>
      </c>
      <c r="M63" s="1" t="b">
        <f t="shared" si="5"/>
        <v>1</v>
      </c>
    </row>
    <row r="64" spans="1:13" x14ac:dyDescent="0.15">
      <c r="C64" s="49" t="s">
        <v>290</v>
      </c>
      <c r="E64" s="50" t="s">
        <v>289</v>
      </c>
      <c r="F64" s="1">
        <v>2</v>
      </c>
      <c r="J64" s="1" t="s">
        <v>297</v>
      </c>
      <c r="K64" s="49" t="s">
        <v>360</v>
      </c>
      <c r="L64" s="1" t="str">
        <f>convNPntToDecPnt(E64,F64)</f>
        <v>2.5</v>
      </c>
      <c r="M64" s="1" t="b">
        <f t="shared" si="5"/>
        <v>1</v>
      </c>
    </row>
    <row r="65" spans="1:13" x14ac:dyDescent="0.15">
      <c r="B65" s="49" t="s">
        <v>272</v>
      </c>
      <c r="C65" s="47" t="s">
        <v>251</v>
      </c>
      <c r="E65" s="1">
        <v>10</v>
      </c>
      <c r="F65" s="1">
        <v>10</v>
      </c>
      <c r="J65" s="1" t="s">
        <v>87</v>
      </c>
      <c r="K65" s="49" t="s">
        <v>361</v>
      </c>
      <c r="L65" s="1" t="str">
        <f>convNPntToDecPnt(E65,F65)</f>
        <v>10</v>
      </c>
      <c r="M65" s="1" t="b">
        <f t="shared" ref="M65:M70" si="6">getText(J65)=getText(L65)</f>
        <v>1</v>
      </c>
    </row>
    <row r="66" spans="1:13" x14ac:dyDescent="0.15">
      <c r="C66" s="49" t="s">
        <v>270</v>
      </c>
      <c r="E66" s="1">
        <v>0.1</v>
      </c>
      <c r="F66" s="1">
        <v>10</v>
      </c>
      <c r="J66" s="1" t="s">
        <v>261</v>
      </c>
      <c r="K66" s="49" t="s">
        <v>362</v>
      </c>
      <c r="L66" s="1" t="str">
        <f>convNPntToDecPnt(E66,F66)</f>
        <v>0.1</v>
      </c>
      <c r="M66" s="1" t="b">
        <f t="shared" si="6"/>
        <v>1</v>
      </c>
    </row>
    <row r="67" spans="1:13" x14ac:dyDescent="0.15">
      <c r="C67" s="49" t="s">
        <v>290</v>
      </c>
      <c r="E67" s="50" t="s">
        <v>289</v>
      </c>
      <c r="F67" s="1">
        <v>10</v>
      </c>
      <c r="J67" s="1" t="s">
        <v>232</v>
      </c>
      <c r="K67" s="49" t="s">
        <v>363</v>
      </c>
      <c r="L67" s="1" t="str">
        <f>convNPntToDecPnt(E67,F67)</f>
        <v>10.1</v>
      </c>
      <c r="M67" s="1" t="b">
        <f t="shared" si="6"/>
        <v>1</v>
      </c>
    </row>
    <row r="68" spans="1:13" x14ac:dyDescent="0.15">
      <c r="B68" s="49" t="s">
        <v>273</v>
      </c>
      <c r="C68" s="47" t="s">
        <v>251</v>
      </c>
      <c r="E68" s="50" t="s">
        <v>291</v>
      </c>
      <c r="F68" s="1">
        <v>16</v>
      </c>
      <c r="J68" s="1" t="s">
        <v>292</v>
      </c>
      <c r="K68" s="49" t="s">
        <v>364</v>
      </c>
      <c r="L68" s="1" t="str">
        <f>convNPntToDecPnt(E68,F68)</f>
        <v>16</v>
      </c>
      <c r="M68" s="1" t="b">
        <f t="shared" si="6"/>
        <v>1</v>
      </c>
    </row>
    <row r="69" spans="1:13" x14ac:dyDescent="0.15">
      <c r="C69" s="49" t="s">
        <v>270</v>
      </c>
      <c r="E69" s="1">
        <v>0.1</v>
      </c>
      <c r="F69" s="1">
        <v>16</v>
      </c>
      <c r="J69" s="1" t="s">
        <v>293</v>
      </c>
      <c r="K69" s="49" t="s">
        <v>365</v>
      </c>
      <c r="L69" s="1" t="str">
        <f>convNPntToDecPnt(E69,F69)</f>
        <v>0.0625</v>
      </c>
      <c r="M69" s="1" t="b">
        <f t="shared" si="6"/>
        <v>1</v>
      </c>
    </row>
    <row r="70" spans="1:13" x14ac:dyDescent="0.15">
      <c r="C70" s="49" t="s">
        <v>290</v>
      </c>
      <c r="E70" s="50" t="s">
        <v>289</v>
      </c>
      <c r="F70" s="1">
        <v>16</v>
      </c>
      <c r="J70" s="1" t="s">
        <v>294</v>
      </c>
      <c r="K70" s="49" t="s">
        <v>366</v>
      </c>
      <c r="L70" s="1" t="str">
        <f>convNPntToDecPnt(E70,F70)</f>
        <v>16.0625</v>
      </c>
      <c r="M70" s="1" t="b">
        <f t="shared" si="6"/>
        <v>1</v>
      </c>
    </row>
    <row r="71" spans="1:13" x14ac:dyDescent="0.15">
      <c r="A71" s="1" t="s">
        <v>50</v>
      </c>
      <c r="B71" s="24" t="s">
        <v>29</v>
      </c>
      <c r="C71" s="24" t="s">
        <v>38</v>
      </c>
      <c r="E71" s="1">
        <v>9</v>
      </c>
      <c r="F71" s="1">
        <v>1</v>
      </c>
      <c r="G71" s="1">
        <v>1</v>
      </c>
      <c r="J71" s="1" t="e">
        <v>#VALUE!</v>
      </c>
      <c r="K71" s="49" t="s">
        <v>367</v>
      </c>
      <c r="L71" s="41" t="e">
        <f>addNPntNPnt(E71,F71,G71)</f>
        <v>#VALUE!</v>
      </c>
      <c r="M71" s="1" t="b">
        <f t="shared" ref="M71:M137" si="7">getText(J71)=getText(L71)</f>
        <v>1</v>
      </c>
    </row>
    <row r="72" spans="1:13" x14ac:dyDescent="0.15">
      <c r="C72" s="24" t="s">
        <v>39</v>
      </c>
      <c r="E72" s="1">
        <v>9</v>
      </c>
      <c r="F72" s="1">
        <v>1</v>
      </c>
      <c r="G72" s="1">
        <v>17</v>
      </c>
      <c r="J72" s="1" t="e">
        <v>#VALUE!</v>
      </c>
      <c r="K72" s="49" t="s">
        <v>368</v>
      </c>
      <c r="L72" s="41" t="e">
        <f>addNPntNPnt(E72,F72,G72)</f>
        <v>#VALUE!</v>
      </c>
      <c r="M72" s="1" t="b">
        <f t="shared" si="7"/>
        <v>1</v>
      </c>
    </row>
    <row r="73" spans="1:13" x14ac:dyDescent="0.15">
      <c r="B73" s="24" t="s">
        <v>40</v>
      </c>
      <c r="C73" s="24" t="s">
        <v>42</v>
      </c>
      <c r="E73" s="27" t="s">
        <v>51</v>
      </c>
      <c r="F73" s="1">
        <v>1</v>
      </c>
      <c r="J73" s="1" t="e">
        <v>#VALUE!</v>
      </c>
      <c r="K73" s="49" t="s">
        <v>369</v>
      </c>
      <c r="L73" s="41" t="e">
        <f>addNPntNPnt(E73,F73)</f>
        <v>#VALUE!</v>
      </c>
      <c r="M73" s="1" t="b">
        <f t="shared" si="7"/>
        <v>1</v>
      </c>
    </row>
    <row r="74" spans="1:13" x14ac:dyDescent="0.15">
      <c r="C74" s="24" t="s">
        <v>43</v>
      </c>
      <c r="E74" s="1">
        <v>9</v>
      </c>
      <c r="F74" s="1">
        <v>1</v>
      </c>
      <c r="J74" s="1" t="s">
        <v>87</v>
      </c>
      <c r="K74" s="49" t="s">
        <v>370</v>
      </c>
      <c r="L74" s="41" t="str">
        <f>addNPntNPnt(E74,F74)</f>
        <v>10</v>
      </c>
      <c r="M74" s="1" t="b">
        <f t="shared" si="7"/>
        <v>1</v>
      </c>
    </row>
    <row r="75" spans="1:13" x14ac:dyDescent="0.15">
      <c r="B75" s="28" t="s">
        <v>52</v>
      </c>
      <c r="C75" s="28" t="s">
        <v>54</v>
      </c>
      <c r="E75" s="1">
        <v>1</v>
      </c>
      <c r="F75" s="1">
        <v>1</v>
      </c>
      <c r="G75" s="1">
        <v>2</v>
      </c>
      <c r="J75" s="1" t="s">
        <v>87</v>
      </c>
      <c r="K75" s="49" t="s">
        <v>371</v>
      </c>
      <c r="L75" s="41" t="str">
        <f t="shared" ref="L75:L88" si="8">addNPntNPnt(E75,F75,G75)</f>
        <v>10</v>
      </c>
      <c r="M75" s="1" t="b">
        <f t="shared" si="7"/>
        <v>1</v>
      </c>
    </row>
    <row r="76" spans="1:13" x14ac:dyDescent="0.15">
      <c r="C76" s="28" t="s">
        <v>53</v>
      </c>
      <c r="E76" s="1">
        <v>1</v>
      </c>
      <c r="F76" s="26">
        <v>-1</v>
      </c>
      <c r="G76" s="1">
        <v>2</v>
      </c>
      <c r="J76" s="1" t="s">
        <v>88</v>
      </c>
      <c r="K76" s="49" t="s">
        <v>372</v>
      </c>
      <c r="L76" s="41" t="str">
        <f>addNPntNPnt(E76,F76,G76)</f>
        <v>0</v>
      </c>
      <c r="M76" s="1" t="b">
        <f t="shared" si="7"/>
        <v>1</v>
      </c>
    </row>
    <row r="77" spans="1:13" x14ac:dyDescent="0.15">
      <c r="C77" s="28" t="s">
        <v>55</v>
      </c>
      <c r="E77" s="1">
        <v>-1</v>
      </c>
      <c r="F77" s="1">
        <v>1</v>
      </c>
      <c r="G77" s="1">
        <v>2</v>
      </c>
      <c r="J77" s="1" t="s">
        <v>88</v>
      </c>
      <c r="K77" s="49" t="s">
        <v>373</v>
      </c>
      <c r="L77" s="41" t="str">
        <f>addNPntNPnt(E77,F77,G77)</f>
        <v>0</v>
      </c>
      <c r="M77" s="1" t="b">
        <f t="shared" si="7"/>
        <v>1</v>
      </c>
    </row>
    <row r="78" spans="1:13" x14ac:dyDescent="0.15">
      <c r="C78" s="28" t="s">
        <v>56</v>
      </c>
      <c r="E78" s="1">
        <v>-1</v>
      </c>
      <c r="F78" s="1">
        <v>-1</v>
      </c>
      <c r="G78" s="1">
        <v>2</v>
      </c>
      <c r="J78" s="1" t="s">
        <v>89</v>
      </c>
      <c r="K78" s="49" t="s">
        <v>374</v>
      </c>
      <c r="L78" s="41" t="str">
        <f t="shared" si="8"/>
        <v>-10</v>
      </c>
      <c r="M78" s="1" t="b">
        <f t="shared" si="7"/>
        <v>1</v>
      </c>
    </row>
    <row r="79" spans="1:13" x14ac:dyDescent="0.15">
      <c r="C79" s="28" t="s">
        <v>57</v>
      </c>
      <c r="E79" s="1">
        <v>11.1</v>
      </c>
      <c r="F79" s="1">
        <v>0.1</v>
      </c>
      <c r="G79" s="1">
        <v>2</v>
      </c>
      <c r="J79" s="1" t="s">
        <v>90</v>
      </c>
      <c r="K79" s="49" t="s">
        <v>375</v>
      </c>
      <c r="L79" s="41" t="str">
        <f t="shared" si="8"/>
        <v>100</v>
      </c>
      <c r="M79" s="1" t="b">
        <f t="shared" si="7"/>
        <v>1</v>
      </c>
    </row>
    <row r="80" spans="1:13" x14ac:dyDescent="0.15">
      <c r="C80" s="28" t="s">
        <v>58</v>
      </c>
      <c r="E80" s="1">
        <v>10.199999999999999</v>
      </c>
      <c r="F80" s="1">
        <v>0.1</v>
      </c>
      <c r="G80" s="1">
        <v>2</v>
      </c>
      <c r="J80" s="1" t="e">
        <v>#VALUE!</v>
      </c>
      <c r="K80" s="49" t="s">
        <v>376</v>
      </c>
      <c r="L80" s="41" t="e">
        <f t="shared" si="8"/>
        <v>#VALUE!</v>
      </c>
      <c r="M80" s="1" t="b">
        <f t="shared" si="7"/>
        <v>1</v>
      </c>
    </row>
    <row r="81" spans="1:14" x14ac:dyDescent="0.15">
      <c r="E81" s="1">
        <v>11.1</v>
      </c>
      <c r="F81" s="1">
        <v>0.2</v>
      </c>
      <c r="G81" s="1">
        <v>2</v>
      </c>
      <c r="J81" s="1" t="e">
        <v>#VALUE!</v>
      </c>
      <c r="K81" s="49" t="s">
        <v>377</v>
      </c>
      <c r="L81" s="41" t="e">
        <f t="shared" si="8"/>
        <v>#VALUE!</v>
      </c>
      <c r="M81" s="1" t="b">
        <f t="shared" si="7"/>
        <v>1</v>
      </c>
    </row>
    <row r="82" spans="1:14" x14ac:dyDescent="0.15">
      <c r="B82" s="28" t="s">
        <v>59</v>
      </c>
      <c r="C82" s="28" t="s">
        <v>54</v>
      </c>
      <c r="E82" s="1">
        <v>9</v>
      </c>
      <c r="F82" s="1">
        <v>9</v>
      </c>
      <c r="G82" s="1">
        <v>10</v>
      </c>
      <c r="J82" s="1" t="s">
        <v>91</v>
      </c>
      <c r="K82" s="49" t="s">
        <v>378</v>
      </c>
      <c r="L82" s="41" t="str">
        <f t="shared" si="8"/>
        <v>18</v>
      </c>
      <c r="M82" s="1" t="b">
        <f t="shared" si="7"/>
        <v>1</v>
      </c>
    </row>
    <row r="83" spans="1:14" x14ac:dyDescent="0.15">
      <c r="C83" s="28" t="s">
        <v>53</v>
      </c>
      <c r="E83" s="1">
        <v>9</v>
      </c>
      <c r="F83" s="26">
        <v>-9</v>
      </c>
      <c r="G83" s="1">
        <v>10</v>
      </c>
      <c r="J83" s="1" t="s">
        <v>88</v>
      </c>
      <c r="K83" s="49" t="s">
        <v>379</v>
      </c>
      <c r="L83" s="41" t="str">
        <f t="shared" si="8"/>
        <v>0</v>
      </c>
      <c r="M83" s="1" t="b">
        <f t="shared" si="7"/>
        <v>1</v>
      </c>
    </row>
    <row r="84" spans="1:14" x14ac:dyDescent="0.15">
      <c r="C84" s="28" t="s">
        <v>55</v>
      </c>
      <c r="E84" s="1">
        <v>-9</v>
      </c>
      <c r="F84" s="1">
        <v>9</v>
      </c>
      <c r="G84" s="1">
        <v>10</v>
      </c>
      <c r="J84" s="1" t="s">
        <v>88</v>
      </c>
      <c r="K84" s="49" t="s">
        <v>380</v>
      </c>
      <c r="L84" s="41" t="str">
        <f t="shared" si="8"/>
        <v>0</v>
      </c>
      <c r="M84" s="1" t="b">
        <f t="shared" si="7"/>
        <v>1</v>
      </c>
      <c r="N84" s="26"/>
    </row>
    <row r="85" spans="1:14" x14ac:dyDescent="0.15">
      <c r="C85" s="28" t="s">
        <v>56</v>
      </c>
      <c r="E85" s="1">
        <v>-9</v>
      </c>
      <c r="F85" s="1">
        <v>-9</v>
      </c>
      <c r="G85" s="1">
        <v>10</v>
      </c>
      <c r="J85" s="1" t="s">
        <v>92</v>
      </c>
      <c r="K85" s="49" t="s">
        <v>381</v>
      </c>
      <c r="L85" s="41" t="str">
        <f t="shared" si="8"/>
        <v>-18</v>
      </c>
      <c r="M85" s="1" t="b">
        <f t="shared" si="7"/>
        <v>1</v>
      </c>
    </row>
    <row r="86" spans="1:14" x14ac:dyDescent="0.15">
      <c r="C86" s="28" t="s">
        <v>57</v>
      </c>
      <c r="E86" s="1">
        <v>99.9</v>
      </c>
      <c r="F86" s="1">
        <v>0.9</v>
      </c>
      <c r="G86" s="1">
        <v>10</v>
      </c>
      <c r="J86" s="1" t="s">
        <v>93</v>
      </c>
      <c r="K86" s="49" t="s">
        <v>382</v>
      </c>
      <c r="L86" s="41" t="str">
        <f t="shared" si="8"/>
        <v>100.8</v>
      </c>
      <c r="M86" s="1" t="b">
        <f t="shared" si="7"/>
        <v>1</v>
      </c>
    </row>
    <row r="87" spans="1:14" x14ac:dyDescent="0.15">
      <c r="C87" s="28" t="s">
        <v>62</v>
      </c>
      <c r="E87" s="27" t="s">
        <v>60</v>
      </c>
      <c r="F87" s="1">
        <v>0.1</v>
      </c>
      <c r="G87" s="1">
        <v>10</v>
      </c>
      <c r="J87" s="1" t="e">
        <v>#VALUE!</v>
      </c>
      <c r="K87" s="49" t="s">
        <v>383</v>
      </c>
      <c r="L87" s="41" t="e">
        <f t="shared" si="8"/>
        <v>#VALUE!</v>
      </c>
      <c r="M87" s="1" t="b">
        <f t="shared" si="7"/>
        <v>1</v>
      </c>
    </row>
    <row r="88" spans="1:14" x14ac:dyDescent="0.15">
      <c r="E88" s="1">
        <v>11.1</v>
      </c>
      <c r="F88" s="27" t="s">
        <v>61</v>
      </c>
      <c r="G88" s="1">
        <v>10</v>
      </c>
      <c r="J88" s="1" t="e">
        <v>#VALUE!</v>
      </c>
      <c r="K88" s="49" t="s">
        <v>384</v>
      </c>
      <c r="L88" s="41" t="e">
        <f t="shared" si="8"/>
        <v>#VALUE!</v>
      </c>
      <c r="M88" s="1" t="b">
        <f t="shared" si="7"/>
        <v>1</v>
      </c>
    </row>
    <row r="89" spans="1:14" x14ac:dyDescent="0.15">
      <c r="B89" s="28" t="s">
        <v>63</v>
      </c>
      <c r="C89" s="28" t="s">
        <v>54</v>
      </c>
      <c r="E89" s="29" t="s">
        <v>65</v>
      </c>
      <c r="F89" s="29" t="s">
        <v>65</v>
      </c>
      <c r="G89" s="1">
        <v>16</v>
      </c>
      <c r="J89" s="1" t="s">
        <v>94</v>
      </c>
      <c r="K89" s="49" t="s">
        <v>385</v>
      </c>
      <c r="L89" s="41" t="str">
        <f>addNPntNPnt(E89,F89,G89)</f>
        <v>1E</v>
      </c>
      <c r="M89" s="1" t="b">
        <f t="shared" si="7"/>
        <v>1</v>
      </c>
    </row>
    <row r="90" spans="1:14" x14ac:dyDescent="0.15">
      <c r="C90" s="28" t="s">
        <v>53</v>
      </c>
      <c r="E90" s="29" t="s">
        <v>66</v>
      </c>
      <c r="F90" s="29" t="s">
        <v>67</v>
      </c>
      <c r="G90" s="1">
        <v>16</v>
      </c>
      <c r="J90" s="1" t="s">
        <v>88</v>
      </c>
      <c r="K90" s="49" t="s">
        <v>386</v>
      </c>
      <c r="L90" s="41" t="str">
        <f t="shared" ref="L90:L95" si="9">addNPntNPnt(E90,F90,G90)</f>
        <v>0</v>
      </c>
      <c r="M90" s="1" t="b">
        <f t="shared" si="7"/>
        <v>1</v>
      </c>
    </row>
    <row r="91" spans="1:14" x14ac:dyDescent="0.15">
      <c r="C91" s="28" t="s">
        <v>55</v>
      </c>
      <c r="E91" s="29" t="s">
        <v>68</v>
      </c>
      <c r="F91" s="29" t="s">
        <v>69</v>
      </c>
      <c r="G91" s="1">
        <v>16</v>
      </c>
      <c r="J91" s="1" t="s">
        <v>88</v>
      </c>
      <c r="K91" s="49" t="s">
        <v>387</v>
      </c>
      <c r="L91" s="41" t="str">
        <f t="shared" si="9"/>
        <v>0</v>
      </c>
      <c r="M91" s="1" t="b">
        <f t="shared" si="7"/>
        <v>1</v>
      </c>
    </row>
    <row r="92" spans="1:14" x14ac:dyDescent="0.15">
      <c r="C92" s="28" t="s">
        <v>56</v>
      </c>
      <c r="E92" s="29" t="s">
        <v>68</v>
      </c>
      <c r="F92" s="29" t="s">
        <v>68</v>
      </c>
      <c r="G92" s="1">
        <v>16</v>
      </c>
      <c r="J92" s="1" t="s">
        <v>95</v>
      </c>
      <c r="K92" s="49" t="s">
        <v>388</v>
      </c>
      <c r="L92" s="41" t="str">
        <f t="shared" si="9"/>
        <v>-1E</v>
      </c>
      <c r="M92" s="1" t="b">
        <f t="shared" si="7"/>
        <v>1</v>
      </c>
    </row>
    <row r="93" spans="1:14" x14ac:dyDescent="0.15">
      <c r="C93" s="28" t="s">
        <v>57</v>
      </c>
      <c r="E93" s="29" t="s">
        <v>70</v>
      </c>
      <c r="F93" s="29" t="s">
        <v>71</v>
      </c>
      <c r="G93" s="1">
        <v>16</v>
      </c>
      <c r="J93" s="1" t="s">
        <v>96</v>
      </c>
      <c r="K93" s="49" t="s">
        <v>389</v>
      </c>
      <c r="L93" s="41" t="str">
        <f t="shared" si="9"/>
        <v>100.E</v>
      </c>
      <c r="M93" s="1" t="b">
        <f t="shared" si="7"/>
        <v>1</v>
      </c>
    </row>
    <row r="94" spans="1:14" x14ac:dyDescent="0.15">
      <c r="C94" s="28" t="s">
        <v>64</v>
      </c>
      <c r="E94" s="29" t="s">
        <v>72</v>
      </c>
      <c r="F94" s="30">
        <v>0.1</v>
      </c>
      <c r="G94" s="1">
        <v>16</v>
      </c>
      <c r="J94" s="1" t="e">
        <v>#VALUE!</v>
      </c>
      <c r="K94" s="49" t="s">
        <v>390</v>
      </c>
      <c r="L94" s="41" t="e">
        <f t="shared" si="9"/>
        <v>#VALUE!</v>
      </c>
      <c r="M94" s="1" t="b">
        <f t="shared" si="7"/>
        <v>1</v>
      </c>
    </row>
    <row r="95" spans="1:14" x14ac:dyDescent="0.15">
      <c r="E95" s="30">
        <v>11.1</v>
      </c>
      <c r="F95" s="29" t="s">
        <v>73</v>
      </c>
      <c r="G95" s="1">
        <v>16</v>
      </c>
      <c r="J95" s="1" t="e">
        <v>#VALUE!</v>
      </c>
      <c r="K95" s="49" t="s">
        <v>391</v>
      </c>
      <c r="L95" s="41" t="e">
        <f t="shared" si="9"/>
        <v>#VALUE!</v>
      </c>
      <c r="M95" s="1" t="b">
        <f t="shared" si="7"/>
        <v>1</v>
      </c>
    </row>
    <row r="96" spans="1:14" x14ac:dyDescent="0.15">
      <c r="A96" s="1" t="s">
        <v>242</v>
      </c>
      <c r="B96" s="24" t="s">
        <v>29</v>
      </c>
      <c r="C96" s="24" t="s">
        <v>38</v>
      </c>
      <c r="E96" s="1">
        <v>1</v>
      </c>
      <c r="F96" s="1">
        <v>1</v>
      </c>
      <c r="G96" s="1">
        <v>1</v>
      </c>
      <c r="J96" s="1" t="e">
        <v>#VALUE!</v>
      </c>
      <c r="K96" s="49" t="s">
        <v>392</v>
      </c>
      <c r="L96" s="1" t="e">
        <f>multipleNPntNPnt(E96,F96,G96)</f>
        <v>#VALUE!</v>
      </c>
      <c r="M96" s="1" t="b">
        <f t="shared" si="7"/>
        <v>1</v>
      </c>
    </row>
    <row r="97" spans="2:13" x14ac:dyDescent="0.15">
      <c r="C97" s="24" t="s">
        <v>39</v>
      </c>
      <c r="E97" s="1">
        <v>1</v>
      </c>
      <c r="F97" s="1">
        <v>1</v>
      </c>
      <c r="G97" s="1">
        <v>17</v>
      </c>
      <c r="J97" s="1" t="e">
        <v>#VALUE!</v>
      </c>
      <c r="K97" s="49" t="s">
        <v>393</v>
      </c>
      <c r="L97" s="1" t="e">
        <f>multipleNPntNPnt(E97,F97,G97)</f>
        <v>#VALUE!</v>
      </c>
      <c r="M97" s="1" t="b">
        <f t="shared" si="7"/>
        <v>1</v>
      </c>
    </row>
    <row r="98" spans="2:13" x14ac:dyDescent="0.15">
      <c r="B98" s="24" t="s">
        <v>40</v>
      </c>
      <c r="C98" s="24" t="s">
        <v>42</v>
      </c>
      <c r="E98" s="34" t="s">
        <v>98</v>
      </c>
      <c r="F98" s="1">
        <v>2</v>
      </c>
      <c r="J98" s="1" t="e">
        <v>#VALUE!</v>
      </c>
      <c r="K98" s="49" t="s">
        <v>394</v>
      </c>
      <c r="L98" s="1" t="e">
        <f>multipleNPntNPnt(E98,F98)</f>
        <v>#VALUE!</v>
      </c>
      <c r="M98" s="1" t="b">
        <f t="shared" si="7"/>
        <v>1</v>
      </c>
    </row>
    <row r="99" spans="2:13" x14ac:dyDescent="0.15">
      <c r="C99" s="24" t="s">
        <v>43</v>
      </c>
      <c r="E99" s="1">
        <v>10</v>
      </c>
      <c r="F99" s="1">
        <v>2</v>
      </c>
      <c r="J99" s="1" t="s">
        <v>181</v>
      </c>
      <c r="K99" s="49" t="s">
        <v>395</v>
      </c>
      <c r="L99" s="1" t="str">
        <f>multipleNPntNPnt(E99,F99)</f>
        <v>20</v>
      </c>
      <c r="M99" s="1" t="b">
        <f t="shared" si="7"/>
        <v>1</v>
      </c>
    </row>
    <row r="100" spans="2:13" x14ac:dyDescent="0.15">
      <c r="B100" s="28" t="s">
        <v>52</v>
      </c>
      <c r="C100" s="28" t="s">
        <v>99</v>
      </c>
      <c r="E100" s="1">
        <v>10</v>
      </c>
      <c r="F100" s="1">
        <v>1</v>
      </c>
      <c r="G100" s="1">
        <v>2</v>
      </c>
      <c r="J100" s="1" t="s">
        <v>87</v>
      </c>
      <c r="K100" s="49" t="s">
        <v>396</v>
      </c>
      <c r="L100" s="1" t="str">
        <f t="shared" ref="L100:L123" si="10">multipleNPntNPnt(E100,F100,G100)</f>
        <v>10</v>
      </c>
      <c r="M100" s="1" t="b">
        <f t="shared" si="7"/>
        <v>1</v>
      </c>
    </row>
    <row r="101" spans="2:13" x14ac:dyDescent="0.15">
      <c r="C101" s="28" t="s">
        <v>100</v>
      </c>
      <c r="E101" s="1">
        <v>10</v>
      </c>
      <c r="F101" s="33" t="s">
        <v>103</v>
      </c>
      <c r="G101" s="1">
        <v>2</v>
      </c>
      <c r="J101" s="1" t="s">
        <v>89</v>
      </c>
      <c r="K101" s="49" t="s">
        <v>397</v>
      </c>
      <c r="L101" s="1" t="str">
        <f t="shared" si="10"/>
        <v>-10</v>
      </c>
      <c r="M101" s="1" t="b">
        <f t="shared" si="7"/>
        <v>1</v>
      </c>
    </row>
    <row r="102" spans="2:13" x14ac:dyDescent="0.15">
      <c r="C102" s="28" t="s">
        <v>101</v>
      </c>
      <c r="E102" s="1">
        <v>-10</v>
      </c>
      <c r="F102" s="1">
        <v>1</v>
      </c>
      <c r="G102" s="1">
        <v>2</v>
      </c>
      <c r="J102" s="1" t="s">
        <v>89</v>
      </c>
      <c r="K102" s="49" t="s">
        <v>398</v>
      </c>
      <c r="L102" s="1" t="str">
        <f t="shared" si="10"/>
        <v>-10</v>
      </c>
      <c r="M102" s="1" t="b">
        <f t="shared" si="7"/>
        <v>1</v>
      </c>
    </row>
    <row r="103" spans="2:13" x14ac:dyDescent="0.15">
      <c r="C103" s="28" t="s">
        <v>102</v>
      </c>
      <c r="E103" s="1">
        <v>-10</v>
      </c>
      <c r="F103" s="33" t="s">
        <v>103</v>
      </c>
      <c r="G103" s="1">
        <v>2</v>
      </c>
      <c r="J103" s="1" t="s">
        <v>87</v>
      </c>
      <c r="K103" s="49" t="s">
        <v>399</v>
      </c>
      <c r="L103" s="1" t="str">
        <f t="shared" si="10"/>
        <v>10</v>
      </c>
      <c r="M103" s="1" t="b">
        <f t="shared" si="7"/>
        <v>1</v>
      </c>
    </row>
    <row r="104" spans="2:13" x14ac:dyDescent="0.15">
      <c r="C104" s="43" t="s">
        <v>237</v>
      </c>
      <c r="E104" s="1">
        <v>-10.1</v>
      </c>
      <c r="F104" s="44" t="s">
        <v>238</v>
      </c>
      <c r="G104" s="1">
        <v>2</v>
      </c>
      <c r="J104" s="1" t="s">
        <v>88</v>
      </c>
      <c r="K104" s="49" t="s">
        <v>400</v>
      </c>
      <c r="L104" s="1" t="str">
        <f t="shared" si="10"/>
        <v>0</v>
      </c>
      <c r="M104" s="1" t="b">
        <f t="shared" si="7"/>
        <v>1</v>
      </c>
    </row>
    <row r="105" spans="2:13" x14ac:dyDescent="0.15">
      <c r="C105" s="28" t="s">
        <v>32</v>
      </c>
      <c r="E105" s="1">
        <v>101.1</v>
      </c>
      <c r="F105" s="1">
        <v>1</v>
      </c>
      <c r="G105" s="1">
        <v>2</v>
      </c>
      <c r="J105" s="1" t="s">
        <v>182</v>
      </c>
      <c r="K105" s="49" t="s">
        <v>401</v>
      </c>
      <c r="L105" s="1" t="str">
        <f t="shared" si="10"/>
        <v>101.1</v>
      </c>
      <c r="M105" s="1" t="b">
        <f t="shared" si="7"/>
        <v>1</v>
      </c>
    </row>
    <row r="106" spans="2:13" x14ac:dyDescent="0.15">
      <c r="C106" s="28" t="s">
        <v>58</v>
      </c>
      <c r="E106" s="1">
        <v>2</v>
      </c>
      <c r="F106" s="1">
        <v>1</v>
      </c>
      <c r="G106" s="1">
        <v>2</v>
      </c>
      <c r="J106" s="1" t="e">
        <v>#VALUE!</v>
      </c>
      <c r="K106" s="49" t="s">
        <v>402</v>
      </c>
      <c r="L106" s="1" t="e">
        <f t="shared" si="10"/>
        <v>#VALUE!</v>
      </c>
      <c r="M106" s="1" t="b">
        <f t="shared" si="7"/>
        <v>1</v>
      </c>
    </row>
    <row r="107" spans="2:13" x14ac:dyDescent="0.15">
      <c r="E107" s="1">
        <v>1</v>
      </c>
      <c r="F107" s="1">
        <v>2</v>
      </c>
      <c r="G107" s="1">
        <v>2</v>
      </c>
      <c r="J107" s="1" t="e">
        <v>#VALUE!</v>
      </c>
      <c r="K107" s="49" t="s">
        <v>403</v>
      </c>
      <c r="L107" s="1" t="e">
        <f t="shared" si="10"/>
        <v>#VALUE!</v>
      </c>
      <c r="M107" s="1" t="b">
        <f t="shared" si="7"/>
        <v>1</v>
      </c>
    </row>
    <row r="108" spans="2:13" x14ac:dyDescent="0.15">
      <c r="B108" s="32" t="s">
        <v>104</v>
      </c>
      <c r="C108" s="28" t="s">
        <v>99</v>
      </c>
      <c r="E108" s="1">
        <v>99</v>
      </c>
      <c r="F108" s="1">
        <v>9</v>
      </c>
      <c r="G108" s="1">
        <v>10</v>
      </c>
      <c r="J108" s="1" t="s">
        <v>183</v>
      </c>
      <c r="K108" s="49" t="s">
        <v>404</v>
      </c>
      <c r="L108" s="1" t="str">
        <f t="shared" si="10"/>
        <v>891</v>
      </c>
      <c r="M108" s="1" t="b">
        <f t="shared" si="7"/>
        <v>1</v>
      </c>
    </row>
    <row r="109" spans="2:13" x14ac:dyDescent="0.15">
      <c r="C109" s="28" t="s">
        <v>100</v>
      </c>
      <c r="E109" s="1">
        <v>99</v>
      </c>
      <c r="F109" s="1">
        <v>-9</v>
      </c>
      <c r="G109" s="1">
        <v>10</v>
      </c>
      <c r="J109" s="1" t="s">
        <v>184</v>
      </c>
      <c r="K109" s="49" t="s">
        <v>405</v>
      </c>
      <c r="L109" s="1" t="str">
        <f t="shared" si="10"/>
        <v>-891</v>
      </c>
      <c r="M109" s="1" t="b">
        <f t="shared" si="7"/>
        <v>1</v>
      </c>
    </row>
    <row r="110" spans="2:13" x14ac:dyDescent="0.15">
      <c r="C110" s="28" t="s">
        <v>101</v>
      </c>
      <c r="E110" s="1">
        <v>-99</v>
      </c>
      <c r="F110" s="1">
        <v>9</v>
      </c>
      <c r="G110" s="1">
        <v>10</v>
      </c>
      <c r="J110" s="1" t="s">
        <v>184</v>
      </c>
      <c r="K110" s="49" t="s">
        <v>406</v>
      </c>
      <c r="L110" s="1" t="str">
        <f t="shared" si="10"/>
        <v>-891</v>
      </c>
      <c r="M110" s="1" t="b">
        <f t="shared" si="7"/>
        <v>1</v>
      </c>
    </row>
    <row r="111" spans="2:13" x14ac:dyDescent="0.15">
      <c r="C111" s="28" t="s">
        <v>102</v>
      </c>
      <c r="E111" s="1">
        <v>-99</v>
      </c>
      <c r="F111" s="1">
        <v>-9</v>
      </c>
      <c r="G111" s="1">
        <v>10</v>
      </c>
      <c r="J111" s="1" t="s">
        <v>183</v>
      </c>
      <c r="K111" s="49" t="s">
        <v>407</v>
      </c>
      <c r="L111" s="1" t="str">
        <f t="shared" si="10"/>
        <v>891</v>
      </c>
      <c r="M111" s="1" t="b">
        <f t="shared" si="7"/>
        <v>1</v>
      </c>
    </row>
    <row r="112" spans="2:13" x14ac:dyDescent="0.15">
      <c r="C112" s="43" t="s">
        <v>237</v>
      </c>
      <c r="E112" s="1">
        <v>-99.9</v>
      </c>
      <c r="F112" s="44" t="s">
        <v>239</v>
      </c>
      <c r="G112" s="1">
        <v>10</v>
      </c>
      <c r="J112" s="1" t="s">
        <v>88</v>
      </c>
      <c r="K112" s="49" t="s">
        <v>408</v>
      </c>
      <c r="L112" s="1" t="str">
        <f t="shared" si="10"/>
        <v>0</v>
      </c>
      <c r="M112" s="1" t="b">
        <f t="shared" si="7"/>
        <v>1</v>
      </c>
    </row>
    <row r="113" spans="1:13" x14ac:dyDescent="0.15">
      <c r="C113" s="28" t="s">
        <v>32</v>
      </c>
      <c r="E113" s="1">
        <v>99.9</v>
      </c>
      <c r="F113" s="1">
        <v>9</v>
      </c>
      <c r="G113" s="1">
        <v>10</v>
      </c>
      <c r="J113" s="1" t="s">
        <v>185</v>
      </c>
      <c r="K113" s="49" t="s">
        <v>409</v>
      </c>
      <c r="L113" s="1" t="str">
        <f t="shared" si="10"/>
        <v>899.1</v>
      </c>
      <c r="M113" s="1" t="b">
        <f t="shared" si="7"/>
        <v>1</v>
      </c>
    </row>
    <row r="114" spans="1:13" x14ac:dyDescent="0.15">
      <c r="C114" s="32" t="s">
        <v>106</v>
      </c>
      <c r="E114" s="34" t="s">
        <v>108</v>
      </c>
      <c r="F114" s="25">
        <v>1</v>
      </c>
      <c r="G114" s="1">
        <v>10</v>
      </c>
      <c r="J114" s="1" t="e">
        <v>#VALUE!</v>
      </c>
      <c r="K114" s="49" t="s">
        <v>410</v>
      </c>
      <c r="L114" s="1" t="e">
        <f t="shared" si="10"/>
        <v>#VALUE!</v>
      </c>
      <c r="M114" s="1" t="b">
        <f t="shared" si="7"/>
        <v>1</v>
      </c>
    </row>
    <row r="115" spans="1:13" x14ac:dyDescent="0.15">
      <c r="E115" s="1">
        <v>1</v>
      </c>
      <c r="F115" s="35" t="s">
        <v>180</v>
      </c>
      <c r="G115" s="1">
        <v>10</v>
      </c>
      <c r="J115" s="1" t="e">
        <v>#VALUE!</v>
      </c>
      <c r="K115" s="49" t="s">
        <v>411</v>
      </c>
      <c r="L115" s="1" t="e">
        <f t="shared" si="10"/>
        <v>#VALUE!</v>
      </c>
      <c r="M115" s="1" t="b">
        <f t="shared" si="7"/>
        <v>1</v>
      </c>
    </row>
    <row r="116" spans="1:13" x14ac:dyDescent="0.15">
      <c r="B116" s="32" t="s">
        <v>105</v>
      </c>
      <c r="C116" s="28" t="s">
        <v>99</v>
      </c>
      <c r="E116" s="36" t="s">
        <v>186</v>
      </c>
      <c r="F116" s="36" t="s">
        <v>188</v>
      </c>
      <c r="G116" s="1">
        <v>16</v>
      </c>
      <c r="J116" s="1" t="s">
        <v>199</v>
      </c>
      <c r="K116" s="49" t="s">
        <v>412</v>
      </c>
      <c r="L116" s="1" t="str">
        <f t="shared" si="10"/>
        <v>EF1</v>
      </c>
      <c r="M116" s="1" t="b">
        <f t="shared" si="7"/>
        <v>1</v>
      </c>
    </row>
    <row r="117" spans="1:13" x14ac:dyDescent="0.15">
      <c r="C117" s="28" t="s">
        <v>100</v>
      </c>
      <c r="E117" s="36" t="s">
        <v>189</v>
      </c>
      <c r="F117" s="36" t="s">
        <v>190</v>
      </c>
      <c r="G117" s="1">
        <v>16</v>
      </c>
      <c r="J117" s="1" t="s">
        <v>200</v>
      </c>
      <c r="K117" s="49" t="s">
        <v>413</v>
      </c>
      <c r="L117" s="1" t="str">
        <f t="shared" si="10"/>
        <v>-EF1</v>
      </c>
      <c r="M117" s="1" t="b">
        <f t="shared" si="7"/>
        <v>1</v>
      </c>
    </row>
    <row r="118" spans="1:13" x14ac:dyDescent="0.15">
      <c r="C118" s="28" t="s">
        <v>101</v>
      </c>
      <c r="E118" s="36" t="s">
        <v>191</v>
      </c>
      <c r="F118" s="36" t="s">
        <v>192</v>
      </c>
      <c r="G118" s="1">
        <v>16</v>
      </c>
      <c r="J118" s="1" t="s">
        <v>200</v>
      </c>
      <c r="K118" s="49" t="s">
        <v>414</v>
      </c>
      <c r="L118" s="1" t="str">
        <f t="shared" si="10"/>
        <v>-EF1</v>
      </c>
      <c r="M118" s="1" t="b">
        <f t="shared" si="7"/>
        <v>1</v>
      </c>
    </row>
    <row r="119" spans="1:13" x14ac:dyDescent="0.15">
      <c r="C119" s="28" t="s">
        <v>102</v>
      </c>
      <c r="E119" s="36" t="s">
        <v>191</v>
      </c>
      <c r="F119" s="36" t="s">
        <v>193</v>
      </c>
      <c r="G119" s="1">
        <v>16</v>
      </c>
      <c r="J119" s="1" t="s">
        <v>199</v>
      </c>
      <c r="K119" s="49" t="s">
        <v>415</v>
      </c>
      <c r="L119" s="1" t="str">
        <f t="shared" si="10"/>
        <v>EF1</v>
      </c>
      <c r="M119" s="1" t="b">
        <f t="shared" si="7"/>
        <v>1</v>
      </c>
    </row>
    <row r="120" spans="1:13" x14ac:dyDescent="0.15">
      <c r="C120" s="43" t="s">
        <v>237</v>
      </c>
      <c r="E120" s="44" t="s">
        <v>240</v>
      </c>
      <c r="F120" s="44" t="s">
        <v>241</v>
      </c>
      <c r="G120" s="1">
        <v>16</v>
      </c>
      <c r="J120" s="1" t="s">
        <v>88</v>
      </c>
      <c r="K120" s="49" t="s">
        <v>416</v>
      </c>
      <c r="L120" s="1" t="str">
        <f t="shared" si="10"/>
        <v>0</v>
      </c>
      <c r="M120" s="1" t="b">
        <f t="shared" si="7"/>
        <v>1</v>
      </c>
    </row>
    <row r="121" spans="1:13" x14ac:dyDescent="0.15">
      <c r="C121" s="28" t="s">
        <v>32</v>
      </c>
      <c r="E121" s="36" t="s">
        <v>194</v>
      </c>
      <c r="F121" s="36" t="s">
        <v>187</v>
      </c>
      <c r="G121" s="1">
        <v>16</v>
      </c>
      <c r="J121" s="1" t="s">
        <v>201</v>
      </c>
      <c r="K121" s="49" t="s">
        <v>417</v>
      </c>
      <c r="L121" s="1" t="str">
        <f t="shared" si="10"/>
        <v>FE.1</v>
      </c>
      <c r="M121" s="1" t="b">
        <f t="shared" si="7"/>
        <v>1</v>
      </c>
    </row>
    <row r="122" spans="1:13" x14ac:dyDescent="0.15">
      <c r="C122" s="32" t="s">
        <v>107</v>
      </c>
      <c r="E122" s="36" t="s">
        <v>195</v>
      </c>
      <c r="F122" s="36" t="s">
        <v>196</v>
      </c>
      <c r="G122" s="1">
        <v>16</v>
      </c>
      <c r="J122" s="1" t="e">
        <v>#VALUE!</v>
      </c>
      <c r="K122" s="49" t="s">
        <v>418</v>
      </c>
      <c r="L122" s="1" t="e">
        <f t="shared" si="10"/>
        <v>#VALUE!</v>
      </c>
      <c r="M122" s="1" t="b">
        <f t="shared" si="7"/>
        <v>1</v>
      </c>
    </row>
    <row r="123" spans="1:13" x14ac:dyDescent="0.15">
      <c r="E123" s="36" t="s">
        <v>197</v>
      </c>
      <c r="F123" s="36" t="s">
        <v>198</v>
      </c>
      <c r="G123" s="1">
        <v>16</v>
      </c>
      <c r="J123" s="1" t="e">
        <v>#VALUE!</v>
      </c>
      <c r="K123" s="49" t="s">
        <v>419</v>
      </c>
      <c r="L123" s="1" t="e">
        <f t="shared" si="10"/>
        <v>#VALUE!</v>
      </c>
      <c r="M123" s="1" t="b">
        <f t="shared" si="7"/>
        <v>1</v>
      </c>
    </row>
    <row r="124" spans="1:13" x14ac:dyDescent="0.15">
      <c r="A124" s="37" t="s">
        <v>266</v>
      </c>
      <c r="B124" s="24" t="s">
        <v>29</v>
      </c>
      <c r="C124" s="24" t="s">
        <v>38</v>
      </c>
      <c r="E124" s="1">
        <v>10</v>
      </c>
      <c r="F124" s="1">
        <v>2</v>
      </c>
      <c r="G124" s="1">
        <v>1</v>
      </c>
      <c r="J124" s="1" t="e">
        <v>#VALUE!</v>
      </c>
      <c r="K124" s="49" t="s">
        <v>420</v>
      </c>
      <c r="L124" s="1" t="e">
        <f>divideNPntNPnt(E124,F124,G124)</f>
        <v>#VALUE!</v>
      </c>
      <c r="M124" s="1" t="b">
        <f t="shared" si="7"/>
        <v>1</v>
      </c>
    </row>
    <row r="125" spans="1:13" x14ac:dyDescent="0.15">
      <c r="C125" s="24" t="s">
        <v>39</v>
      </c>
      <c r="E125" s="1">
        <v>10</v>
      </c>
      <c r="F125" s="1">
        <v>2</v>
      </c>
      <c r="G125" s="1">
        <v>17</v>
      </c>
      <c r="J125" s="1" t="e">
        <v>#VALUE!</v>
      </c>
      <c r="K125" s="49" t="s">
        <v>421</v>
      </c>
      <c r="L125" s="1" t="e">
        <f>divideNPntNPnt(E125,F125,G125)</f>
        <v>#VALUE!</v>
      </c>
      <c r="M125" s="1" t="b">
        <f t="shared" si="7"/>
        <v>1</v>
      </c>
    </row>
    <row r="126" spans="1:13" x14ac:dyDescent="0.15">
      <c r="B126" s="24" t="s">
        <v>40</v>
      </c>
      <c r="C126" s="24" t="s">
        <v>42</v>
      </c>
      <c r="E126" s="1">
        <v>10</v>
      </c>
      <c r="F126" s="1">
        <v>2</v>
      </c>
      <c r="J126" s="1" t="s">
        <v>228</v>
      </c>
      <c r="K126" s="49" t="s">
        <v>422</v>
      </c>
      <c r="L126" s="1" t="str">
        <f>divideNPntNPnt(E126,F126)</f>
        <v>5</v>
      </c>
      <c r="M126" s="1" t="b">
        <f t="shared" si="7"/>
        <v>1</v>
      </c>
    </row>
    <row r="127" spans="1:13" x14ac:dyDescent="0.15">
      <c r="C127" s="24" t="s">
        <v>43</v>
      </c>
      <c r="E127" s="1">
        <v>10</v>
      </c>
      <c r="F127" s="38" t="s">
        <v>202</v>
      </c>
      <c r="J127" s="1" t="e">
        <v>#VALUE!</v>
      </c>
      <c r="K127" s="49" t="s">
        <v>423</v>
      </c>
      <c r="L127" s="1" t="e">
        <f>divideNPntNPnt(E127,F127)</f>
        <v>#VALUE!</v>
      </c>
      <c r="M127" s="1" t="b">
        <f t="shared" si="7"/>
        <v>1</v>
      </c>
    </row>
    <row r="128" spans="1:13" x14ac:dyDescent="0.15">
      <c r="B128" s="39" t="s">
        <v>203</v>
      </c>
      <c r="C128" s="39" t="s">
        <v>204</v>
      </c>
      <c r="E128" s="1">
        <v>10</v>
      </c>
      <c r="F128" s="1">
        <v>3</v>
      </c>
      <c r="G128" s="1">
        <v>10</v>
      </c>
      <c r="H128" s="1">
        <v>0</v>
      </c>
      <c r="J128" s="1" t="s">
        <v>229</v>
      </c>
      <c r="K128" s="49" t="s">
        <v>424</v>
      </c>
      <c r="L128" s="1" t="str">
        <f>divideNPntNPnt(E128,F128,G128,H128)</f>
        <v>3</v>
      </c>
      <c r="M128" s="1" t="b">
        <f t="shared" si="7"/>
        <v>1</v>
      </c>
    </row>
    <row r="129" spans="2:13" x14ac:dyDescent="0.15">
      <c r="C129" s="39" t="s">
        <v>205</v>
      </c>
      <c r="E129" s="1">
        <v>10</v>
      </c>
      <c r="F129" s="1">
        <v>3</v>
      </c>
      <c r="G129" s="1">
        <v>10</v>
      </c>
      <c r="H129" s="1">
        <v>1</v>
      </c>
      <c r="J129" s="1" t="s">
        <v>230</v>
      </c>
      <c r="K129" s="49" t="s">
        <v>425</v>
      </c>
      <c r="L129" s="1" t="str">
        <f>divideNPntNPnt(E129,F129,G129,H129)</f>
        <v>3.3</v>
      </c>
      <c r="M129" s="1" t="b">
        <f t="shared" si="7"/>
        <v>1</v>
      </c>
    </row>
    <row r="130" spans="2:13" x14ac:dyDescent="0.15">
      <c r="C130" s="39" t="s">
        <v>206</v>
      </c>
      <c r="E130" s="1">
        <v>10</v>
      </c>
      <c r="F130" s="1">
        <v>3</v>
      </c>
      <c r="J130" s="1" t="s">
        <v>231</v>
      </c>
      <c r="K130" s="49" t="s">
        <v>426</v>
      </c>
      <c r="L130" s="1" t="str">
        <f>divideNPntNPnt(E130,F130)</f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30" s="1" t="b">
        <f t="shared" si="7"/>
        <v>1</v>
      </c>
    </row>
    <row r="131" spans="2:13" x14ac:dyDescent="0.15">
      <c r="B131" s="39" t="s">
        <v>207</v>
      </c>
      <c r="C131" s="24" t="s">
        <v>208</v>
      </c>
      <c r="E131" s="1">
        <v>10</v>
      </c>
      <c r="F131" s="1">
        <v>1</v>
      </c>
      <c r="G131" s="1">
        <v>2</v>
      </c>
      <c r="J131" s="1" t="s">
        <v>87</v>
      </c>
      <c r="K131" s="49" t="s">
        <v>427</v>
      </c>
      <c r="L131" s="1" t="str">
        <f t="shared" ref="L131:L152" si="11">divideNPntNPnt(E131,F131,G131)</f>
        <v>10</v>
      </c>
      <c r="M131" s="1" t="b">
        <f t="shared" si="7"/>
        <v>1</v>
      </c>
    </row>
    <row r="132" spans="2:13" x14ac:dyDescent="0.15">
      <c r="C132" s="24" t="s">
        <v>209</v>
      </c>
      <c r="E132" s="1">
        <v>10</v>
      </c>
      <c r="F132" s="1">
        <v>-1</v>
      </c>
      <c r="G132" s="1">
        <v>2</v>
      </c>
      <c r="J132" s="1" t="s">
        <v>89</v>
      </c>
      <c r="K132" s="49" t="s">
        <v>428</v>
      </c>
      <c r="L132" s="1" t="str">
        <f t="shared" si="11"/>
        <v>-10</v>
      </c>
      <c r="M132" s="1" t="b">
        <f t="shared" si="7"/>
        <v>1</v>
      </c>
    </row>
    <row r="133" spans="2:13" x14ac:dyDescent="0.15">
      <c r="C133" s="24" t="s">
        <v>210</v>
      </c>
      <c r="E133" s="1">
        <v>-10</v>
      </c>
      <c r="F133" s="1">
        <v>1</v>
      </c>
      <c r="G133" s="1">
        <v>2</v>
      </c>
      <c r="J133" s="1" t="s">
        <v>89</v>
      </c>
      <c r="K133" s="49" t="s">
        <v>429</v>
      </c>
      <c r="L133" s="1" t="str">
        <f t="shared" si="11"/>
        <v>-10</v>
      </c>
      <c r="M133" s="1" t="b">
        <f t="shared" si="7"/>
        <v>1</v>
      </c>
    </row>
    <row r="134" spans="2:13" x14ac:dyDescent="0.15">
      <c r="C134" s="24" t="s">
        <v>211</v>
      </c>
      <c r="E134" s="1">
        <v>-10</v>
      </c>
      <c r="F134" s="1">
        <v>-1</v>
      </c>
      <c r="G134" s="1">
        <v>2</v>
      </c>
      <c r="J134" s="1" t="s">
        <v>87</v>
      </c>
      <c r="K134" s="49" t="s">
        <v>430</v>
      </c>
      <c r="L134" s="1" t="str">
        <f t="shared" si="11"/>
        <v>10</v>
      </c>
      <c r="M134" s="1" t="b">
        <f t="shared" si="7"/>
        <v>1</v>
      </c>
    </row>
    <row r="135" spans="2:13" x14ac:dyDescent="0.15">
      <c r="C135" s="28" t="s">
        <v>32</v>
      </c>
      <c r="E135" s="1">
        <v>10.1</v>
      </c>
      <c r="F135" s="1">
        <v>1</v>
      </c>
      <c r="G135" s="1">
        <v>2</v>
      </c>
      <c r="J135" s="1" t="s">
        <v>232</v>
      </c>
      <c r="K135" s="49" t="s">
        <v>431</v>
      </c>
      <c r="L135" s="1" t="str">
        <f t="shared" si="11"/>
        <v>10.1</v>
      </c>
      <c r="M135" s="1" t="b">
        <f t="shared" si="7"/>
        <v>1</v>
      </c>
    </row>
    <row r="136" spans="2:13" x14ac:dyDescent="0.15">
      <c r="C136" s="28" t="s">
        <v>58</v>
      </c>
      <c r="E136" s="1">
        <v>10.199999999999999</v>
      </c>
      <c r="F136" s="1">
        <v>1</v>
      </c>
      <c r="G136" s="1">
        <v>2</v>
      </c>
      <c r="J136" s="1" t="e">
        <v>#VALUE!</v>
      </c>
      <c r="K136" s="49" t="s">
        <v>432</v>
      </c>
      <c r="L136" s="1" t="e">
        <f t="shared" si="11"/>
        <v>#VALUE!</v>
      </c>
      <c r="M136" s="1" t="b">
        <f t="shared" si="7"/>
        <v>1</v>
      </c>
    </row>
    <row r="137" spans="2:13" x14ac:dyDescent="0.15">
      <c r="E137" s="1">
        <v>10.1</v>
      </c>
      <c r="F137" s="1">
        <v>2</v>
      </c>
      <c r="G137" s="1">
        <v>2</v>
      </c>
      <c r="J137" s="1" t="e">
        <v>#VALUE!</v>
      </c>
      <c r="K137" s="49" t="s">
        <v>433</v>
      </c>
      <c r="L137" s="1" t="e">
        <f t="shared" si="11"/>
        <v>#VALUE!</v>
      </c>
      <c r="M137" s="1" t="b">
        <f t="shared" si="7"/>
        <v>1</v>
      </c>
    </row>
    <row r="138" spans="2:13" x14ac:dyDescent="0.15">
      <c r="B138" s="39" t="s">
        <v>214</v>
      </c>
      <c r="C138" s="24" t="s">
        <v>208</v>
      </c>
      <c r="E138" s="1">
        <v>99</v>
      </c>
      <c r="F138" s="1">
        <v>9</v>
      </c>
      <c r="G138" s="1">
        <v>10</v>
      </c>
      <c r="J138" s="1" t="s">
        <v>233</v>
      </c>
      <c r="K138" s="49" t="s">
        <v>434</v>
      </c>
      <c r="L138" s="1" t="str">
        <f t="shared" si="11"/>
        <v>11</v>
      </c>
      <c r="M138" s="1" t="b">
        <f t="shared" ref="M138:M152" si="12">getText(J138)=getText(L138)</f>
        <v>1</v>
      </c>
    </row>
    <row r="139" spans="2:13" x14ac:dyDescent="0.15">
      <c r="C139" s="24" t="s">
        <v>209</v>
      </c>
      <c r="E139" s="1">
        <v>99</v>
      </c>
      <c r="F139" s="1">
        <v>-9</v>
      </c>
      <c r="G139" s="1">
        <v>10</v>
      </c>
      <c r="J139" s="1" t="s">
        <v>234</v>
      </c>
      <c r="K139" s="49" t="s">
        <v>435</v>
      </c>
      <c r="L139" s="1" t="str">
        <f t="shared" si="11"/>
        <v>-11</v>
      </c>
      <c r="M139" s="1" t="b">
        <f t="shared" si="12"/>
        <v>1</v>
      </c>
    </row>
    <row r="140" spans="2:13" x14ac:dyDescent="0.15">
      <c r="C140" s="24" t="s">
        <v>210</v>
      </c>
      <c r="E140" s="1">
        <v>-99</v>
      </c>
      <c r="F140" s="1">
        <v>9</v>
      </c>
      <c r="G140" s="1">
        <v>10</v>
      </c>
      <c r="J140" s="1" t="s">
        <v>234</v>
      </c>
      <c r="K140" s="49" t="s">
        <v>436</v>
      </c>
      <c r="L140" s="1" t="str">
        <f t="shared" si="11"/>
        <v>-11</v>
      </c>
      <c r="M140" s="1" t="b">
        <f t="shared" si="12"/>
        <v>1</v>
      </c>
    </row>
    <row r="141" spans="2:13" x14ac:dyDescent="0.15">
      <c r="C141" s="24" t="s">
        <v>211</v>
      </c>
      <c r="E141" s="1">
        <v>-99</v>
      </c>
      <c r="F141" s="1">
        <v>-9</v>
      </c>
      <c r="G141" s="1">
        <v>10</v>
      </c>
      <c r="J141" s="1" t="s">
        <v>233</v>
      </c>
      <c r="K141" s="49" t="s">
        <v>437</v>
      </c>
      <c r="L141" s="1" t="str">
        <f t="shared" si="11"/>
        <v>11</v>
      </c>
      <c r="M141" s="1" t="b">
        <f t="shared" si="12"/>
        <v>1</v>
      </c>
    </row>
    <row r="142" spans="2:13" x14ac:dyDescent="0.15">
      <c r="C142" s="28" t="s">
        <v>32</v>
      </c>
      <c r="E142" s="1">
        <v>99.9</v>
      </c>
      <c r="F142" s="1">
        <v>9</v>
      </c>
      <c r="G142" s="1">
        <v>10</v>
      </c>
      <c r="J142" s="1" t="s">
        <v>235</v>
      </c>
      <c r="K142" s="49" t="s">
        <v>438</v>
      </c>
      <c r="L142" s="1" t="str">
        <f t="shared" si="11"/>
        <v>11.1</v>
      </c>
      <c r="M142" s="1" t="b">
        <f t="shared" si="12"/>
        <v>1</v>
      </c>
    </row>
    <row r="143" spans="2:13" x14ac:dyDescent="0.15">
      <c r="C143" s="28" t="s">
        <v>32</v>
      </c>
      <c r="E143" s="1">
        <v>99.9</v>
      </c>
      <c r="F143" s="50" t="s">
        <v>267</v>
      </c>
      <c r="G143" s="1">
        <v>10</v>
      </c>
      <c r="J143" s="1" t="s">
        <v>268</v>
      </c>
      <c r="K143" s="49" t="s">
        <v>448</v>
      </c>
      <c r="L143" s="1" t="str">
        <f t="shared" si="11"/>
        <v>31218.75</v>
      </c>
      <c r="M143" s="1" t="b">
        <f t="shared" si="12"/>
        <v>1</v>
      </c>
    </row>
    <row r="144" spans="2:13" x14ac:dyDescent="0.15">
      <c r="C144" s="39" t="s">
        <v>212</v>
      </c>
      <c r="E144" s="38" t="s">
        <v>216</v>
      </c>
      <c r="F144" s="25">
        <v>9</v>
      </c>
      <c r="G144" s="1">
        <v>10</v>
      </c>
      <c r="J144" s="1" t="e">
        <v>#VALUE!</v>
      </c>
      <c r="K144" s="49" t="s">
        <v>439</v>
      </c>
      <c r="L144" s="1" t="e">
        <f t="shared" si="11"/>
        <v>#VALUE!</v>
      </c>
      <c r="M144" s="1" t="b">
        <f t="shared" si="12"/>
        <v>1</v>
      </c>
    </row>
    <row r="145" spans="2:13" x14ac:dyDescent="0.15">
      <c r="E145" s="25">
        <v>99.9</v>
      </c>
      <c r="F145" s="38" t="s">
        <v>217</v>
      </c>
      <c r="G145" s="1">
        <v>10</v>
      </c>
      <c r="J145" s="1" t="e">
        <v>#VALUE!</v>
      </c>
      <c r="K145" s="49" t="s">
        <v>440</v>
      </c>
      <c r="L145" s="1" t="e">
        <f t="shared" si="11"/>
        <v>#VALUE!</v>
      </c>
      <c r="M145" s="1" t="b">
        <f t="shared" si="12"/>
        <v>1</v>
      </c>
    </row>
    <row r="146" spans="2:13" x14ac:dyDescent="0.15">
      <c r="B146" s="39" t="s">
        <v>215</v>
      </c>
      <c r="C146" s="24" t="s">
        <v>208</v>
      </c>
      <c r="E146" s="40" t="s">
        <v>218</v>
      </c>
      <c r="F146" s="40" t="s">
        <v>219</v>
      </c>
      <c r="G146" s="1">
        <v>16</v>
      </c>
      <c r="J146" s="1" t="s">
        <v>233</v>
      </c>
      <c r="K146" s="49" t="s">
        <v>441</v>
      </c>
      <c r="L146" s="1" t="str">
        <f t="shared" si="11"/>
        <v>11</v>
      </c>
      <c r="M146" s="1" t="b">
        <f t="shared" si="12"/>
        <v>1</v>
      </c>
    </row>
    <row r="147" spans="2:13" x14ac:dyDescent="0.15">
      <c r="C147" s="24" t="s">
        <v>209</v>
      </c>
      <c r="E147" s="40" t="s">
        <v>220</v>
      </c>
      <c r="F147" s="40" t="s">
        <v>221</v>
      </c>
      <c r="G147" s="1">
        <v>16</v>
      </c>
      <c r="J147" s="1" t="s">
        <v>234</v>
      </c>
      <c r="K147" s="49" t="s">
        <v>442</v>
      </c>
      <c r="L147" s="1" t="str">
        <f t="shared" si="11"/>
        <v>-11</v>
      </c>
      <c r="M147" s="1" t="b">
        <f t="shared" si="12"/>
        <v>1</v>
      </c>
    </row>
    <row r="148" spans="2:13" x14ac:dyDescent="0.15">
      <c r="C148" s="24" t="s">
        <v>210</v>
      </c>
      <c r="E148" s="40" t="s">
        <v>222</v>
      </c>
      <c r="F148" s="40" t="s">
        <v>223</v>
      </c>
      <c r="G148" s="1">
        <v>16</v>
      </c>
      <c r="J148" s="1" t="s">
        <v>234</v>
      </c>
      <c r="K148" s="49" t="s">
        <v>443</v>
      </c>
      <c r="L148" s="1" t="str">
        <f t="shared" si="11"/>
        <v>-11</v>
      </c>
      <c r="M148" s="1" t="b">
        <f t="shared" si="12"/>
        <v>1</v>
      </c>
    </row>
    <row r="149" spans="2:13" x14ac:dyDescent="0.15">
      <c r="C149" s="24" t="s">
        <v>211</v>
      </c>
      <c r="E149" s="40" t="s">
        <v>222</v>
      </c>
      <c r="F149" s="40" t="s">
        <v>221</v>
      </c>
      <c r="G149" s="1">
        <v>16</v>
      </c>
      <c r="J149" s="1" t="s">
        <v>233</v>
      </c>
      <c r="K149" s="49" t="s">
        <v>444</v>
      </c>
      <c r="L149" s="1" t="str">
        <f t="shared" si="11"/>
        <v>11</v>
      </c>
      <c r="M149" s="1" t="b">
        <f t="shared" si="12"/>
        <v>1</v>
      </c>
    </row>
    <row r="150" spans="2:13" x14ac:dyDescent="0.15">
      <c r="C150" s="28" t="s">
        <v>32</v>
      </c>
      <c r="E150" s="40" t="s">
        <v>224</v>
      </c>
      <c r="F150" s="40" t="s">
        <v>223</v>
      </c>
      <c r="G150" s="1">
        <v>16</v>
      </c>
      <c r="J150" s="1" t="s">
        <v>235</v>
      </c>
      <c r="K150" s="49" t="s">
        <v>445</v>
      </c>
      <c r="L150" s="1" t="str">
        <f t="shared" si="11"/>
        <v>11.1</v>
      </c>
      <c r="M150" s="1" t="b">
        <f t="shared" si="12"/>
        <v>1</v>
      </c>
    </row>
    <row r="151" spans="2:13" x14ac:dyDescent="0.15">
      <c r="C151" s="39" t="s">
        <v>213</v>
      </c>
      <c r="E151" s="40" t="s">
        <v>226</v>
      </c>
      <c r="F151" s="40" t="s">
        <v>225</v>
      </c>
      <c r="G151" s="1">
        <v>16</v>
      </c>
      <c r="J151" s="1" t="e">
        <v>#VALUE!</v>
      </c>
      <c r="K151" s="49" t="s">
        <v>446</v>
      </c>
      <c r="L151" s="1" t="e">
        <f t="shared" si="11"/>
        <v>#VALUE!</v>
      </c>
      <c r="M151" s="1" t="b">
        <f t="shared" si="12"/>
        <v>1</v>
      </c>
    </row>
    <row r="152" spans="2:13" x14ac:dyDescent="0.15">
      <c r="E152" s="40" t="s">
        <v>220</v>
      </c>
      <c r="F152" s="40" t="s">
        <v>227</v>
      </c>
      <c r="G152" s="1">
        <v>16</v>
      </c>
      <c r="J152" s="1" t="e">
        <v>#VALUE!</v>
      </c>
      <c r="K152" s="49" t="s">
        <v>447</v>
      </c>
      <c r="L152" s="1" t="e">
        <f t="shared" si="11"/>
        <v>#VALUE!</v>
      </c>
      <c r="M152" s="1" t="b">
        <f t="shared" si="12"/>
        <v>1</v>
      </c>
    </row>
  </sheetData>
  <phoneticPr fontId="14"/>
  <conditionalFormatting sqref="A1">
    <cfRule type="cellIs" dxfId="1" priority="1" operator="equal">
      <formula>"OK"</formula>
    </cfRule>
    <cfRule type="cellIs" dxfId="0" priority="2" operator="equal">
      <formula>"NG"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InternalHex</vt:lpstr>
      <vt:lpstr>NumericString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2018-04-25T13:13:09Z</dcterms:created>
  <dcterms:modified xsi:type="dcterms:W3CDTF">2018-05-14T04:51:51Z</dcterms:modified>
</cp:coreProperties>
</file>