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86E26C8E-E2D0-4707-A330-246AEAADE020}" xr6:coauthVersionLast="32" xr6:coauthVersionMax="32" xr10:uidLastSave="{00000000-0000-0000-0000-000000000000}"/>
  <bookViews>
    <workbookView xWindow="0" yWindow="16200" windowWidth="28800" windowHeight="13710" xr2:uid="{00000000-000D-0000-FFFF-FFFF00000000}"/>
  </bookViews>
  <sheets>
    <sheet name="InternalHex" sheetId="7" r:id="rId1"/>
    <sheet name="NumericString" sheetId="8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L87" i="8"/>
  <c r="L62" i="8"/>
  <c r="L121" i="8"/>
  <c r="L113" i="8"/>
  <c r="L120" i="8"/>
  <c r="L112" i="8"/>
  <c r="L104" i="8"/>
  <c r="L102" i="8"/>
  <c r="L106" i="8"/>
  <c r="L119" i="8"/>
  <c r="L111" i="8"/>
  <c r="L103" i="8"/>
  <c r="L109" i="8"/>
  <c r="L118" i="8"/>
  <c r="L110" i="8"/>
  <c r="L117" i="8"/>
  <c r="L116" i="8"/>
  <c r="L108" i="8"/>
  <c r="L107" i="8"/>
  <c r="L114" i="8"/>
  <c r="L115" i="8"/>
  <c r="L105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1" i="8"/>
  <c r="L77" i="8"/>
  <c r="L66" i="8"/>
  <c r="M108" i="8"/>
  <c r="M7" i="8"/>
  <c r="M104" i="8"/>
  <c r="M114" i="8"/>
  <c r="L55" i="8"/>
  <c r="M10" i="8"/>
  <c r="M101" i="8"/>
  <c r="L52" i="8"/>
  <c r="D33" i="7"/>
  <c r="P29" i="7"/>
  <c r="P30" i="7"/>
  <c r="N28" i="7"/>
  <c r="M97" i="8"/>
  <c r="C31" i="7"/>
  <c r="L36" i="7"/>
  <c r="C29" i="7"/>
  <c r="M90" i="8"/>
  <c r="R30" i="7"/>
  <c r="M120" i="8"/>
  <c r="G29" i="7"/>
  <c r="M106" i="8"/>
  <c r="M12" i="8"/>
  <c r="M26" i="8"/>
  <c r="L58" i="8"/>
  <c r="G34" i="7"/>
  <c r="P34" i="7"/>
  <c r="C28" i="7"/>
  <c r="M60" i="8"/>
  <c r="Q34" i="7"/>
  <c r="M11" i="8"/>
  <c r="M46" i="8"/>
  <c r="M82" i="8"/>
  <c r="C10" i="7"/>
  <c r="G32" i="7"/>
  <c r="M31" i="8"/>
  <c r="J30" i="7"/>
  <c r="O33" i="7"/>
  <c r="I32" i="7"/>
  <c r="P32" i="7"/>
  <c r="M27" i="7"/>
  <c r="L24" i="8"/>
  <c r="L45" i="8"/>
  <c r="J32" i="7"/>
  <c r="Q31" i="7"/>
  <c r="Q35" i="7"/>
  <c r="Q29" i="7"/>
  <c r="K36" i="7"/>
  <c r="L20" i="8"/>
  <c r="L83" i="8"/>
  <c r="L73" i="8"/>
  <c r="L65" i="8"/>
  <c r="M62" i="8"/>
  <c r="L50" i="8"/>
  <c r="F33" i="7"/>
  <c r="H29" i="7"/>
  <c r="M13" i="8"/>
  <c r="M100" i="8"/>
  <c r="E30" i="7"/>
  <c r="M80" i="8"/>
  <c r="O34" i="7"/>
  <c r="L48" i="8"/>
  <c r="Q28" i="7"/>
  <c r="J29" i="7"/>
  <c r="M34" i="7"/>
  <c r="H36" i="7"/>
  <c r="P31" i="7"/>
  <c r="J27" i="7"/>
  <c r="E29" i="7"/>
  <c r="M44" i="8"/>
  <c r="F29" i="7"/>
  <c r="L32" i="8"/>
  <c r="L34" i="8"/>
  <c r="F27" i="7"/>
  <c r="H28" i="7"/>
  <c r="M28" i="8"/>
  <c r="M15" i="8"/>
  <c r="L35" i="8"/>
  <c r="O30" i="7"/>
  <c r="F32" i="7"/>
  <c r="H34" i="7"/>
  <c r="C30" i="7"/>
  <c r="Q30" i="7"/>
  <c r="L35" i="7"/>
  <c r="R29" i="7"/>
  <c r="F28" i="7"/>
  <c r="G35" i="7"/>
  <c r="E35" i="7"/>
  <c r="M116" i="8"/>
  <c r="R28" i="7"/>
  <c r="N31" i="7"/>
  <c r="L36" i="8"/>
  <c r="L75" i="8"/>
  <c r="L72" i="8"/>
  <c r="L64" i="8"/>
  <c r="L2" i="8"/>
  <c r="G30" i="7"/>
  <c r="R36" i="7"/>
  <c r="J34" i="7"/>
  <c r="O35" i="7"/>
  <c r="L15" i="8"/>
  <c r="M68" i="8"/>
  <c r="L5" i="8"/>
  <c r="L29" i="8"/>
  <c r="M81" i="8"/>
  <c r="M71" i="8"/>
  <c r="F34" i="7"/>
  <c r="E27" i="7"/>
  <c r="M121" i="8"/>
  <c r="N34" i="7"/>
  <c r="M64" i="8"/>
  <c r="L53" i="8"/>
  <c r="M19" i="8"/>
  <c r="M93" i="8"/>
  <c r="M32" i="8"/>
  <c r="D31" i="7"/>
  <c r="O36" i="7"/>
  <c r="M36" i="7"/>
  <c r="D36" i="7"/>
  <c r="L31" i="8"/>
  <c r="L60" i="8"/>
  <c r="L34" i="7"/>
  <c r="C35" i="7"/>
  <c r="D35" i="7"/>
  <c r="L6" i="8"/>
  <c r="M65" i="8"/>
  <c r="J35" i="7"/>
  <c r="M17" i="8"/>
  <c r="M115" i="8"/>
  <c r="M92" i="8"/>
  <c r="I34" i="7"/>
  <c r="H27" i="7"/>
  <c r="M73" i="8"/>
  <c r="M69" i="8"/>
  <c r="L27" i="8"/>
  <c r="J28" i="7"/>
  <c r="M56" i="8"/>
  <c r="M91" i="8"/>
  <c r="R34" i="7"/>
  <c r="O29" i="7"/>
  <c r="L16" i="8"/>
  <c r="M35" i="7"/>
  <c r="M8" i="8"/>
  <c r="L54" i="8"/>
  <c r="L46" i="8"/>
  <c r="M96" i="8"/>
  <c r="I4" i="7"/>
  <c r="R32" i="7"/>
  <c r="M25" i="8"/>
  <c r="D28" i="7"/>
  <c r="D34" i="7"/>
  <c r="L85" i="8"/>
  <c r="L71" i="8"/>
  <c r="L63" i="8"/>
  <c r="I33" i="7"/>
  <c r="L44" i="8"/>
  <c r="I27" i="7"/>
  <c r="M30" i="7"/>
  <c r="P36" i="7"/>
  <c r="E34" i="7"/>
  <c r="M98" i="8"/>
  <c r="R35" i="7"/>
  <c r="M21" i="8"/>
  <c r="D27" i="7"/>
  <c r="M50" i="8"/>
  <c r="M29" i="8"/>
  <c r="N36" i="7"/>
  <c r="L13" i="8"/>
  <c r="L17" i="8"/>
  <c r="K27" i="7"/>
  <c r="M105" i="8"/>
  <c r="M102" i="8"/>
  <c r="H33" i="7"/>
  <c r="C3" i="7"/>
  <c r="E3" i="7" s="1"/>
  <c r="O4" i="7"/>
  <c r="M47" i="8"/>
  <c r="L12" i="8"/>
  <c r="N33" i="7"/>
  <c r="C27" i="7"/>
  <c r="L4" i="8"/>
  <c r="N30" i="7"/>
  <c r="M67" i="8"/>
  <c r="R33" i="7"/>
  <c r="L51" i="8"/>
  <c r="M79" i="8"/>
  <c r="F30" i="7"/>
  <c r="C34" i="7"/>
  <c r="L31" i="7"/>
  <c r="L84" i="8"/>
  <c r="L80" i="8"/>
  <c r="L70" i="8"/>
  <c r="L10" i="8"/>
  <c r="L29" i="7"/>
  <c r="D32" i="7"/>
  <c r="O32" i="7"/>
  <c r="H30" i="7"/>
  <c r="M34" i="8"/>
  <c r="M35" i="8"/>
  <c r="M118" i="8"/>
  <c r="I30" i="7"/>
  <c r="M89" i="8"/>
  <c r="M111" i="8"/>
  <c r="N32" i="7"/>
  <c r="L26" i="8"/>
  <c r="M61" i="8"/>
  <c r="M30" i="8"/>
  <c r="M29" i="7"/>
  <c r="G27" i="7"/>
  <c r="M18" i="8"/>
  <c r="L9" i="8"/>
  <c r="L3" i="8"/>
  <c r="Q32" i="7"/>
  <c r="L57" i="8"/>
  <c r="K35" i="7"/>
  <c r="I36" i="7"/>
  <c r="G31" i="7"/>
  <c r="I31" i="7"/>
  <c r="M94" i="8"/>
  <c r="L21" i="8"/>
  <c r="M24" i="8"/>
  <c r="L22" i="8"/>
  <c r="O31" i="7"/>
  <c r="L47" i="8"/>
  <c r="Q36" i="7"/>
  <c r="M36" i="8"/>
  <c r="M14" i="8"/>
  <c r="M23" i="8"/>
  <c r="N29" i="7"/>
  <c r="L28" i="7"/>
  <c r="L28" i="8"/>
  <c r="M86" i="8"/>
  <c r="G33" i="7"/>
  <c r="M66" i="8"/>
  <c r="Q27" i="7"/>
  <c r="F3" i="7"/>
  <c r="M53" i="8"/>
  <c r="M20" i="8"/>
  <c r="I35" i="7"/>
  <c r="M78" i="8"/>
  <c r="F31" i="7"/>
  <c r="M9" i="8"/>
  <c r="M45" i="8"/>
  <c r="H31" i="7"/>
  <c r="L76" i="8"/>
  <c r="L79" i="8"/>
  <c r="L69" i="8"/>
  <c r="M107" i="8"/>
  <c r="M77" i="8"/>
  <c r="D29" i="7"/>
  <c r="L8" i="8"/>
  <c r="L59" i="8"/>
  <c r="M76" i="8"/>
  <c r="M48" i="8"/>
  <c r="K32" i="7"/>
  <c r="L33" i="7"/>
  <c r="L7" i="8"/>
  <c r="C4" i="7"/>
  <c r="M16" i="8"/>
  <c r="M52" i="8"/>
  <c r="D30" i="7"/>
  <c r="M113" i="8"/>
  <c r="M110" i="8"/>
  <c r="I3" i="7"/>
  <c r="P33" i="7"/>
  <c r="M95" i="8"/>
  <c r="K33" i="7"/>
  <c r="C12" i="7"/>
  <c r="P35" i="7"/>
  <c r="M3" i="8"/>
  <c r="E32" i="7"/>
  <c r="M75" i="8"/>
  <c r="L32" i="7"/>
  <c r="C36" i="7"/>
  <c r="K28" i="7"/>
  <c r="M85" i="8"/>
  <c r="I29" i="7"/>
  <c r="N35" i="7"/>
  <c r="O3" i="7"/>
  <c r="Q3" i="7" s="1"/>
  <c r="M22" i="8"/>
  <c r="M28" i="7"/>
  <c r="M59" i="8"/>
  <c r="M55" i="8"/>
  <c r="G36" i="7"/>
  <c r="L25" i="8"/>
  <c r="M51" i="8"/>
  <c r="C8" i="7"/>
  <c r="M4" i="8"/>
  <c r="K30" i="7"/>
  <c r="K29" i="7"/>
  <c r="K34" i="7"/>
  <c r="L82" i="8"/>
  <c r="L86" i="8"/>
  <c r="L68" i="8"/>
  <c r="F36" i="7"/>
  <c r="L33" i="8"/>
  <c r="M33" i="8"/>
  <c r="M117" i="8"/>
  <c r="C33" i="7"/>
  <c r="M99" i="8"/>
  <c r="M84" i="8"/>
  <c r="Q33" i="7"/>
  <c r="F35" i="7"/>
  <c r="M70" i="8"/>
  <c r="E28" i="7"/>
  <c r="L19" i="8"/>
  <c r="J36" i="7"/>
  <c r="R27" i="7"/>
  <c r="J31" i="7"/>
  <c r="N27" i="7"/>
  <c r="I9" i="7"/>
  <c r="H35" i="7"/>
  <c r="C11" i="7"/>
  <c r="L11" i="8"/>
  <c r="L56" i="8"/>
  <c r="K31" i="7"/>
  <c r="M5" i="8"/>
  <c r="M72" i="8"/>
  <c r="M88" i="8"/>
  <c r="E33" i="7"/>
  <c r="L49" i="8"/>
  <c r="M6" i="8"/>
  <c r="M63" i="8"/>
  <c r="P28" i="7"/>
  <c r="R31" i="7"/>
  <c r="M27" i="8"/>
  <c r="L30" i="8"/>
  <c r="M109" i="8"/>
  <c r="M103" i="8"/>
  <c r="L27" i="7"/>
  <c r="I28" i="7"/>
  <c r="L18" i="8"/>
  <c r="G28" i="7"/>
  <c r="L14" i="8"/>
  <c r="L30" i="7"/>
  <c r="O28" i="7"/>
  <c r="M57" i="8"/>
  <c r="M33" i="7"/>
  <c r="E4" i="7"/>
  <c r="D3" i="7"/>
  <c r="P3" i="7"/>
  <c r="D8" i="7"/>
  <c r="L74" i="8"/>
  <c r="L78" i="8"/>
  <c r="L67" i="8"/>
  <c r="L61" i="8"/>
  <c r="C32" i="7"/>
  <c r="M83" i="8"/>
  <c r="J33" i="7"/>
  <c r="M2" i="8"/>
  <c r="E31" i="7"/>
  <c r="M58" i="8"/>
  <c r="M31" i="7"/>
  <c r="M119" i="8"/>
  <c r="O27" i="7"/>
  <c r="P27" i="7"/>
  <c r="M49" i="8"/>
  <c r="M112" i="8"/>
  <c r="H32" i="7"/>
  <c r="M54" i="8"/>
  <c r="M32" i="7"/>
  <c r="L23" i="8"/>
  <c r="M74" i="8"/>
  <c r="F4" i="7"/>
  <c r="E36" i="7"/>
  <c r="Q4" i="7"/>
  <c r="M87" i="8"/>
  <c r="K4" i="7"/>
  <c r="J4" i="7"/>
  <c r="I6" i="7"/>
  <c r="L4" i="7"/>
  <c r="I7" i="7"/>
  <c r="P4" i="7"/>
  <c r="O8" i="7"/>
  <c r="P8" i="7" s="1"/>
  <c r="O9" i="7"/>
  <c r="O6" i="7"/>
  <c r="C6" i="7"/>
  <c r="C7" i="7"/>
  <c r="C9" i="7"/>
  <c r="D4" i="7"/>
  <c r="I8" i="7"/>
  <c r="L3" i="7"/>
  <c r="K3" i="7"/>
  <c r="F8" i="7"/>
  <c r="E8" i="7"/>
  <c r="K9" i="7"/>
  <c r="J9" i="7"/>
  <c r="L9" i="7"/>
  <c r="K6" i="7"/>
  <c r="J6" i="7"/>
  <c r="L6" i="7"/>
  <c r="K7" i="7"/>
  <c r="L7" i="7"/>
  <c r="J7" i="7"/>
  <c r="P9" i="7"/>
  <c r="Q9" i="7"/>
  <c r="Q6" i="7"/>
  <c r="P6" i="7"/>
  <c r="D6" i="7"/>
  <c r="F6" i="7"/>
  <c r="E6" i="7"/>
  <c r="D7" i="7"/>
  <c r="E7" i="7"/>
  <c r="F7" i="7"/>
  <c r="D9" i="7"/>
  <c r="E9" i="7"/>
  <c r="F9" i="7"/>
  <c r="J8" i="7"/>
  <c r="K8" i="7"/>
  <c r="L8" i="7"/>
  <c r="A1" i="7" l="1"/>
  <c r="A1" i="8"/>
  <c r="J3" i="7"/>
  <c r="G9" i="7"/>
  <c r="M7" i="7"/>
  <c r="G8" i="7"/>
  <c r="G4" i="7"/>
  <c r="G3" i="7"/>
  <c r="Q8" i="7"/>
  <c r="R8" i="7" s="1"/>
  <c r="O7" i="7"/>
  <c r="M8" i="7"/>
  <c r="M4" i="7"/>
  <c r="N4" i="7" s="1"/>
  <c r="G6" i="7"/>
  <c r="H6" i="7" s="1"/>
  <c r="H9" i="7"/>
  <c r="R4" i="7"/>
  <c r="R3" i="7"/>
  <c r="N8" i="7"/>
  <c r="G7" i="7"/>
  <c r="N7" i="7"/>
  <c r="M9" i="7"/>
  <c r="N9" i="7" s="1"/>
  <c r="M6" i="7"/>
  <c r="N6" i="7" s="1"/>
  <c r="R9" i="7"/>
  <c r="R6" i="7"/>
  <c r="P7" i="7"/>
  <c r="Q7" i="7"/>
  <c r="R7" i="7"/>
  <c r="H7" i="7"/>
  <c r="M3" i="7"/>
  <c r="H3" i="7"/>
  <c r="H4" i="7"/>
  <c r="H8" i="7"/>
  <c r="N3" i="7"/>
</calcChain>
</file>

<file path=xl/sharedStrings.xml><?xml version="1.0" encoding="utf-8"?>
<sst xmlns="http://schemas.openxmlformats.org/spreadsheetml/2006/main" count="530" uniqueCount="357">
  <si>
    <t>±</t>
    <phoneticPr fontId="8"/>
  </si>
  <si>
    <t>指</t>
    <rPh sb="0" eb="1">
      <t>ユビ</t>
    </rPh>
    <phoneticPr fontId="8"/>
  </si>
  <si>
    <t>仮</t>
    <rPh sb="0" eb="1">
      <t>カリ</t>
    </rPh>
    <phoneticPr fontId="8"/>
  </si>
  <si>
    <t>10進変換</t>
    <rPh sb="2" eb="3">
      <t>シン</t>
    </rPh>
    <rPh sb="3" eb="5">
      <t>ヘンカン</t>
    </rPh>
    <phoneticPr fontId="8"/>
  </si>
  <si>
    <t>2進値</t>
    <rPh sb="1" eb="2">
      <t>シン</t>
    </rPh>
    <rPh sb="2" eb="3">
      <t>アタイ</t>
    </rPh>
    <phoneticPr fontId="8"/>
  </si>
  <si>
    <t>A</t>
    <phoneticPr fontId="8"/>
  </si>
  <si>
    <t>B</t>
    <phoneticPr fontId="8"/>
  </si>
  <si>
    <t>A+B</t>
    <phoneticPr fontId="8"/>
  </si>
  <si>
    <t>A-B</t>
    <phoneticPr fontId="8"/>
  </si>
  <si>
    <t>A*B</t>
    <phoneticPr fontId="8"/>
  </si>
  <si>
    <t>A/B</t>
    <phoneticPr fontId="8"/>
  </si>
  <si>
    <t>double</t>
    <phoneticPr fontId="8"/>
  </si>
  <si>
    <t>float</t>
    <phoneticPr fontId="8"/>
  </si>
  <si>
    <t>Internal Hex</t>
    <phoneticPr fontId="8"/>
  </si>
  <si>
    <t>long</t>
    <phoneticPr fontId="8"/>
  </si>
  <si>
    <t>実</t>
    <rPh sb="0" eb="1">
      <t>ジツ</t>
    </rPh>
    <phoneticPr fontId="8"/>
  </si>
  <si>
    <t>SizeOfCDouble</t>
    <phoneticPr fontId="8"/>
  </si>
  <si>
    <t>SizeOfCFloat</t>
    <phoneticPr fontId="8"/>
  </si>
  <si>
    <t>SizeOfCLong</t>
    <phoneticPr fontId="8"/>
  </si>
  <si>
    <t>shiftNumeralPnt</t>
    <phoneticPr fontId="8"/>
  </si>
  <si>
    <t>bin</t>
    <phoneticPr fontId="8"/>
  </si>
  <si>
    <t>dec</t>
    <phoneticPr fontId="8"/>
  </si>
  <si>
    <t>hex</t>
    <phoneticPr fontId="8"/>
  </si>
  <si>
    <t>binでない</t>
    <phoneticPr fontId="8"/>
  </si>
  <si>
    <t>decでない</t>
    <phoneticPr fontId="8"/>
  </si>
  <si>
    <t>hexでない</t>
    <phoneticPr fontId="8"/>
  </si>
  <si>
    <t>input</t>
    <phoneticPr fontId="8"/>
  </si>
  <si>
    <t>output</t>
    <phoneticPr fontId="8"/>
  </si>
  <si>
    <t>A</t>
    <phoneticPr fontId="8"/>
  </si>
  <si>
    <t>基数が範囲外</t>
    <rPh sb="0" eb="2">
      <t>キスウ</t>
    </rPh>
    <rPh sb="3" eb="5">
      <t>ハンイ</t>
    </rPh>
    <rPh sb="5" eb="6">
      <t>ガイ</t>
    </rPh>
    <phoneticPr fontId="8"/>
  </si>
  <si>
    <t>F0F</t>
    <phoneticPr fontId="8"/>
  </si>
  <si>
    <t>G</t>
    <phoneticPr fontId="8"/>
  </si>
  <si>
    <t>小数点付き</t>
    <rPh sb="0" eb="3">
      <t>ショウスウテン</t>
    </rPh>
    <rPh sb="3" eb="4">
      <t>ツ</t>
    </rPh>
    <phoneticPr fontId="8"/>
  </si>
  <si>
    <t>+shift</t>
    <phoneticPr fontId="8"/>
  </si>
  <si>
    <t>0shift</t>
    <phoneticPr fontId="8"/>
  </si>
  <si>
    <t>-shift</t>
    <phoneticPr fontId="8"/>
  </si>
  <si>
    <t>F0.F</t>
    <phoneticPr fontId="8"/>
  </si>
  <si>
    <t>isNumeralPnt</t>
    <phoneticPr fontId="8"/>
  </si>
  <si>
    <t>1進数</t>
    <rPh sb="1" eb="3">
      <t>シンスウ</t>
    </rPh>
    <phoneticPr fontId="8"/>
  </si>
  <si>
    <t>17進数</t>
    <rPh sb="2" eb="4">
      <t>シンスウ</t>
    </rPh>
    <phoneticPr fontId="8"/>
  </si>
  <si>
    <t>基数未指定</t>
    <rPh sb="0" eb="2">
      <t>キスウ</t>
    </rPh>
    <rPh sb="2" eb="5">
      <t>ミシテイ</t>
    </rPh>
    <phoneticPr fontId="8"/>
  </si>
  <si>
    <t>A</t>
    <phoneticPr fontId="8"/>
  </si>
  <si>
    <t>NG</t>
    <phoneticPr fontId="8"/>
  </si>
  <si>
    <t>OK</t>
    <phoneticPr fontId="8"/>
  </si>
  <si>
    <t>G</t>
    <phoneticPr fontId="8"/>
  </si>
  <si>
    <t>F</t>
    <phoneticPr fontId="8"/>
  </si>
  <si>
    <t>小数点付きNG</t>
    <rPh sb="0" eb="3">
      <t>ショウスウテン</t>
    </rPh>
    <rPh sb="3" eb="4">
      <t>ツ</t>
    </rPh>
    <phoneticPr fontId="8"/>
  </si>
  <si>
    <t>小数点付きOK</t>
    <rPh sb="0" eb="3">
      <t>ショウスウテン</t>
    </rPh>
    <rPh sb="3" eb="4">
      <t>ツ</t>
    </rPh>
    <phoneticPr fontId="8"/>
  </si>
  <si>
    <t>90.A</t>
    <phoneticPr fontId="8"/>
  </si>
  <si>
    <t>F0.G</t>
    <phoneticPr fontId="8"/>
  </si>
  <si>
    <t>addNPntNPnt</t>
    <phoneticPr fontId="8"/>
  </si>
  <si>
    <t>convDecPntToBinPnt</t>
    <phoneticPr fontId="8"/>
  </si>
  <si>
    <t>convBinPntToDecPnt</t>
    <phoneticPr fontId="8"/>
  </si>
  <si>
    <t>整数部の処理に除算が必要。小数部の処理に乗算が必要</t>
    <rPh sb="0" eb="2">
      <t>セイスウ</t>
    </rPh>
    <rPh sb="2" eb="3">
      <t>ブ</t>
    </rPh>
    <rPh sb="4" eb="6">
      <t>ショリ</t>
    </rPh>
    <rPh sb="7" eb="9">
      <t>ジョザン</t>
    </rPh>
    <rPh sb="10" eb="12">
      <t>ヒツヨウ</t>
    </rPh>
    <rPh sb="13" eb="16">
      <t>ショウスウブ</t>
    </rPh>
    <rPh sb="17" eb="19">
      <t>ショリ</t>
    </rPh>
    <rPh sb="20" eb="22">
      <t>ジョウザン</t>
    </rPh>
    <rPh sb="23" eb="25">
      <t>ヒツヨウ</t>
    </rPh>
    <phoneticPr fontId="8"/>
  </si>
  <si>
    <t>整数部の処理に乗算が必要。小数部の処理に徐算が必要</t>
    <rPh sb="0" eb="2">
      <t>セイスウ</t>
    </rPh>
    <rPh sb="2" eb="3">
      <t>ブ</t>
    </rPh>
    <rPh sb="4" eb="6">
      <t>ショリ</t>
    </rPh>
    <rPh sb="7" eb="9">
      <t>ジョウザン</t>
    </rPh>
    <rPh sb="10" eb="12">
      <t>ヒツヨウ</t>
    </rPh>
    <rPh sb="13" eb="16">
      <t>ショウスウブ</t>
    </rPh>
    <rPh sb="17" eb="19">
      <t>ショリ</t>
    </rPh>
    <rPh sb="20" eb="21">
      <t>ジョ</t>
    </rPh>
    <rPh sb="21" eb="22">
      <t>サン</t>
    </rPh>
    <rPh sb="23" eb="25">
      <t>ヒツヨウ</t>
    </rPh>
    <phoneticPr fontId="8"/>
  </si>
  <si>
    <t>あとまわし</t>
    <phoneticPr fontId="8"/>
  </si>
  <si>
    <t>A</t>
    <phoneticPr fontId="8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</si>
  <si>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8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</si>
  <si>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8"/>
  </si>
  <si>
    <t>(+) + (+)</t>
    <phoneticPr fontId="8"/>
  </si>
  <si>
    <t>(-) + (+)</t>
    <phoneticPr fontId="8"/>
  </si>
  <si>
    <t>(-) + (-)</t>
    <phoneticPr fontId="8"/>
  </si>
  <si>
    <t>小数点付き</t>
    <rPh sb="0" eb="3">
      <t>ショウスウテン</t>
    </rPh>
    <rPh sb="3" eb="4">
      <t>ツ</t>
    </rPh>
    <phoneticPr fontId="8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</si>
  <si>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8"/>
  </si>
  <si>
    <t>dec</t>
    <phoneticPr fontId="8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</si>
  <si>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8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</si>
  <si>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8"/>
  </si>
  <si>
    <t>decでない</t>
    <phoneticPr fontId="8"/>
  </si>
  <si>
    <t>hex</t>
    <phoneticPr fontId="8"/>
  </si>
  <si>
    <t>hexでない</t>
    <phoneticPr fontId="8"/>
  </si>
  <si>
    <t>F</t>
    <phoneticPr fontId="8"/>
  </si>
  <si>
    <t>F</t>
    <phoneticPr fontId="8"/>
  </si>
  <si>
    <t>-F</t>
    <phoneticPr fontId="8"/>
  </si>
  <si>
    <r>
      <t>-</t>
    </r>
    <r>
      <rPr>
        <sz val="9"/>
        <color theme="1"/>
        <rFont val="ＭＳ ゴシック"/>
        <family val="2"/>
        <charset val="128"/>
      </rPr>
      <t>F</t>
    </r>
    <phoneticPr fontId="8"/>
  </si>
  <si>
    <t>F</t>
    <phoneticPr fontId="8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</si>
  <si>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8"/>
  </si>
  <si>
    <t>0.F</t>
    <phoneticPr fontId="8"/>
  </si>
  <si>
    <t>10.G</t>
    <phoneticPr fontId="8"/>
  </si>
  <si>
    <t>0.G</t>
    <phoneticPr fontId="8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</si>
  <si>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</si>
  <si>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</si>
  <si>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</si>
  <si>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</si>
  <si>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</si>
  <si>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</si>
  <si>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</si>
  <si>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</si>
  <si>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</si>
  <si>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</si>
  <si>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</si>
  <si>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</si>
  <si>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</si>
  <si>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</si>
  <si>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</si>
  <si>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</si>
  <si>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</si>
  <si>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</si>
  <si>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</si>
  <si>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</si>
  <si>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</si>
  <si>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</si>
  <si>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</si>
  <si>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8"/>
  </si>
  <si>
    <t>multipleNPntByOneDig</t>
  </si>
  <si>
    <t>A</t>
    <phoneticPr fontId="8"/>
  </si>
  <si>
    <t>(+) * (+)</t>
  </si>
  <si>
    <t>(+) * (-)</t>
  </si>
  <si>
    <t>(-) * (+)</t>
  </si>
  <si>
    <t>(-) * (-)</t>
  </si>
  <si>
    <t>-1</t>
    <phoneticPr fontId="8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</si>
  <si>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8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</si>
  <si>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8"/>
  </si>
  <si>
    <t>decでない</t>
    <phoneticPr fontId="8"/>
  </si>
  <si>
    <t>hexでない</t>
    <phoneticPr fontId="8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</si>
  <si>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8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</si>
  <si>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</si>
  <si>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</si>
  <si>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</si>
  <si>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</si>
  <si>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</si>
  <si>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</si>
  <si>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</si>
  <si>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</si>
  <si>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</si>
  <si>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</si>
  <si>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</si>
  <si>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</si>
  <si>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</si>
  <si>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</si>
  <si>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</si>
  <si>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</si>
  <si>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</si>
  <si>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</si>
  <si>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</si>
  <si>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</si>
  <si>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</si>
  <si>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</si>
  <si>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</si>
  <si>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</si>
  <si>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</si>
  <si>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</si>
  <si>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</si>
  <si>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</si>
  <si>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</si>
  <si>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</si>
  <si>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</si>
  <si>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</si>
  <si>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</si>
  <si>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</si>
  <si>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</si>
  <si>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</si>
  <si>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</si>
  <si>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</si>
  <si>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</si>
  <si>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</si>
  <si>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</si>
  <si>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</si>
  <si>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</si>
  <si>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</si>
  <si>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</si>
  <si>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</si>
  <si>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</si>
  <si>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</si>
  <si>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</si>
  <si>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</si>
  <si>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</si>
  <si>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</si>
  <si>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</si>
  <si>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</si>
  <si>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</si>
  <si>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</si>
  <si>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</si>
  <si>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</si>
  <si>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</si>
  <si>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</si>
  <si>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8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</si>
  <si>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</si>
  <si>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</si>
  <si>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</si>
  <si>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</si>
  <si>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</si>
  <si>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</si>
  <si>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</si>
  <si>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</si>
  <si>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</si>
  <si>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8"/>
  </si>
  <si>
    <t>A</t>
    <phoneticPr fontId="8"/>
  </si>
  <si>
    <t>20</t>
  </si>
  <si>
    <t>101.1</t>
  </si>
  <si>
    <t>891</t>
  </si>
  <si>
    <t>-891</t>
  </si>
  <si>
    <t>899.1</t>
  </si>
  <si>
    <t>FF</t>
    <phoneticPr fontId="8"/>
  </si>
  <si>
    <t>F</t>
    <phoneticPr fontId="8"/>
  </si>
  <si>
    <t>F</t>
    <phoneticPr fontId="8"/>
  </si>
  <si>
    <r>
      <t>F</t>
    </r>
    <r>
      <rPr>
        <sz val="9"/>
        <color theme="1"/>
        <rFont val="ＭＳ ゴシック"/>
        <family val="2"/>
        <charset val="128"/>
      </rPr>
      <t>F</t>
    </r>
    <phoneticPr fontId="8"/>
  </si>
  <si>
    <t>-F</t>
    <phoneticPr fontId="8"/>
  </si>
  <si>
    <t>-FF</t>
    <phoneticPr fontId="8"/>
  </si>
  <si>
    <t>F</t>
    <phoneticPr fontId="8"/>
  </si>
  <si>
    <t>-F</t>
    <phoneticPr fontId="8"/>
  </si>
  <si>
    <t>10.F</t>
    <phoneticPr fontId="8"/>
  </si>
  <si>
    <t>G</t>
    <phoneticPr fontId="8"/>
  </si>
  <si>
    <t>A</t>
    <phoneticPr fontId="8"/>
  </si>
  <si>
    <t>A</t>
    <phoneticPr fontId="8"/>
  </si>
  <si>
    <t>G</t>
    <phoneticPr fontId="8"/>
  </si>
  <si>
    <t>EF1</t>
  </si>
  <si>
    <t>-EF1</t>
  </si>
  <si>
    <t>FE.1</t>
  </si>
  <si>
    <t>divideNPntByOneDig</t>
    <phoneticPr fontId="8"/>
  </si>
  <si>
    <t>A</t>
    <phoneticPr fontId="8"/>
  </si>
  <si>
    <t>除算回数指定</t>
    <rPh sb="0" eb="2">
      <t>ジョザン</t>
    </rPh>
    <rPh sb="2" eb="4">
      <t>カイスウ</t>
    </rPh>
    <rPh sb="4" eb="6">
      <t>シテイ</t>
    </rPh>
    <phoneticPr fontId="8"/>
  </si>
  <si>
    <t>0回</t>
    <rPh sb="1" eb="2">
      <t>カイ</t>
    </rPh>
    <phoneticPr fontId="8"/>
  </si>
  <si>
    <t>1回</t>
    <rPh sb="1" eb="2">
      <t>カイ</t>
    </rPh>
    <phoneticPr fontId="8"/>
  </si>
  <si>
    <t>未指定</t>
    <rPh sb="0" eb="3">
      <t>ミシテイ</t>
    </rPh>
    <phoneticPr fontId="8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</si>
  <si>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8"/>
  </si>
  <si>
    <t>(+) / (+)</t>
  </si>
  <si>
    <t>(+) / (-)</t>
  </si>
  <si>
    <t>(-) / (+)</t>
  </si>
  <si>
    <t>(-) / (-)</t>
  </si>
  <si>
    <t>decでない</t>
    <phoneticPr fontId="8"/>
  </si>
  <si>
    <t>hexでない</t>
    <phoneticPr fontId="8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</si>
  <si>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8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</si>
  <si>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8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</si>
  <si>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8"/>
  </si>
  <si>
    <t>A</t>
    <phoneticPr fontId="8"/>
  </si>
  <si>
    <t>FF</t>
    <phoneticPr fontId="8"/>
  </si>
  <si>
    <t>F</t>
    <phoneticPr fontId="8"/>
  </si>
  <si>
    <r>
      <t>F</t>
    </r>
    <r>
      <rPr>
        <sz val="9"/>
        <color theme="1"/>
        <rFont val="ＭＳ ゴシック"/>
        <family val="2"/>
        <charset val="128"/>
      </rPr>
      <t>F</t>
    </r>
    <phoneticPr fontId="8"/>
  </si>
  <si>
    <r>
      <t>-</t>
    </r>
    <r>
      <rPr>
        <sz val="9"/>
        <color theme="1"/>
        <rFont val="ＭＳ ゴシック"/>
        <family val="2"/>
        <charset val="128"/>
      </rPr>
      <t>F</t>
    </r>
    <phoneticPr fontId="8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</si>
  <si>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8"/>
  </si>
  <si>
    <t>F</t>
    <phoneticPr fontId="8"/>
  </si>
  <si>
    <t>FF.F</t>
    <phoneticPr fontId="8"/>
  </si>
  <si>
    <t>F</t>
    <phoneticPr fontId="8"/>
  </si>
  <si>
    <t>FF.G</t>
    <phoneticPr fontId="8"/>
  </si>
  <si>
    <t>G</t>
    <phoneticPr fontId="8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</si>
  <si>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</si>
  <si>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</si>
  <si>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</si>
  <si>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</si>
  <si>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</si>
  <si>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</si>
  <si>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</si>
  <si>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</si>
  <si>
    <r>
      <t>output</t>
    </r>
    <r>
      <rPr>
        <sz val="9"/>
        <color theme="1"/>
        <rFont val="ＭＳ ゴシック"/>
        <family val="2"/>
        <charset val="128"/>
      </rPr>
      <t>Formula</t>
    </r>
    <phoneticPr fontId="8"/>
  </si>
  <si>
    <t>=shiftNumeralPnt(E2,F2,G2)</t>
  </si>
  <si>
    <t>=shiftNumeralPnt(E3,F3,G3)</t>
  </si>
  <si>
    <t>=shiftNumeralPnt(E4,F4)</t>
  </si>
  <si>
    <t>=shiftNumeralPnt(E5,F5)</t>
  </si>
  <si>
    <t>=shiftNumeralPnt(E6,F6,G6)</t>
  </si>
  <si>
    <t>=shiftNumeralPnt(E7,F7,G7)</t>
  </si>
  <si>
    <t>=shiftNumeralPnt(E8,F8,G8)</t>
  </si>
  <si>
    <t>=shiftNumeralPnt(E9,F9,G9)</t>
  </si>
  <si>
    <t>=shiftNumeralPnt(E10,F10,G10)</t>
  </si>
  <si>
    <t>=shiftNumeralPnt(E11,F11,G11)</t>
  </si>
  <si>
    <t>=shiftNumeralPnt(E12,F12,G12)</t>
  </si>
  <si>
    <t>=shiftNumeralPnt(E13,F13,G13)</t>
  </si>
  <si>
    <t>=shiftNumeralPnt(E14,F14,G14)</t>
  </si>
  <si>
    <t>=shiftNumeralPnt(E15,F15,G15)</t>
  </si>
  <si>
    <t>=shiftNumeralPnt(E16,F16,G16)</t>
  </si>
  <si>
    <t>=shiftNumeralPnt(E17,F17,G17)</t>
  </si>
  <si>
    <t>=shiftNumeralPnt(E18,F18,G18)</t>
  </si>
  <si>
    <t>=shiftNumeralPnt(E19,F19,G19)</t>
  </si>
  <si>
    <t>=shiftNumeralPnt(E20,F20,G20)</t>
  </si>
  <si>
    <t>=isNumeralPnt(E21,F21)</t>
  </si>
  <si>
    <t>=isNumeralPnt(E22,F22)</t>
  </si>
  <si>
    <t>=isNumeralPnt(E23)</t>
  </si>
  <si>
    <t>=isNumeralPnt(E24)</t>
  </si>
  <si>
    <t>=isNumeralPnt(E25,F25)</t>
  </si>
  <si>
    <t>=isNumeralPnt(E26,F26)</t>
  </si>
  <si>
    <t>=isNumeralPnt(E27,F27)</t>
  </si>
  <si>
    <t>=isNumeralPnt(E28,F28)</t>
  </si>
  <si>
    <t>=isNumeralPnt(E29,F29)</t>
  </si>
  <si>
    <t>=isNumeralPnt(E30,F30)</t>
  </si>
  <si>
    <t>=isNumeralPnt(E31,F31)</t>
  </si>
  <si>
    <t>=isNumeralPnt(E32,F32)</t>
  </si>
  <si>
    <t>=isNumeralPnt(E33,F33)</t>
  </si>
  <si>
    <t>=isNumeralPnt(E34,F34)</t>
  </si>
  <si>
    <t>=isNumeralPnt(E35,F35)</t>
  </si>
  <si>
    <t>=isNumeralPnt(E36,F36)</t>
  </si>
  <si>
    <t>=addNPntNPnt(E44,F44,G44)</t>
  </si>
  <si>
    <t>=addNPntNPnt(E45,F45,G45)</t>
  </si>
  <si>
    <t>=addNPntNPnt(E46,F46)</t>
  </si>
  <si>
    <t>=addNPntNPnt(E47,F47)</t>
  </si>
  <si>
    <t>=addNPntNPnt(E48,F48,G48)</t>
  </si>
  <si>
    <t>=addNPntNPnt(E49,F49,G49)</t>
  </si>
  <si>
    <t>=addNPntNPnt(E50,F50,G50)</t>
  </si>
  <si>
    <t>=addNPntNPnt(E51,F51,G51)</t>
  </si>
  <si>
    <t>=addNPntNPnt(E52,F52,G52)</t>
  </si>
  <si>
    <t>=addNPntNPnt(E53,F53,G53)</t>
  </si>
  <si>
    <t>=addNPntNPnt(E54,F54,G54)</t>
  </si>
  <si>
    <t>=addNPntNPnt(E55,F55,G55)</t>
  </si>
  <si>
    <t>=addNPntNPnt(E56,F56,G56)</t>
  </si>
  <si>
    <t>=addNPntNPnt(E57,F57,G57)</t>
  </si>
  <si>
    <t>=addNPntNPnt(E58,F58,G58)</t>
  </si>
  <si>
    <t>=addNPntNPnt(E59,F59,G59)</t>
  </si>
  <si>
    <t>=addNPntNPnt(E60,F60,G60)</t>
  </si>
  <si>
    <t>=addNPntNPnt(E61,F61,G61)</t>
  </si>
  <si>
    <t>=addNPntNPnt(E62,F62,G62)</t>
  </si>
  <si>
    <t>=addNPntNPnt(E63,F63,G63)</t>
  </si>
  <si>
    <t>=addNPntNPnt(E64,F64,G64)</t>
  </si>
  <si>
    <t>=addNPntNPnt(E65,F65,G65)</t>
  </si>
  <si>
    <t>=addNPntNPnt(E66,F66,G66)</t>
  </si>
  <si>
    <t>=addNPntNPnt(E67,F67,G67)</t>
  </si>
  <si>
    <t>=addNPntNPnt(E68,F68,G68)</t>
  </si>
  <si>
    <t>=multipleNPntByOneDig(E69,F69,G69)</t>
  </si>
  <si>
    <t>=multipleNPntByOneDig(E70,F70,G70)</t>
  </si>
  <si>
    <t>=multipleNPntByOneDig(E71,F71)</t>
  </si>
  <si>
    <t>=multipleNPntByOneDig(E72,F72)</t>
  </si>
  <si>
    <t>=multipleNPntByOneDig(E73,F73,G73)</t>
  </si>
  <si>
    <t>=multipleNPntByOneDig(E74,F74,G74)</t>
  </si>
  <si>
    <t>=multipleNPntByOneDig(E75,F75,G75)</t>
  </si>
  <si>
    <t>=multipleNPntByOneDig(E76,F76,G76)</t>
  </si>
  <si>
    <t>=multipleNPntByOneDig(E77,F77,G77)</t>
  </si>
  <si>
    <t>=multipleNPntByOneDig(E78,F78,G78)</t>
  </si>
  <si>
    <t>=multipleNPntByOneDig(E79,F79,G79)</t>
  </si>
  <si>
    <t>=multipleNPntByOneDig(E80,F80,G80)</t>
  </si>
  <si>
    <t>=multipleNPntByOneDig(E81,F81,G81)</t>
  </si>
  <si>
    <t>=multipleNPntByOneDig(E82,F82,G82)</t>
  </si>
  <si>
    <t>=multipleNPntByOneDig(E83,F83,G83)</t>
  </si>
  <si>
    <t>=multipleNPntByOneDig(E84,F84,G84)</t>
  </si>
  <si>
    <t>=multipleNPntByOneDig(E85,F85,G85)</t>
  </si>
  <si>
    <t>=multipleNPntByOneDig(E86,F86,G86)</t>
  </si>
  <si>
    <t>=multipleNPntByOneDig(E87,F87,G87)</t>
  </si>
  <si>
    <t>=multipleNPntByOneDig(E88,F88,G88)</t>
  </si>
  <si>
    <t>=multipleNPntByOneDig(E89,F89,G89)</t>
  </si>
  <si>
    <t>=multipleNPntByOneDig(E90,F90,G90)</t>
  </si>
  <si>
    <t>=multipleNPntByOneDig(E91,F91,G91)</t>
  </si>
  <si>
    <t>=multipleNPntByOneDig(E92,F92,G92)</t>
  </si>
  <si>
    <t>=multipleNPntByOneDig(E93,F93,G93)</t>
  </si>
  <si>
    <t>=divideNPntByOneDig(E94,F94,G94)</t>
  </si>
  <si>
    <t>=divideNPntByOneDig(E95,F95,G95)</t>
  </si>
  <si>
    <t>=divideNPntByOneDig(E96,F96)</t>
  </si>
  <si>
    <t>=divideNPntByOneDig(E97,F97)</t>
  </si>
  <si>
    <t>=divideNPntByOneDig(E98,F98,G98,H98)</t>
  </si>
  <si>
    <t>=divideNPntByOneDig(E99,F99,G99,H99)</t>
  </si>
  <si>
    <t>=divideNPntByOneDig(E100,F100)</t>
  </si>
  <si>
    <t>=divideNPntByOneDig(E101,F101,G101)</t>
  </si>
  <si>
    <t>=divideNPntByOneDig(E102,F102,G102)</t>
  </si>
  <si>
    <t>=divideNPntByOneDig(E103,F103,G103)</t>
  </si>
  <si>
    <t>=divideNPntByOneDig(E104,F104,G104)</t>
  </si>
  <si>
    <t>=divideNPntByOneDig(E105,F105,G105)</t>
  </si>
  <si>
    <t>=divideNPntByOneDig(E106,F106,G106)</t>
  </si>
  <si>
    <t>=divideNPntByOneDig(E107,F107,G107)</t>
  </si>
  <si>
    <t>=divideNPntByOneDig(E108,F108,G108)</t>
  </si>
  <si>
    <t>=divideNPntByOneDig(E109,F109,G109)</t>
  </si>
  <si>
    <t>=divideNPntByOneDig(E110,F110,G110)</t>
  </si>
  <si>
    <t>=divideNPntByOneDig(E111,F111,G111)</t>
  </si>
  <si>
    <t>=divideNPntByOneDig(E112,F112,G112)</t>
  </si>
  <si>
    <t>=divideNPntByOneDig(E113,F113,G113)</t>
  </si>
  <si>
    <t>=divideNPntByOneDig(E114,F114,G114)</t>
  </si>
  <si>
    <t>=divideNPntByOneDig(E115,F115,G115)</t>
  </si>
  <si>
    <t>=divideNPntByOneDig(E116,F116,G116)</t>
  </si>
  <si>
    <t>=divideNPntByOneDig(E117,F117,G117)</t>
  </si>
  <si>
    <t>=divideNPntByOneDig(E118,F118,G118)</t>
  </si>
  <si>
    <t>=divideNPntByOneDig(E119,F119,G119)</t>
  </si>
  <si>
    <t>=divideNPntByOneDig(E120,F120,G120)</t>
  </si>
  <si>
    <t>=divideNPntByOneDig(E121,F121,G121)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</si>
</sst>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7" fillId="0" borderId="0" xfId="0" applyFont="1">
      <alignment vertical="center"/>
    </xf>
    <xf numFmtId="0" fontId="9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3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0" xfId="0" applyFont="1" applyBorder="1" applyAlignment="1">
      <alignment horizontal="right" vertical="center"/>
    </xf>
    <xf numFmtId="0" fontId="9" fillId="0" borderId="5" xfId="0" applyFont="1" applyBorder="1" applyAlignment="1">
      <alignment horizontal="right" vertical="center"/>
    </xf>
    <xf numFmtId="0" fontId="9" fillId="0" borderId="0" xfId="0" applyFont="1" applyBorder="1">
      <alignment vertical="center"/>
    </xf>
    <xf numFmtId="0" fontId="9" fillId="0" borderId="4" xfId="0" applyFont="1" applyBorder="1" applyAlignment="1">
      <alignment horizontal="right" vertical="center"/>
    </xf>
    <xf numFmtId="0" fontId="9" fillId="0" borderId="5" xfId="0" applyFont="1" applyBorder="1">
      <alignment vertical="center"/>
    </xf>
    <xf numFmtId="0" fontId="10" fillId="0" borderId="6" xfId="0" applyFont="1" applyBorder="1" applyAlignment="1">
      <alignment horizontal="center" vertical="center"/>
    </xf>
    <xf numFmtId="0" fontId="9" fillId="0" borderId="8" xfId="0" applyFont="1" applyBorder="1">
      <alignment vertical="center"/>
    </xf>
    <xf numFmtId="0" fontId="9" fillId="0" borderId="6" xfId="0" applyFont="1" applyBorder="1">
      <alignment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7" xfId="0" applyFont="1" applyBorder="1">
      <alignment vertical="center"/>
    </xf>
    <xf numFmtId="0" fontId="9" fillId="0" borderId="6" xfId="0" applyFont="1" applyBorder="1" applyAlignment="1">
      <alignment horizontal="right" vertical="center"/>
    </xf>
    <xf numFmtId="49" fontId="7" fillId="0" borderId="0" xfId="0" applyNumberFormat="1" applyFont="1">
      <alignment vertical="center"/>
    </xf>
    <xf numFmtId="0" fontId="7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49" fontId="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7" fillId="0" borderId="0" xfId="0" applyFont="1" applyFill="1">
      <alignment vertical="center"/>
    </xf>
    <xf numFmtId="49" fontId="1" fillId="0" borderId="0" xfId="0" applyNumberFormat="1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0" sqref="F20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OK</v>
      </c>
      <c r="C1" s="43" t="s">
        <v>11</v>
      </c>
      <c r="D1" s="44"/>
      <c r="E1" s="44"/>
      <c r="F1" s="44"/>
      <c r="G1" s="44"/>
      <c r="H1" s="45"/>
      <c r="I1" s="43" t="s">
        <v>12</v>
      </c>
      <c r="J1" s="44"/>
      <c r="K1" s="44"/>
      <c r="L1" s="44"/>
      <c r="M1" s="44"/>
      <c r="N1" s="45"/>
      <c r="O1" s="43" t="s">
        <v>14</v>
      </c>
      <c r="P1" s="44"/>
      <c r="Q1" s="44"/>
      <c r="R1" s="45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str">
        <f>shiftNumeralPnt("1."&amp;F3,convBinPntToDecPnt(E3)-1023)</f>
        <v>110101</v>
      </c>
      <c r="H3" s="13" t="str">
        <f>convBinPntToDecPnt(G3)</f>
        <v>53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str">
        <f>IF(J3="1","-","")&amp;shiftNumeralPnt("1."&amp;L3,convBinPntToDecPnt(K3)-127)</f>
        <v>110101</v>
      </c>
      <c r="N3" s="13" t="str">
        <f>convBinPntToDecPnt(M3)</f>
        <v>53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str">
        <f>shiftNumeralPnt("1."&amp;F4,convBinPntToDecPnt(E4)-1023)</f>
        <v>1100100</v>
      </c>
      <c r="H4" s="13" t="str">
        <f>convBinPntToDecPnt(G4)</f>
        <v>100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str">
        <f>IF(J4="1","-","")&amp;shiftNumeralPnt("1."&amp;L4,convBinPntToDecPnt(K4)-127)</f>
        <v>1100100</v>
      </c>
      <c r="N4" s="13" t="str">
        <f>convBinPntToDecPnt(M4)</f>
        <v>100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str">
        <f>IF(D6="1","-","")&amp;shiftNumeralPnt("1."&amp;F6,convBinPntToDecPnt(E6)-1023)</f>
        <v>10011001</v>
      </c>
      <c r="H6" s="13" t="str">
        <f>convBinPntToDecPnt(G6)</f>
        <v>153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str">
        <f>IF(J6="1","-","")&amp;shiftNumeralPnt("1."&amp;L6,convBinPntToDecPnt(K6)-127)</f>
        <v>10011001</v>
      </c>
      <c r="N6" s="13" t="str">
        <f>convBinPntToDecPnt(M6)</f>
        <v>153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str">
        <f>IF(D7="1","-","")&amp;shiftNumeralPnt("1."&amp;F7,convBinPntToDecPnt(E7)-1023)</f>
        <v>-101111</v>
      </c>
      <c r="H7" s="13" t="str">
        <f>convBinPntToDecPnt(G7)</f>
        <v>-47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str">
        <f>IF(J7="1","-","")&amp;shiftNumeralPnt("1."&amp;L7,convBinPntToDecPnt(K7)-127)</f>
        <v>-101111</v>
      </c>
      <c r="N7" s="13" t="str">
        <f>convBinPntToDecPnt(M7)</f>
        <v>-47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IF(P7="0",convBinPntToDecPnt(Q7),"-"&amp;addDecPntDecPnt(convBinPntToDecPnt(SUBSTITUTE(SUBSTITUTE(SUBSTITUTE(Q7,"1","x"),"0","1"),"x","0")),"1"))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str">
        <f>IF(D8="1","-","")&amp;shiftNumeralPnt("1."&amp;F8,convBinPntToDecPnt(E8)-1023)</f>
        <v>1010010110100</v>
      </c>
      <c r="H8" s="13" t="str">
        <f>convBinPntToDecPnt(G8)</f>
        <v>5300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str">
        <f>IF(J8="1","-","")&amp;shiftNumeralPnt("1."&amp;L8,convBinPntToDecPnt(K8)-127)</f>
        <v>1010010110100</v>
      </c>
      <c r="N8" s="13" t="str">
        <f>convBinPntToDecPnt(M8)</f>
        <v>5300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str">
        <f>IF(D9="1","-","")&amp;shiftNumeralPnt("1."&amp;F9,convBinPntToDecPnt(E9)-1023)</f>
        <v>0.1000011110101110000101000111101011100001010001111011</v>
      </c>
      <c r="H9" s="21" t="str">
        <f>convBinPntToDecPnt(G9)</f>
        <v>0.5300000000000000266453525910037569701671600341796875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str">
        <f>IF(J9="1","-","")&amp;shiftNumeralPnt("1."&amp;L9,convBinPntToDecPnt(K9)-127)</f>
        <v>0.1000011110101110000101</v>
      </c>
      <c r="N9" s="21" t="str">
        <f>convBinPntToDecPnt(M9)</f>
        <v>0.5299999713897705078125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IF(P9="0",convBinPntToDecPnt(Q9),"-"&amp;addDecPntDecPnt(convBinPntToDecPnt(SUBSTITUTE(SUBSTITUTE(SUBSTITUTE(Q9,"1","x"),"0","1"),"x","0")),"1"))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175</v>
      </c>
    </row>
    <row r="15" spans="1:18" x14ac:dyDescent="0.15">
      <c r="A15" s="3" t="s">
        <v>176</v>
      </c>
      <c r="C15" s="4" t="s">
        <v>115</v>
      </c>
      <c r="D15" s="2" t="s">
        <v>93</v>
      </c>
      <c r="E15" s="2" t="s">
        <v>116</v>
      </c>
      <c r="F15" s="2" t="s">
        <v>117</v>
      </c>
      <c r="G15" s="2" t="s">
        <v>118</v>
      </c>
      <c r="H15" s="2" t="s">
        <v>119</v>
      </c>
      <c r="I15" s="4" t="s">
        <v>120</v>
      </c>
      <c r="J15" s="4" t="s">
        <v>93</v>
      </c>
      <c r="K15" s="4" t="s">
        <v>121</v>
      </c>
      <c r="L15" s="4" t="s">
        <v>122</v>
      </c>
      <c r="M15" s="4" t="s">
        <v>118</v>
      </c>
      <c r="N15" s="2" t="s">
        <v>119</v>
      </c>
      <c r="O15" s="2" t="s">
        <v>123</v>
      </c>
      <c r="P15" s="2" t="s">
        <v>93</v>
      </c>
      <c r="Q15" s="2" t="s">
        <v>124</v>
      </c>
      <c r="R15" s="2" t="s">
        <v>119</v>
      </c>
    </row>
    <row r="16" spans="1:18" x14ac:dyDescent="0.15">
      <c r="A16" s="3" t="s">
        <v>177</v>
      </c>
      <c r="C16" s="4" t="s">
        <v>125</v>
      </c>
      <c r="D16" s="2" t="s">
        <v>93</v>
      </c>
      <c r="E16" s="2" t="s">
        <v>126</v>
      </c>
      <c r="F16" s="2" t="s">
        <v>127</v>
      </c>
      <c r="G16" s="2" t="s">
        <v>128</v>
      </c>
      <c r="H16" s="2" t="s">
        <v>95</v>
      </c>
      <c r="I16" s="4" t="s">
        <v>129</v>
      </c>
      <c r="J16" s="4" t="s">
        <v>93</v>
      </c>
      <c r="K16" s="4" t="s">
        <v>130</v>
      </c>
      <c r="L16" s="4" t="s">
        <v>131</v>
      </c>
      <c r="M16" s="4" t="s">
        <v>128</v>
      </c>
      <c r="N16" s="4" t="s">
        <v>95</v>
      </c>
      <c r="O16" s="2" t="s">
        <v>132</v>
      </c>
      <c r="P16" s="2" t="s">
        <v>93</v>
      </c>
      <c r="Q16" s="2" t="s">
        <v>133</v>
      </c>
      <c r="R16" s="2" t="s">
        <v>95</v>
      </c>
    </row>
    <row r="18" spans="1:18" x14ac:dyDescent="0.15">
      <c r="A18" s="3" t="s">
        <v>178</v>
      </c>
      <c r="C18" s="4" t="s">
        <v>134</v>
      </c>
      <c r="D18" s="2" t="s">
        <v>93</v>
      </c>
      <c r="E18" s="2" t="s">
        <v>135</v>
      </c>
      <c r="F18" s="2" t="s">
        <v>136</v>
      </c>
      <c r="G18" s="2" t="s">
        <v>137</v>
      </c>
      <c r="H18" s="2" t="s">
        <v>138</v>
      </c>
      <c r="I18" s="4" t="s">
        <v>139</v>
      </c>
      <c r="J18" s="4" t="s">
        <v>93</v>
      </c>
      <c r="K18" s="4" t="s">
        <v>140</v>
      </c>
      <c r="L18" s="4" t="s">
        <v>141</v>
      </c>
      <c r="M18" s="4" t="s">
        <v>137</v>
      </c>
      <c r="N18" s="4" t="s">
        <v>138</v>
      </c>
      <c r="O18" s="2" t="s">
        <v>142</v>
      </c>
      <c r="P18" s="2" t="s">
        <v>93</v>
      </c>
      <c r="Q18" s="2" t="s">
        <v>143</v>
      </c>
      <c r="R18" s="2" t="s">
        <v>138</v>
      </c>
    </row>
    <row r="19" spans="1:18" x14ac:dyDescent="0.15">
      <c r="A19" s="3" t="s">
        <v>179</v>
      </c>
      <c r="C19" s="4" t="s">
        <v>144</v>
      </c>
      <c r="D19" s="2" t="s">
        <v>145</v>
      </c>
      <c r="E19" s="2" t="s">
        <v>116</v>
      </c>
      <c r="F19" s="2" t="s">
        <v>146</v>
      </c>
      <c r="G19" s="2" t="s">
        <v>147</v>
      </c>
      <c r="H19" s="2" t="s">
        <v>148</v>
      </c>
      <c r="I19" s="4" t="s">
        <v>149</v>
      </c>
      <c r="J19" s="4" t="s">
        <v>145</v>
      </c>
      <c r="K19" s="4" t="s">
        <v>121</v>
      </c>
      <c r="L19" s="4" t="s">
        <v>150</v>
      </c>
      <c r="M19" s="4" t="s">
        <v>147</v>
      </c>
      <c r="N19" s="4" t="s">
        <v>148</v>
      </c>
      <c r="O19" s="2" t="s">
        <v>151</v>
      </c>
      <c r="P19" s="2" t="s">
        <v>145</v>
      </c>
      <c r="Q19" s="2" t="s">
        <v>152</v>
      </c>
      <c r="R19" s="2" t="e">
        <v>#NAME?</v>
      </c>
    </row>
    <row r="20" spans="1:18" x14ac:dyDescent="0.15">
      <c r="A20" s="3" t="s">
        <v>180</v>
      </c>
      <c r="C20" s="4" t="s">
        <v>153</v>
      </c>
      <c r="D20" s="2" t="s">
        <v>93</v>
      </c>
      <c r="E20" s="2" t="s">
        <v>154</v>
      </c>
      <c r="F20" s="2" t="s">
        <v>155</v>
      </c>
      <c r="G20" s="2" t="s">
        <v>156</v>
      </c>
      <c r="H20" s="2" t="s">
        <v>157</v>
      </c>
      <c r="I20" s="4" t="s">
        <v>158</v>
      </c>
      <c r="J20" s="4" t="s">
        <v>93</v>
      </c>
      <c r="K20" s="4" t="s">
        <v>159</v>
      </c>
      <c r="L20" s="4" t="s">
        <v>160</v>
      </c>
      <c r="M20" s="4" t="s">
        <v>156</v>
      </c>
      <c r="N20" s="4" t="s">
        <v>157</v>
      </c>
      <c r="O20" s="2" t="s">
        <v>161</v>
      </c>
      <c r="P20" s="2" t="s">
        <v>93</v>
      </c>
      <c r="Q20" s="2" t="s">
        <v>162</v>
      </c>
      <c r="R20" s="2" t="s">
        <v>157</v>
      </c>
    </row>
    <row r="21" spans="1:18" x14ac:dyDescent="0.15">
      <c r="A21" s="3" t="s">
        <v>181</v>
      </c>
      <c r="C21" s="4" t="s">
        <v>163</v>
      </c>
      <c r="D21" s="2" t="s">
        <v>93</v>
      </c>
      <c r="E21" s="2" t="s">
        <v>164</v>
      </c>
      <c r="F21" s="2" t="s">
        <v>165</v>
      </c>
      <c r="G21" s="2" t="s">
        <v>166</v>
      </c>
      <c r="H21" s="2" t="s">
        <v>167</v>
      </c>
      <c r="I21" s="4" t="s">
        <v>168</v>
      </c>
      <c r="J21" s="4" t="s">
        <v>93</v>
      </c>
      <c r="K21" s="4" t="s">
        <v>169</v>
      </c>
      <c r="L21" s="4" t="s">
        <v>170</v>
      </c>
      <c r="M21" s="4" t="s">
        <v>171</v>
      </c>
      <c r="N21" s="4" t="s">
        <v>172</v>
      </c>
      <c r="O21" s="2" t="s">
        <v>173</v>
      </c>
      <c r="P21" s="2" t="s">
        <v>93</v>
      </c>
      <c r="Q21" s="2" t="s">
        <v>174</v>
      </c>
      <c r="R21" s="2" t="s">
        <v>93</v>
      </c>
    </row>
    <row r="22" spans="1:18" x14ac:dyDescent="0.15">
      <c r="A22" s="3" t="s">
        <v>182</v>
      </c>
      <c r="C22" s="4">
        <v>8</v>
      </c>
    </row>
    <row r="23" spans="1:18" x14ac:dyDescent="0.15">
      <c r="A23" s="3" t="s">
        <v>183</v>
      </c>
      <c r="C23" s="4">
        <v>4</v>
      </c>
    </row>
    <row r="24" spans="1:18" x14ac:dyDescent="0.15">
      <c r="A24" s="3" t="s">
        <v>184</v>
      </c>
      <c r="C24" s="4">
        <v>4</v>
      </c>
    </row>
    <row r="26" spans="1:18" x14ac:dyDescent="0.15">
      <c r="A26" s="3" t="s">
        <v>185</v>
      </c>
    </row>
    <row r="27" spans="1:18" x14ac:dyDescent="0.15">
      <c r="A27" s="3" t="s">
        <v>176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1</v>
      </c>
      <c r="H27" s="4" t="b">
        <f t="shared" si="2"/>
        <v>1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1</v>
      </c>
      <c r="N27" s="4" t="b">
        <f t="shared" si="2"/>
        <v>1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1</v>
      </c>
    </row>
    <row r="28" spans="1:18" x14ac:dyDescent="0.15">
      <c r="A28" s="3" t="s">
        <v>177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1</v>
      </c>
      <c r="H28" s="4" t="b">
        <f t="shared" si="3"/>
        <v>1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1</v>
      </c>
      <c r="N28" s="4" t="b">
        <f t="shared" si="3"/>
        <v>1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1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178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1</v>
      </c>
      <c r="H30" s="4" t="b">
        <f t="shared" si="5"/>
        <v>1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1</v>
      </c>
      <c r="N30" s="4" t="b">
        <f t="shared" si="5"/>
        <v>1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1</v>
      </c>
    </row>
    <row r="31" spans="1:18" x14ac:dyDescent="0.15">
      <c r="A31" s="3" t="s">
        <v>179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1</v>
      </c>
      <c r="H31" s="4" t="b">
        <f t="shared" si="6"/>
        <v>1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1</v>
      </c>
      <c r="N31" s="4" t="b">
        <f t="shared" si="6"/>
        <v>1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180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1</v>
      </c>
      <c r="H32" s="4" t="b">
        <f t="shared" si="7"/>
        <v>1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1</v>
      </c>
      <c r="N32" s="4" t="b">
        <f t="shared" si="7"/>
        <v>1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1</v>
      </c>
    </row>
    <row r="33" spans="1:18" x14ac:dyDescent="0.15">
      <c r="A33" s="3" t="s">
        <v>181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1</v>
      </c>
      <c r="H33" s="4" t="b">
        <f t="shared" si="8"/>
        <v>1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1</v>
      </c>
      <c r="N33" s="4" t="b">
        <f t="shared" si="8"/>
        <v>1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182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183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184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</sheetData>
  <mergeCells count="3">
    <mergeCell ref="C1:H1"/>
    <mergeCell ref="I1:N1"/>
    <mergeCell ref="O1:R1"/>
  </mergeCells>
  <phoneticPr fontId="8"/>
  <conditionalFormatting sqref="A1">
    <cfRule type="cellIs" dxfId="3" priority="1" operator="equal">
      <formula>"OK"</formula>
    </cfRule>
    <cfRule type="cellIs" dxfId="2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2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10.7109375" style="1" bestFit="1" customWidth="1"/>
    <col min="7" max="10" width="9.140625" style="1"/>
    <col min="11" max="11" width="35.42578125" style="24" bestFit="1" customWidth="1"/>
    <col min="12" max="16384" width="9.140625" style="1"/>
  </cols>
  <sheetData>
    <row r="1" spans="1:13" x14ac:dyDescent="0.15">
      <c r="A1" s="3" t="str">
        <f>IF(COUNTIF(M:M,FALSE)&gt;0,"NG","OK")</f>
        <v>OK</v>
      </c>
      <c r="E1" s="1" t="s">
        <v>26</v>
      </c>
      <c r="J1" s="31" t="s">
        <v>102</v>
      </c>
      <c r="K1" s="42" t="s">
        <v>243</v>
      </c>
      <c r="L1" s="1" t="s">
        <v>27</v>
      </c>
    </row>
    <row r="2" spans="1:13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24" t="s">
        <v>244</v>
      </c>
      <c r="L2" s="1" t="e">
        <f>shiftNumeralPnt(E2,F2,G2)</f>
        <v>#NUM!</v>
      </c>
      <c r="M2" s="1" t="b">
        <f t="shared" ref="M2:M36" si="0">getText(J2)=getText(L2)</f>
        <v>1</v>
      </c>
    </row>
    <row r="3" spans="1:13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24" t="s">
        <v>245</v>
      </c>
      <c r="L3" s="1" t="e">
        <f>shiftNumeralPnt(E3,F3,G3)</f>
        <v>#NUM!</v>
      </c>
      <c r="M3" s="1" t="b">
        <f t="shared" si="0"/>
        <v>1</v>
      </c>
    </row>
    <row r="4" spans="1:13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24" t="s">
        <v>246</v>
      </c>
      <c r="L4" s="1" t="e">
        <f>shiftNumeralPnt(E4,F4)</f>
        <v>#NUM!</v>
      </c>
      <c r="M4" s="1" t="b">
        <f t="shared" si="0"/>
        <v>1</v>
      </c>
    </row>
    <row r="5" spans="1:13" x14ac:dyDescent="0.15">
      <c r="C5" s="24" t="s">
        <v>43</v>
      </c>
      <c r="E5" s="2">
        <v>9</v>
      </c>
      <c r="F5" s="1">
        <v>1</v>
      </c>
      <c r="J5" s="1" t="s">
        <v>79</v>
      </c>
      <c r="K5" s="24" t="s">
        <v>247</v>
      </c>
      <c r="L5" s="1" t="str">
        <f>shiftNumeralPnt(E5,F5)</f>
        <v>90</v>
      </c>
      <c r="M5" s="1" t="b">
        <f t="shared" si="0"/>
        <v>1</v>
      </c>
    </row>
    <row r="6" spans="1:13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80</v>
      </c>
      <c r="K6" s="24" t="s">
        <v>248</v>
      </c>
      <c r="L6" s="1" t="str">
        <f t="shared" ref="L6:L20" si="1">shiftNumeralPnt(E6,F6,G6)</f>
        <v>10100000</v>
      </c>
      <c r="M6" s="1" t="b">
        <f t="shared" si="0"/>
        <v>1</v>
      </c>
    </row>
    <row r="7" spans="1:13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81</v>
      </c>
      <c r="K7" s="24" t="s">
        <v>249</v>
      </c>
      <c r="L7" s="1" t="str">
        <f t="shared" si="1"/>
        <v>101</v>
      </c>
      <c r="M7" s="1" t="b">
        <f t="shared" si="0"/>
        <v>1</v>
      </c>
    </row>
    <row r="8" spans="1:13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82</v>
      </c>
      <c r="K8" s="24" t="s">
        <v>250</v>
      </c>
      <c r="L8" s="1" t="str">
        <f t="shared" si="1"/>
        <v>0.00101</v>
      </c>
      <c r="M8" s="1" t="b">
        <f t="shared" si="0"/>
        <v>1</v>
      </c>
    </row>
    <row r="9" spans="1:13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83</v>
      </c>
      <c r="K9" s="24" t="s">
        <v>251</v>
      </c>
      <c r="L9" s="1" t="str">
        <f t="shared" si="1"/>
        <v>1010</v>
      </c>
      <c r="M9" s="1" t="b">
        <f t="shared" si="0"/>
        <v>1</v>
      </c>
    </row>
    <row r="10" spans="1:13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24" t="s">
        <v>252</v>
      </c>
      <c r="L10" s="1" t="e">
        <f t="shared" si="1"/>
        <v>#NUM!</v>
      </c>
      <c r="M10" s="1" t="b">
        <f t="shared" si="0"/>
        <v>1</v>
      </c>
    </row>
    <row r="11" spans="1:13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84</v>
      </c>
      <c r="K11" s="24" t="s">
        <v>253</v>
      </c>
      <c r="L11" s="1" t="str">
        <f t="shared" si="1"/>
        <v>90900000</v>
      </c>
      <c r="M11" s="1" t="b">
        <f t="shared" si="0"/>
        <v>1</v>
      </c>
    </row>
    <row r="12" spans="1:13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85</v>
      </c>
      <c r="K12" s="24" t="s">
        <v>254</v>
      </c>
      <c r="L12" s="1" t="str">
        <f t="shared" si="1"/>
        <v>909</v>
      </c>
      <c r="M12" s="1" t="b">
        <f t="shared" si="0"/>
        <v>1</v>
      </c>
    </row>
    <row r="13" spans="1:13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86</v>
      </c>
      <c r="K13" s="24" t="s">
        <v>255</v>
      </c>
      <c r="L13" s="1" t="str">
        <f t="shared" si="1"/>
        <v>0.00909</v>
      </c>
      <c r="M13" s="1" t="b">
        <f t="shared" si="0"/>
        <v>1</v>
      </c>
    </row>
    <row r="14" spans="1:13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87</v>
      </c>
      <c r="K14" s="24" t="s">
        <v>256</v>
      </c>
      <c r="L14" s="1" t="str">
        <f t="shared" si="1"/>
        <v>9090</v>
      </c>
      <c r="M14" s="1" t="b">
        <f t="shared" si="0"/>
        <v>1</v>
      </c>
    </row>
    <row r="15" spans="1:13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24" t="s">
        <v>257</v>
      </c>
      <c r="L15" s="1" t="e">
        <f t="shared" si="1"/>
        <v>#NUM!</v>
      </c>
      <c r="M15" s="1" t="b">
        <f t="shared" si="0"/>
        <v>1</v>
      </c>
    </row>
    <row r="16" spans="1:13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88</v>
      </c>
      <c r="K16" s="24" t="s">
        <v>258</v>
      </c>
      <c r="L16" s="1" t="str">
        <f t="shared" si="1"/>
        <v>F0F00000</v>
      </c>
      <c r="M16" s="1" t="b">
        <f t="shared" si="0"/>
        <v>1</v>
      </c>
    </row>
    <row r="17" spans="1:13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89</v>
      </c>
      <c r="K17" s="24" t="s">
        <v>259</v>
      </c>
      <c r="L17" s="1" t="str">
        <f t="shared" si="1"/>
        <v>F0F</v>
      </c>
      <c r="M17" s="1" t="b">
        <f t="shared" si="0"/>
        <v>1</v>
      </c>
    </row>
    <row r="18" spans="1:13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90</v>
      </c>
      <c r="K18" s="24" t="s">
        <v>260</v>
      </c>
      <c r="L18" s="1" t="str">
        <f t="shared" si="1"/>
        <v>0.00F0F</v>
      </c>
      <c r="M18" s="1" t="b">
        <f t="shared" si="0"/>
        <v>1</v>
      </c>
    </row>
    <row r="19" spans="1:13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91</v>
      </c>
      <c r="K19" s="24" t="s">
        <v>261</v>
      </c>
      <c r="L19" s="1" t="str">
        <f t="shared" si="1"/>
        <v>F0F0</v>
      </c>
      <c r="M19" s="1" t="b">
        <f t="shared" si="0"/>
        <v>1</v>
      </c>
    </row>
    <row r="20" spans="1:13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24" t="s">
        <v>262</v>
      </c>
      <c r="L20" s="1" t="e">
        <f t="shared" si="1"/>
        <v>#NUM!</v>
      </c>
      <c r="M20" s="1" t="b">
        <f t="shared" si="0"/>
        <v>1</v>
      </c>
    </row>
    <row r="21" spans="1:13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24" t="s">
        <v>263</v>
      </c>
      <c r="L21" s="1" t="b">
        <f>isNumeralPnt(E21,F21)</f>
        <v>0</v>
      </c>
      <c r="M21" s="1" t="b">
        <f t="shared" si="0"/>
        <v>1</v>
      </c>
    </row>
    <row r="22" spans="1:13" x14ac:dyDescent="0.15">
      <c r="C22" s="24" t="s">
        <v>39</v>
      </c>
      <c r="E22" s="1">
        <v>55</v>
      </c>
      <c r="F22" s="1">
        <v>17</v>
      </c>
      <c r="J22" s="1" t="b">
        <v>0</v>
      </c>
      <c r="K22" s="24" t="s">
        <v>264</v>
      </c>
      <c r="L22" s="1" t="b">
        <f>isNumeralPnt(E22,F22)</f>
        <v>0</v>
      </c>
      <c r="M22" s="1" t="b">
        <f t="shared" si="0"/>
        <v>1</v>
      </c>
    </row>
    <row r="23" spans="1:13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24" t="s">
        <v>265</v>
      </c>
      <c r="L23" s="1" t="b">
        <f>isNumeralPnt(E23)</f>
        <v>0</v>
      </c>
      <c r="M23" s="1" t="b">
        <f t="shared" si="0"/>
        <v>1</v>
      </c>
    </row>
    <row r="24" spans="1:13" x14ac:dyDescent="0.15">
      <c r="C24" s="24" t="s">
        <v>43</v>
      </c>
      <c r="E24" s="1">
        <v>9</v>
      </c>
      <c r="J24" s="1" t="b">
        <v>1</v>
      </c>
      <c r="K24" s="24" t="s">
        <v>266</v>
      </c>
      <c r="L24" s="1" t="b">
        <f>isNumeralPnt(E24)</f>
        <v>1</v>
      </c>
      <c r="M24" s="1" t="b">
        <f t="shared" si="0"/>
        <v>1</v>
      </c>
    </row>
    <row r="25" spans="1:13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24" t="s">
        <v>267</v>
      </c>
      <c r="L25" s="1" t="b">
        <f>isNumeralPnt(E25,F25)</f>
        <v>0</v>
      </c>
      <c r="M25" s="1" t="b">
        <f t="shared" si="0"/>
        <v>1</v>
      </c>
    </row>
    <row r="26" spans="1:13" x14ac:dyDescent="0.15">
      <c r="C26" s="24" t="s">
        <v>43</v>
      </c>
      <c r="E26" s="1">
        <v>1</v>
      </c>
      <c r="F26" s="1">
        <v>2</v>
      </c>
      <c r="J26" s="1" t="b">
        <v>1</v>
      </c>
      <c r="K26" s="24" t="s">
        <v>268</v>
      </c>
      <c r="L26" s="1" t="b">
        <f t="shared" ref="L26:L36" si="2">isNumeralPnt(E26,F26)</f>
        <v>1</v>
      </c>
      <c r="M26" s="1" t="b">
        <f t="shared" si="0"/>
        <v>1</v>
      </c>
    </row>
    <row r="27" spans="1:13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24" t="s">
        <v>269</v>
      </c>
      <c r="L27" s="1" t="b">
        <f t="shared" si="2"/>
        <v>0</v>
      </c>
      <c r="M27" s="1" t="b">
        <f t="shared" si="0"/>
        <v>1</v>
      </c>
    </row>
    <row r="28" spans="1:13" x14ac:dyDescent="0.15">
      <c r="C28" s="24" t="s">
        <v>47</v>
      </c>
      <c r="E28" s="1">
        <v>10.1</v>
      </c>
      <c r="F28" s="1">
        <v>2</v>
      </c>
      <c r="J28" s="1" t="b">
        <v>1</v>
      </c>
      <c r="K28" s="24" t="s">
        <v>270</v>
      </c>
      <c r="L28" s="1" t="b">
        <f t="shared" si="2"/>
        <v>1</v>
      </c>
      <c r="M28" s="1" t="b">
        <f t="shared" si="0"/>
        <v>1</v>
      </c>
    </row>
    <row r="29" spans="1:13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24" t="s">
        <v>271</v>
      </c>
      <c r="L29" s="1" t="b">
        <f t="shared" si="2"/>
        <v>0</v>
      </c>
      <c r="M29" s="1" t="b">
        <f t="shared" si="0"/>
        <v>1</v>
      </c>
    </row>
    <row r="30" spans="1:13" x14ac:dyDescent="0.15">
      <c r="C30" s="24" t="s">
        <v>43</v>
      </c>
      <c r="E30" s="1">
        <v>9</v>
      </c>
      <c r="F30" s="1">
        <v>10</v>
      </c>
      <c r="J30" s="1" t="b">
        <v>1</v>
      </c>
      <c r="K30" s="24" t="s">
        <v>272</v>
      </c>
      <c r="L30" s="1" t="b">
        <f t="shared" si="2"/>
        <v>1</v>
      </c>
      <c r="M30" s="1" t="b">
        <f t="shared" si="0"/>
        <v>1</v>
      </c>
    </row>
    <row r="31" spans="1:13" x14ac:dyDescent="0.15">
      <c r="C31" s="24" t="s">
        <v>46</v>
      </c>
      <c r="E31" s="25" t="s">
        <v>48</v>
      </c>
      <c r="F31" s="1">
        <v>10</v>
      </c>
      <c r="J31" s="1" t="b">
        <v>0</v>
      </c>
      <c r="K31" s="24" t="s">
        <v>273</v>
      </c>
      <c r="L31" s="1" t="b">
        <f t="shared" si="2"/>
        <v>0</v>
      </c>
      <c r="M31" s="1" t="b">
        <f t="shared" si="0"/>
        <v>1</v>
      </c>
    </row>
    <row r="32" spans="1:13" x14ac:dyDescent="0.15">
      <c r="C32" s="24" t="s">
        <v>47</v>
      </c>
      <c r="E32" s="1">
        <v>90.9</v>
      </c>
      <c r="F32" s="1">
        <v>10</v>
      </c>
      <c r="J32" s="1" t="b">
        <v>1</v>
      </c>
      <c r="K32" s="24" t="s">
        <v>274</v>
      </c>
      <c r="L32" s="1" t="b">
        <f t="shared" si="2"/>
        <v>1</v>
      </c>
      <c r="M32" s="1" t="b">
        <f t="shared" si="0"/>
        <v>1</v>
      </c>
    </row>
    <row r="33" spans="1:13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24" t="s">
        <v>275</v>
      </c>
      <c r="L33" s="1" t="b">
        <f t="shared" si="2"/>
        <v>0</v>
      </c>
      <c r="M33" s="1" t="b">
        <f t="shared" si="0"/>
        <v>1</v>
      </c>
    </row>
    <row r="34" spans="1:13" x14ac:dyDescent="0.15">
      <c r="C34" s="24" t="s">
        <v>43</v>
      </c>
      <c r="E34" s="25" t="s">
        <v>45</v>
      </c>
      <c r="F34" s="1">
        <v>16</v>
      </c>
      <c r="J34" s="1" t="b">
        <v>1</v>
      </c>
      <c r="K34" s="24" t="s">
        <v>276</v>
      </c>
      <c r="L34" s="1" t="b">
        <f t="shared" si="2"/>
        <v>1</v>
      </c>
      <c r="M34" s="1" t="b">
        <f t="shared" si="0"/>
        <v>1</v>
      </c>
    </row>
    <row r="35" spans="1:13" x14ac:dyDescent="0.15">
      <c r="C35" s="24" t="s">
        <v>46</v>
      </c>
      <c r="E35" s="25" t="s">
        <v>49</v>
      </c>
      <c r="F35" s="1">
        <v>16</v>
      </c>
      <c r="J35" s="1" t="b">
        <v>0</v>
      </c>
      <c r="K35" s="24" t="s">
        <v>277</v>
      </c>
      <c r="L35" s="1" t="b">
        <f t="shared" si="2"/>
        <v>0</v>
      </c>
      <c r="M35" s="1" t="b">
        <f t="shared" si="0"/>
        <v>1</v>
      </c>
    </row>
    <row r="36" spans="1:13" x14ac:dyDescent="0.15">
      <c r="C36" s="24" t="s">
        <v>47</v>
      </c>
      <c r="E36" s="25" t="s">
        <v>36</v>
      </c>
      <c r="F36" s="1">
        <v>16</v>
      </c>
      <c r="J36" s="1" t="b">
        <v>1</v>
      </c>
      <c r="K36" s="24" t="s">
        <v>278</v>
      </c>
      <c r="L36" s="1" t="b">
        <f t="shared" si="2"/>
        <v>1</v>
      </c>
      <c r="M36" s="1" t="b">
        <f t="shared" si="0"/>
        <v>1</v>
      </c>
    </row>
    <row r="38" spans="1:13" x14ac:dyDescent="0.15">
      <c r="A38" s="1" t="s">
        <v>51</v>
      </c>
      <c r="B38" s="24" t="s">
        <v>55</v>
      </c>
      <c r="C38" s="24" t="s">
        <v>53</v>
      </c>
    </row>
    <row r="39" spans="1:13" x14ac:dyDescent="0.15">
      <c r="A39" s="1" t="s">
        <v>52</v>
      </c>
      <c r="B39" s="24" t="s">
        <v>55</v>
      </c>
      <c r="C39" s="24" t="s">
        <v>54</v>
      </c>
    </row>
    <row r="44" spans="1:13" x14ac:dyDescent="0.15">
      <c r="A44" s="1" t="s">
        <v>50</v>
      </c>
      <c r="B44" s="24" t="s">
        <v>29</v>
      </c>
      <c r="C44" s="24" t="s">
        <v>38</v>
      </c>
      <c r="E44" s="1">
        <v>9</v>
      </c>
      <c r="F44" s="1">
        <v>1</v>
      </c>
      <c r="G44" s="1">
        <v>1</v>
      </c>
      <c r="J44" s="1" t="e">
        <v>#VALUE!</v>
      </c>
      <c r="K44" s="24" t="s">
        <v>279</v>
      </c>
      <c r="L44" s="41" t="e">
        <f>addNPntNPnt(E44,F44,G44)</f>
        <v>#VALUE!</v>
      </c>
      <c r="M44" s="1" t="b">
        <f t="shared" ref="M44:M107" si="3">getText(J44)=getText(L44)</f>
        <v>1</v>
      </c>
    </row>
    <row r="45" spans="1:13" x14ac:dyDescent="0.15">
      <c r="C45" s="24" t="s">
        <v>39</v>
      </c>
      <c r="E45" s="1">
        <v>9</v>
      </c>
      <c r="F45" s="1">
        <v>1</v>
      </c>
      <c r="G45" s="1">
        <v>17</v>
      </c>
      <c r="J45" s="1" t="e">
        <v>#VALUE!</v>
      </c>
      <c r="K45" s="24" t="s">
        <v>280</v>
      </c>
      <c r="L45" s="41" t="e">
        <f>addNPntNPnt(E45,F45,G45)</f>
        <v>#VALUE!</v>
      </c>
      <c r="M45" s="1" t="b">
        <f t="shared" si="3"/>
        <v>1</v>
      </c>
    </row>
    <row r="46" spans="1:13" x14ac:dyDescent="0.15">
      <c r="B46" s="24" t="s">
        <v>40</v>
      </c>
      <c r="C46" s="24" t="s">
        <v>42</v>
      </c>
      <c r="E46" s="27" t="s">
        <v>56</v>
      </c>
      <c r="F46" s="1">
        <v>1</v>
      </c>
      <c r="J46" s="1" t="e">
        <v>#VALUE!</v>
      </c>
      <c r="K46" s="24" t="s">
        <v>281</v>
      </c>
      <c r="L46" s="41" t="e">
        <f>addNPntNPnt(E46,F46)</f>
        <v>#VALUE!</v>
      </c>
      <c r="M46" s="1" t="b">
        <f t="shared" si="3"/>
        <v>1</v>
      </c>
    </row>
    <row r="47" spans="1:13" x14ac:dyDescent="0.15">
      <c r="C47" s="24" t="s">
        <v>43</v>
      </c>
      <c r="E47" s="1">
        <v>9</v>
      </c>
      <c r="F47" s="1">
        <v>1</v>
      </c>
      <c r="J47" s="1" t="s">
        <v>92</v>
      </c>
      <c r="K47" s="24" t="s">
        <v>282</v>
      </c>
      <c r="L47" s="41" t="str">
        <f>addNPntNPnt(E47,F47)</f>
        <v>10</v>
      </c>
      <c r="M47" s="1" t="b">
        <f t="shared" si="3"/>
        <v>1</v>
      </c>
    </row>
    <row r="48" spans="1:13" x14ac:dyDescent="0.15">
      <c r="B48" s="28" t="s">
        <v>57</v>
      </c>
      <c r="C48" s="28" t="s">
        <v>59</v>
      </c>
      <c r="E48" s="1">
        <v>1</v>
      </c>
      <c r="F48" s="1">
        <v>1</v>
      </c>
      <c r="G48" s="1">
        <v>2</v>
      </c>
      <c r="J48" s="1" t="s">
        <v>92</v>
      </c>
      <c r="K48" s="24" t="s">
        <v>283</v>
      </c>
      <c r="L48" s="41" t="str">
        <f t="shared" ref="L48:L61" si="4">addNPntNPnt(E48,F48,G48)</f>
        <v>10</v>
      </c>
      <c r="M48" s="1" t="b">
        <f t="shared" si="3"/>
        <v>1</v>
      </c>
    </row>
    <row r="49" spans="2:14" x14ac:dyDescent="0.15">
      <c r="C49" s="28" t="s">
        <v>58</v>
      </c>
      <c r="E49" s="1">
        <v>1</v>
      </c>
      <c r="F49" s="26">
        <v>-1</v>
      </c>
      <c r="G49" s="1">
        <v>2</v>
      </c>
      <c r="J49" s="1" t="s">
        <v>93</v>
      </c>
      <c r="K49" s="24" t="s">
        <v>284</v>
      </c>
      <c r="L49" s="41" t="str">
        <f>addNPntNPnt(E49,F49,G49)</f>
        <v>0</v>
      </c>
      <c r="M49" s="1" t="b">
        <f t="shared" si="3"/>
        <v>1</v>
      </c>
    </row>
    <row r="50" spans="2:14" x14ac:dyDescent="0.15">
      <c r="C50" s="28" t="s">
        <v>60</v>
      </c>
      <c r="E50" s="1">
        <v>-1</v>
      </c>
      <c r="F50" s="1">
        <v>1</v>
      </c>
      <c r="G50" s="1">
        <v>2</v>
      </c>
      <c r="J50" s="1" t="s">
        <v>93</v>
      </c>
      <c r="K50" s="24" t="s">
        <v>285</v>
      </c>
      <c r="L50" s="41" t="str">
        <f>addNPntNPnt(E50,F50,G50)</f>
        <v>0</v>
      </c>
      <c r="M50" s="1" t="b">
        <f t="shared" si="3"/>
        <v>1</v>
      </c>
    </row>
    <row r="51" spans="2:14" x14ac:dyDescent="0.15">
      <c r="C51" s="28" t="s">
        <v>61</v>
      </c>
      <c r="E51" s="1">
        <v>-1</v>
      </c>
      <c r="F51" s="1">
        <v>-1</v>
      </c>
      <c r="G51" s="1">
        <v>2</v>
      </c>
      <c r="J51" s="1" t="s">
        <v>94</v>
      </c>
      <c r="K51" s="24" t="s">
        <v>286</v>
      </c>
      <c r="L51" s="41" t="str">
        <f t="shared" si="4"/>
        <v>-10</v>
      </c>
      <c r="M51" s="1" t="b">
        <f t="shared" si="3"/>
        <v>1</v>
      </c>
    </row>
    <row r="52" spans="2:14" x14ac:dyDescent="0.15">
      <c r="C52" s="28" t="s">
        <v>62</v>
      </c>
      <c r="E52" s="1">
        <v>11.1</v>
      </c>
      <c r="F52" s="1">
        <v>0.1</v>
      </c>
      <c r="G52" s="1">
        <v>2</v>
      </c>
      <c r="J52" s="1" t="s">
        <v>95</v>
      </c>
      <c r="K52" s="24" t="s">
        <v>287</v>
      </c>
      <c r="L52" s="41" t="str">
        <f t="shared" si="4"/>
        <v>100</v>
      </c>
      <c r="M52" s="1" t="b">
        <f t="shared" si="3"/>
        <v>1</v>
      </c>
    </row>
    <row r="53" spans="2:14" x14ac:dyDescent="0.15">
      <c r="C53" s="28" t="s">
        <v>63</v>
      </c>
      <c r="E53" s="1">
        <v>10.199999999999999</v>
      </c>
      <c r="F53" s="1">
        <v>0.1</v>
      </c>
      <c r="G53" s="1">
        <v>2</v>
      </c>
      <c r="J53" s="1" t="e">
        <v>#VALUE!</v>
      </c>
      <c r="K53" s="24" t="s">
        <v>288</v>
      </c>
      <c r="L53" s="41" t="e">
        <f t="shared" si="4"/>
        <v>#VALUE!</v>
      </c>
      <c r="M53" s="1" t="b">
        <f t="shared" si="3"/>
        <v>1</v>
      </c>
    </row>
    <row r="54" spans="2:14" x14ac:dyDescent="0.15">
      <c r="E54" s="1">
        <v>11.1</v>
      </c>
      <c r="F54" s="1">
        <v>0.2</v>
      </c>
      <c r="G54" s="1">
        <v>2</v>
      </c>
      <c r="J54" s="1" t="e">
        <v>#VALUE!</v>
      </c>
      <c r="K54" s="24" t="s">
        <v>289</v>
      </c>
      <c r="L54" s="41" t="e">
        <f t="shared" si="4"/>
        <v>#VALUE!</v>
      </c>
      <c r="M54" s="1" t="b">
        <f t="shared" si="3"/>
        <v>1</v>
      </c>
    </row>
    <row r="55" spans="2:14" x14ac:dyDescent="0.15">
      <c r="B55" s="28" t="s">
        <v>64</v>
      </c>
      <c r="C55" s="28" t="s">
        <v>59</v>
      </c>
      <c r="E55" s="1">
        <v>9</v>
      </c>
      <c r="F55" s="1">
        <v>9</v>
      </c>
      <c r="G55" s="1">
        <v>10</v>
      </c>
      <c r="J55" s="1" t="s">
        <v>96</v>
      </c>
      <c r="K55" s="24" t="s">
        <v>290</v>
      </c>
      <c r="L55" s="41" t="str">
        <f t="shared" si="4"/>
        <v>18</v>
      </c>
      <c r="M55" s="1" t="b">
        <f t="shared" si="3"/>
        <v>1</v>
      </c>
    </row>
    <row r="56" spans="2:14" x14ac:dyDescent="0.15">
      <c r="C56" s="28" t="s">
        <v>58</v>
      </c>
      <c r="E56" s="1">
        <v>9</v>
      </c>
      <c r="F56" s="26">
        <v>-9</v>
      </c>
      <c r="G56" s="1">
        <v>10</v>
      </c>
      <c r="J56" s="1" t="s">
        <v>93</v>
      </c>
      <c r="K56" s="24" t="s">
        <v>291</v>
      </c>
      <c r="L56" s="41" t="str">
        <f t="shared" si="4"/>
        <v>0</v>
      </c>
      <c r="M56" s="1" t="b">
        <f t="shared" si="3"/>
        <v>1</v>
      </c>
    </row>
    <row r="57" spans="2:14" x14ac:dyDescent="0.15">
      <c r="C57" s="28" t="s">
        <v>60</v>
      </c>
      <c r="E57" s="1">
        <v>-9</v>
      </c>
      <c r="F57" s="1">
        <v>9</v>
      </c>
      <c r="G57" s="1">
        <v>10</v>
      </c>
      <c r="J57" s="1" t="s">
        <v>93</v>
      </c>
      <c r="K57" s="24" t="s">
        <v>292</v>
      </c>
      <c r="L57" s="41" t="str">
        <f t="shared" si="4"/>
        <v>0</v>
      </c>
      <c r="M57" s="1" t="b">
        <f t="shared" si="3"/>
        <v>1</v>
      </c>
      <c r="N57" s="26"/>
    </row>
    <row r="58" spans="2:14" x14ac:dyDescent="0.15">
      <c r="C58" s="28" t="s">
        <v>61</v>
      </c>
      <c r="E58" s="1">
        <v>-9</v>
      </c>
      <c r="F58" s="1">
        <v>-9</v>
      </c>
      <c r="G58" s="1">
        <v>10</v>
      </c>
      <c r="J58" s="1" t="s">
        <v>97</v>
      </c>
      <c r="K58" s="24" t="s">
        <v>293</v>
      </c>
      <c r="L58" s="41" t="str">
        <f t="shared" si="4"/>
        <v>-18</v>
      </c>
      <c r="M58" s="1" t="b">
        <f t="shared" si="3"/>
        <v>1</v>
      </c>
    </row>
    <row r="59" spans="2:14" x14ac:dyDescent="0.15">
      <c r="C59" s="28" t="s">
        <v>62</v>
      </c>
      <c r="E59" s="1">
        <v>99.9</v>
      </c>
      <c r="F59" s="1">
        <v>0.9</v>
      </c>
      <c r="G59" s="1">
        <v>10</v>
      </c>
      <c r="J59" s="1" t="s">
        <v>98</v>
      </c>
      <c r="K59" s="24" t="s">
        <v>294</v>
      </c>
      <c r="L59" s="41" t="str">
        <f t="shared" si="4"/>
        <v>100.8</v>
      </c>
      <c r="M59" s="1" t="b">
        <f t="shared" si="3"/>
        <v>1</v>
      </c>
    </row>
    <row r="60" spans="2:14" x14ac:dyDescent="0.15">
      <c r="C60" s="28" t="s">
        <v>67</v>
      </c>
      <c r="E60" s="27" t="s">
        <v>65</v>
      </c>
      <c r="F60" s="1">
        <v>0.1</v>
      </c>
      <c r="G60" s="1">
        <v>10</v>
      </c>
      <c r="J60" s="1" t="e">
        <v>#VALUE!</v>
      </c>
      <c r="K60" s="24" t="s">
        <v>295</v>
      </c>
      <c r="L60" s="41" t="e">
        <f t="shared" si="4"/>
        <v>#VALUE!</v>
      </c>
      <c r="M60" s="1" t="b">
        <f t="shared" si="3"/>
        <v>1</v>
      </c>
    </row>
    <row r="61" spans="2:14" x14ac:dyDescent="0.15">
      <c r="E61" s="1">
        <v>11.1</v>
      </c>
      <c r="F61" s="27" t="s">
        <v>66</v>
      </c>
      <c r="G61" s="1">
        <v>10</v>
      </c>
      <c r="J61" s="1" t="e">
        <v>#VALUE!</v>
      </c>
      <c r="K61" s="24" t="s">
        <v>296</v>
      </c>
      <c r="L61" s="41" t="e">
        <f t="shared" si="4"/>
        <v>#VALUE!</v>
      </c>
      <c r="M61" s="1" t="b">
        <f t="shared" si="3"/>
        <v>1</v>
      </c>
    </row>
    <row r="62" spans="2:14" x14ac:dyDescent="0.15">
      <c r="B62" s="28" t="s">
        <v>68</v>
      </c>
      <c r="C62" s="28" t="s">
        <v>59</v>
      </c>
      <c r="E62" s="29" t="s">
        <v>70</v>
      </c>
      <c r="F62" s="29" t="s">
        <v>70</v>
      </c>
      <c r="G62" s="1">
        <v>16</v>
      </c>
      <c r="J62" s="1" t="s">
        <v>99</v>
      </c>
      <c r="K62" s="24" t="s">
        <v>297</v>
      </c>
      <c r="L62" s="41" t="str">
        <f>addNPntNPnt(E62,F62,G62)</f>
        <v>1E</v>
      </c>
      <c r="M62" s="1" t="b">
        <f t="shared" si="3"/>
        <v>1</v>
      </c>
    </row>
    <row r="63" spans="2:14" x14ac:dyDescent="0.15">
      <c r="C63" s="28" t="s">
        <v>58</v>
      </c>
      <c r="E63" s="29" t="s">
        <v>71</v>
      </c>
      <c r="F63" s="29" t="s">
        <v>72</v>
      </c>
      <c r="G63" s="1">
        <v>16</v>
      </c>
      <c r="J63" s="1" t="s">
        <v>93</v>
      </c>
      <c r="K63" s="24" t="s">
        <v>298</v>
      </c>
      <c r="L63" s="41" t="str">
        <f t="shared" ref="L62:L68" si="5">addNPntNPnt(E63,F63,G63)</f>
        <v>0</v>
      </c>
      <c r="M63" s="1" t="b">
        <f t="shared" si="3"/>
        <v>1</v>
      </c>
    </row>
    <row r="64" spans="2:14" x14ac:dyDescent="0.15">
      <c r="C64" s="28" t="s">
        <v>60</v>
      </c>
      <c r="E64" s="29" t="s">
        <v>73</v>
      </c>
      <c r="F64" s="29" t="s">
        <v>74</v>
      </c>
      <c r="G64" s="1">
        <v>16</v>
      </c>
      <c r="J64" s="1" t="s">
        <v>93</v>
      </c>
      <c r="K64" s="24" t="s">
        <v>299</v>
      </c>
      <c r="L64" s="41" t="str">
        <f t="shared" si="5"/>
        <v>0</v>
      </c>
      <c r="M64" s="1" t="b">
        <f t="shared" si="3"/>
        <v>1</v>
      </c>
    </row>
    <row r="65" spans="1:13" x14ac:dyDescent="0.15">
      <c r="C65" s="28" t="s">
        <v>61</v>
      </c>
      <c r="E65" s="29" t="s">
        <v>73</v>
      </c>
      <c r="F65" s="29" t="s">
        <v>73</v>
      </c>
      <c r="G65" s="1">
        <v>16</v>
      </c>
      <c r="J65" s="1" t="s">
        <v>100</v>
      </c>
      <c r="K65" s="24" t="s">
        <v>300</v>
      </c>
      <c r="L65" s="41" t="str">
        <f t="shared" si="5"/>
        <v>-1E</v>
      </c>
      <c r="M65" s="1" t="b">
        <f t="shared" si="3"/>
        <v>1</v>
      </c>
    </row>
    <row r="66" spans="1:13" x14ac:dyDescent="0.15">
      <c r="C66" s="28" t="s">
        <v>62</v>
      </c>
      <c r="E66" s="29" t="s">
        <v>75</v>
      </c>
      <c r="F66" s="29" t="s">
        <v>76</v>
      </c>
      <c r="G66" s="1">
        <v>16</v>
      </c>
      <c r="J66" s="1" t="s">
        <v>101</v>
      </c>
      <c r="K66" s="24" t="s">
        <v>301</v>
      </c>
      <c r="L66" s="41" t="str">
        <f t="shared" si="5"/>
        <v>100.E</v>
      </c>
      <c r="M66" s="1" t="b">
        <f t="shared" si="3"/>
        <v>1</v>
      </c>
    </row>
    <row r="67" spans="1:13" x14ac:dyDescent="0.15">
      <c r="C67" s="28" t="s">
        <v>69</v>
      </c>
      <c r="E67" s="29" t="s">
        <v>77</v>
      </c>
      <c r="F67" s="30">
        <v>0.1</v>
      </c>
      <c r="G67" s="1">
        <v>16</v>
      </c>
      <c r="J67" s="1" t="e">
        <v>#VALUE!</v>
      </c>
      <c r="K67" s="24" t="s">
        <v>302</v>
      </c>
      <c r="L67" s="41" t="e">
        <f t="shared" si="5"/>
        <v>#VALUE!</v>
      </c>
      <c r="M67" s="1" t="b">
        <f t="shared" si="3"/>
        <v>1</v>
      </c>
    </row>
    <row r="68" spans="1:13" x14ac:dyDescent="0.15">
      <c r="E68" s="30">
        <v>11.1</v>
      </c>
      <c r="F68" s="29" t="s">
        <v>78</v>
      </c>
      <c r="G68" s="1">
        <v>16</v>
      </c>
      <c r="J68" s="1" t="e">
        <v>#VALUE!</v>
      </c>
      <c r="K68" s="24" t="s">
        <v>303</v>
      </c>
      <c r="L68" s="41" t="e">
        <f t="shared" si="5"/>
        <v>#VALUE!</v>
      </c>
      <c r="M68" s="1" t="b">
        <f t="shared" si="3"/>
        <v>1</v>
      </c>
    </row>
    <row r="69" spans="1:13" x14ac:dyDescent="0.15">
      <c r="A69" s="1" t="s">
        <v>103</v>
      </c>
      <c r="B69" s="24" t="s">
        <v>29</v>
      </c>
      <c r="C69" s="24" t="s">
        <v>38</v>
      </c>
      <c r="E69" s="1">
        <v>1</v>
      </c>
      <c r="F69" s="1">
        <v>1</v>
      </c>
      <c r="G69" s="1">
        <v>1</v>
      </c>
      <c r="J69" s="1" t="e">
        <v>#VALUE!</v>
      </c>
      <c r="K69" s="24" t="s">
        <v>304</v>
      </c>
      <c r="L69" s="1" t="e">
        <f>multipleNPntByOneDig(E69,F69,G69)</f>
        <v>#VALUE!</v>
      </c>
      <c r="M69" s="1" t="b">
        <f t="shared" si="3"/>
        <v>1</v>
      </c>
    </row>
    <row r="70" spans="1:13" x14ac:dyDescent="0.15">
      <c r="C70" s="24" t="s">
        <v>39</v>
      </c>
      <c r="E70" s="1">
        <v>1</v>
      </c>
      <c r="F70" s="1">
        <v>1</v>
      </c>
      <c r="G70" s="1">
        <v>17</v>
      </c>
      <c r="J70" s="1" t="e">
        <v>#VALUE!</v>
      </c>
      <c r="K70" s="24" t="s">
        <v>305</v>
      </c>
      <c r="L70" s="1" t="e">
        <f>multipleNPntByOneDig(E70,F70,G70)</f>
        <v>#VALUE!</v>
      </c>
      <c r="M70" s="1" t="b">
        <f t="shared" si="3"/>
        <v>1</v>
      </c>
    </row>
    <row r="71" spans="1:13" x14ac:dyDescent="0.15">
      <c r="B71" s="24" t="s">
        <v>40</v>
      </c>
      <c r="C71" s="24" t="s">
        <v>42</v>
      </c>
      <c r="E71" s="34" t="s">
        <v>104</v>
      </c>
      <c r="F71" s="1">
        <v>2</v>
      </c>
      <c r="J71" s="1" t="e">
        <v>#VALUE!</v>
      </c>
      <c r="K71" s="24" t="s">
        <v>306</v>
      </c>
      <c r="L71" s="1" t="e">
        <f>multipleNPntByOneDig(E71,F71)</f>
        <v>#VALUE!</v>
      </c>
      <c r="M71" s="1" t="b">
        <f t="shared" si="3"/>
        <v>1</v>
      </c>
    </row>
    <row r="72" spans="1:13" x14ac:dyDescent="0.15">
      <c r="C72" s="24" t="s">
        <v>43</v>
      </c>
      <c r="E72" s="1">
        <v>10</v>
      </c>
      <c r="F72" s="1">
        <v>2</v>
      </c>
      <c r="J72" s="1" t="s">
        <v>187</v>
      </c>
      <c r="K72" s="24" t="s">
        <v>307</v>
      </c>
      <c r="L72" s="1" t="str">
        <f>multipleNPntByOneDig(E72,F72)</f>
        <v>20</v>
      </c>
      <c r="M72" s="1" t="b">
        <f t="shared" si="3"/>
        <v>1</v>
      </c>
    </row>
    <row r="73" spans="1:13" x14ac:dyDescent="0.15">
      <c r="B73" s="28" t="s">
        <v>57</v>
      </c>
      <c r="C73" s="28" t="s">
        <v>105</v>
      </c>
      <c r="E73" s="1">
        <v>10</v>
      </c>
      <c r="F73" s="1">
        <v>1</v>
      </c>
      <c r="G73" s="1">
        <v>2</v>
      </c>
      <c r="J73" s="1" t="s">
        <v>92</v>
      </c>
      <c r="K73" s="24" t="s">
        <v>308</v>
      </c>
      <c r="L73" s="1" t="str">
        <f>multipleNPntByOneDig(E73,F73,G73)</f>
        <v>10</v>
      </c>
      <c r="M73" s="1" t="b">
        <f t="shared" si="3"/>
        <v>1</v>
      </c>
    </row>
    <row r="74" spans="1:13" x14ac:dyDescent="0.15">
      <c r="C74" s="28" t="s">
        <v>106</v>
      </c>
      <c r="E74" s="1">
        <v>10</v>
      </c>
      <c r="F74" s="33" t="s">
        <v>109</v>
      </c>
      <c r="G74" s="1">
        <v>2</v>
      </c>
      <c r="J74" s="1" t="s">
        <v>94</v>
      </c>
      <c r="K74" s="24" t="s">
        <v>309</v>
      </c>
      <c r="L74" s="1" t="str">
        <f t="shared" ref="L74:L86" si="6">multipleNPntByOneDig(E74,F74,G74)</f>
        <v>-10</v>
      </c>
      <c r="M74" s="1" t="b">
        <f t="shared" si="3"/>
        <v>1</v>
      </c>
    </row>
    <row r="75" spans="1:13" x14ac:dyDescent="0.15">
      <c r="C75" s="28" t="s">
        <v>107</v>
      </c>
      <c r="E75" s="1">
        <v>-10</v>
      </c>
      <c r="F75" s="1">
        <v>1</v>
      </c>
      <c r="G75" s="1">
        <v>2</v>
      </c>
      <c r="J75" s="1" t="s">
        <v>94</v>
      </c>
      <c r="K75" s="24" t="s">
        <v>310</v>
      </c>
      <c r="L75" s="1" t="str">
        <f t="shared" si="6"/>
        <v>-10</v>
      </c>
      <c r="M75" s="1" t="b">
        <f t="shared" si="3"/>
        <v>1</v>
      </c>
    </row>
    <row r="76" spans="1:13" x14ac:dyDescent="0.15">
      <c r="C76" s="28" t="s">
        <v>108</v>
      </c>
      <c r="E76" s="1">
        <v>-10</v>
      </c>
      <c r="F76" s="33" t="s">
        <v>109</v>
      </c>
      <c r="G76" s="1">
        <v>2</v>
      </c>
      <c r="J76" s="1" t="s">
        <v>92</v>
      </c>
      <c r="K76" s="24" t="s">
        <v>311</v>
      </c>
      <c r="L76" s="1" t="str">
        <f t="shared" si="6"/>
        <v>10</v>
      </c>
      <c r="M76" s="1" t="b">
        <f t="shared" si="3"/>
        <v>1</v>
      </c>
    </row>
    <row r="77" spans="1:13" x14ac:dyDescent="0.15">
      <c r="C77" s="28" t="s">
        <v>32</v>
      </c>
      <c r="E77" s="1">
        <v>101.1</v>
      </c>
      <c r="F77" s="1">
        <v>1</v>
      </c>
      <c r="G77" s="1">
        <v>2</v>
      </c>
      <c r="J77" s="1" t="s">
        <v>188</v>
      </c>
      <c r="K77" s="24" t="s">
        <v>312</v>
      </c>
      <c r="L77" s="1" t="str">
        <f t="shared" si="6"/>
        <v>101.1</v>
      </c>
      <c r="M77" s="1" t="b">
        <f t="shared" si="3"/>
        <v>1</v>
      </c>
    </row>
    <row r="78" spans="1:13" x14ac:dyDescent="0.15">
      <c r="C78" s="28" t="s">
        <v>63</v>
      </c>
      <c r="E78" s="1">
        <v>2</v>
      </c>
      <c r="F78" s="1">
        <v>1</v>
      </c>
      <c r="G78" s="1">
        <v>2</v>
      </c>
      <c r="J78" s="1" t="e">
        <v>#VALUE!</v>
      </c>
      <c r="K78" s="24" t="s">
        <v>313</v>
      </c>
      <c r="L78" s="1" t="e">
        <f t="shared" si="6"/>
        <v>#VALUE!</v>
      </c>
      <c r="M78" s="1" t="b">
        <f t="shared" si="3"/>
        <v>1</v>
      </c>
    </row>
    <row r="79" spans="1:13" x14ac:dyDescent="0.15">
      <c r="E79" s="1">
        <v>1</v>
      </c>
      <c r="F79" s="1">
        <v>2</v>
      </c>
      <c r="G79" s="1">
        <v>2</v>
      </c>
      <c r="J79" s="1" t="e">
        <v>#VALUE!</v>
      </c>
      <c r="K79" s="24" t="s">
        <v>314</v>
      </c>
      <c r="L79" s="1" t="e">
        <f t="shared" si="6"/>
        <v>#VALUE!</v>
      </c>
      <c r="M79" s="1" t="b">
        <f t="shared" si="3"/>
        <v>1</v>
      </c>
    </row>
    <row r="80" spans="1:13" x14ac:dyDescent="0.15">
      <c r="B80" s="32" t="s">
        <v>110</v>
      </c>
      <c r="C80" s="28" t="s">
        <v>105</v>
      </c>
      <c r="E80" s="1">
        <v>99</v>
      </c>
      <c r="F80" s="1">
        <v>9</v>
      </c>
      <c r="G80" s="1">
        <v>10</v>
      </c>
      <c r="J80" s="1" t="s">
        <v>189</v>
      </c>
      <c r="K80" s="24" t="s">
        <v>315</v>
      </c>
      <c r="L80" s="1" t="str">
        <f t="shared" si="6"/>
        <v>891</v>
      </c>
      <c r="M80" s="1" t="b">
        <f t="shared" si="3"/>
        <v>1</v>
      </c>
    </row>
    <row r="81" spans="1:13" x14ac:dyDescent="0.15">
      <c r="C81" s="28" t="s">
        <v>106</v>
      </c>
      <c r="E81" s="1">
        <v>99</v>
      </c>
      <c r="F81" s="1">
        <v>-9</v>
      </c>
      <c r="G81" s="1">
        <v>10</v>
      </c>
      <c r="J81" s="1" t="s">
        <v>190</v>
      </c>
      <c r="K81" s="24" t="s">
        <v>316</v>
      </c>
      <c r="L81" s="1" t="str">
        <f t="shared" si="6"/>
        <v>-891</v>
      </c>
      <c r="M81" s="1" t="b">
        <f t="shared" si="3"/>
        <v>1</v>
      </c>
    </row>
    <row r="82" spans="1:13" x14ac:dyDescent="0.15">
      <c r="C82" s="28" t="s">
        <v>107</v>
      </c>
      <c r="E82" s="1">
        <v>-99</v>
      </c>
      <c r="F82" s="1">
        <v>9</v>
      </c>
      <c r="G82" s="1">
        <v>10</v>
      </c>
      <c r="J82" s="1" t="s">
        <v>190</v>
      </c>
      <c r="K82" s="24" t="s">
        <v>317</v>
      </c>
      <c r="L82" s="1" t="str">
        <f t="shared" si="6"/>
        <v>-891</v>
      </c>
      <c r="M82" s="1" t="b">
        <f t="shared" si="3"/>
        <v>1</v>
      </c>
    </row>
    <row r="83" spans="1:13" x14ac:dyDescent="0.15">
      <c r="C83" s="28" t="s">
        <v>108</v>
      </c>
      <c r="E83" s="1">
        <v>-99</v>
      </c>
      <c r="F83" s="1">
        <v>-9</v>
      </c>
      <c r="G83" s="1">
        <v>10</v>
      </c>
      <c r="J83" s="1" t="s">
        <v>189</v>
      </c>
      <c r="K83" s="24" t="s">
        <v>318</v>
      </c>
      <c r="L83" s="1" t="str">
        <f t="shared" si="6"/>
        <v>891</v>
      </c>
      <c r="M83" s="1" t="b">
        <f t="shared" si="3"/>
        <v>1</v>
      </c>
    </row>
    <row r="84" spans="1:13" x14ac:dyDescent="0.15">
      <c r="C84" s="28" t="s">
        <v>32</v>
      </c>
      <c r="E84" s="1">
        <v>99.9</v>
      </c>
      <c r="F84" s="1">
        <v>9</v>
      </c>
      <c r="G84" s="1">
        <v>10</v>
      </c>
      <c r="J84" s="1" t="s">
        <v>191</v>
      </c>
      <c r="K84" s="24" t="s">
        <v>319</v>
      </c>
      <c r="L84" s="1" t="str">
        <f t="shared" si="6"/>
        <v>899.1</v>
      </c>
      <c r="M84" s="1" t="b">
        <f t="shared" si="3"/>
        <v>1</v>
      </c>
    </row>
    <row r="85" spans="1:13" x14ac:dyDescent="0.15">
      <c r="C85" s="32" t="s">
        <v>112</v>
      </c>
      <c r="E85" s="34" t="s">
        <v>114</v>
      </c>
      <c r="F85" s="25">
        <v>1</v>
      </c>
      <c r="G85" s="1">
        <v>10</v>
      </c>
      <c r="J85" s="1" t="e">
        <v>#VALUE!</v>
      </c>
      <c r="K85" s="24" t="s">
        <v>320</v>
      </c>
      <c r="L85" s="1" t="e">
        <f t="shared" si="6"/>
        <v>#VALUE!</v>
      </c>
      <c r="M85" s="1" t="b">
        <f t="shared" si="3"/>
        <v>1</v>
      </c>
    </row>
    <row r="86" spans="1:13" x14ac:dyDescent="0.15">
      <c r="E86" s="1">
        <v>1</v>
      </c>
      <c r="F86" s="35" t="s">
        <v>186</v>
      </c>
      <c r="G86" s="1">
        <v>10</v>
      </c>
      <c r="J86" s="1" t="e">
        <v>#VALUE!</v>
      </c>
      <c r="K86" s="24" t="s">
        <v>321</v>
      </c>
      <c r="L86" s="1" t="e">
        <f t="shared" si="6"/>
        <v>#VALUE!</v>
      </c>
      <c r="M86" s="1" t="b">
        <f t="shared" si="3"/>
        <v>1</v>
      </c>
    </row>
    <row r="87" spans="1:13" x14ac:dyDescent="0.15">
      <c r="B87" s="32" t="s">
        <v>111</v>
      </c>
      <c r="C87" s="28" t="s">
        <v>105</v>
      </c>
      <c r="E87" s="36" t="s">
        <v>192</v>
      </c>
      <c r="F87" s="36" t="s">
        <v>194</v>
      </c>
      <c r="G87" s="1">
        <v>16</v>
      </c>
      <c r="J87" s="1" t="s">
        <v>205</v>
      </c>
      <c r="K87" s="24" t="s">
        <v>322</v>
      </c>
      <c r="L87" s="1" t="str">
        <f>multipleNPntByOneDig(E87,F87,G87)</f>
        <v>EF1</v>
      </c>
      <c r="M87" s="1" t="b">
        <f t="shared" si="3"/>
        <v>1</v>
      </c>
    </row>
    <row r="88" spans="1:13" x14ac:dyDescent="0.15">
      <c r="C88" s="28" t="s">
        <v>106</v>
      </c>
      <c r="E88" s="36" t="s">
        <v>195</v>
      </c>
      <c r="F88" s="36" t="s">
        <v>196</v>
      </c>
      <c r="G88" s="1">
        <v>16</v>
      </c>
      <c r="J88" s="1" t="s">
        <v>206</v>
      </c>
      <c r="K88" s="24" t="s">
        <v>323</v>
      </c>
      <c r="L88" s="1" t="str">
        <f t="shared" ref="L88:L93" si="7">multipleNPntByOneDig(E88,F88,G88)</f>
        <v>-EF1</v>
      </c>
      <c r="M88" s="1" t="b">
        <f t="shared" si="3"/>
        <v>1</v>
      </c>
    </row>
    <row r="89" spans="1:13" x14ac:dyDescent="0.15">
      <c r="C89" s="28" t="s">
        <v>107</v>
      </c>
      <c r="E89" s="36" t="s">
        <v>197</v>
      </c>
      <c r="F89" s="36" t="s">
        <v>198</v>
      </c>
      <c r="G89" s="1">
        <v>16</v>
      </c>
      <c r="J89" s="1" t="s">
        <v>206</v>
      </c>
      <c r="K89" s="24" t="s">
        <v>324</v>
      </c>
      <c r="L89" s="1" t="str">
        <f t="shared" si="7"/>
        <v>-EF1</v>
      </c>
      <c r="M89" s="1" t="b">
        <f t="shared" si="3"/>
        <v>1</v>
      </c>
    </row>
    <row r="90" spans="1:13" x14ac:dyDescent="0.15">
      <c r="C90" s="28" t="s">
        <v>108</v>
      </c>
      <c r="E90" s="36" t="s">
        <v>197</v>
      </c>
      <c r="F90" s="36" t="s">
        <v>199</v>
      </c>
      <c r="G90" s="1">
        <v>16</v>
      </c>
      <c r="J90" s="1" t="s">
        <v>205</v>
      </c>
      <c r="K90" s="24" t="s">
        <v>325</v>
      </c>
      <c r="L90" s="1" t="str">
        <f t="shared" si="7"/>
        <v>EF1</v>
      </c>
      <c r="M90" s="1" t="b">
        <f t="shared" si="3"/>
        <v>1</v>
      </c>
    </row>
    <row r="91" spans="1:13" x14ac:dyDescent="0.15">
      <c r="C91" s="28" t="s">
        <v>32</v>
      </c>
      <c r="E91" s="36" t="s">
        <v>200</v>
      </c>
      <c r="F91" s="36" t="s">
        <v>193</v>
      </c>
      <c r="G91" s="1">
        <v>16</v>
      </c>
      <c r="J91" s="1" t="s">
        <v>207</v>
      </c>
      <c r="K91" s="24" t="s">
        <v>326</v>
      </c>
      <c r="L91" s="1" t="str">
        <f t="shared" si="7"/>
        <v>FE.1</v>
      </c>
      <c r="M91" s="1" t="b">
        <f t="shared" si="3"/>
        <v>1</v>
      </c>
    </row>
    <row r="92" spans="1:13" x14ac:dyDescent="0.15">
      <c r="C92" s="32" t="s">
        <v>113</v>
      </c>
      <c r="E92" s="36" t="s">
        <v>201</v>
      </c>
      <c r="F92" s="36" t="s">
        <v>202</v>
      </c>
      <c r="G92" s="1">
        <v>16</v>
      </c>
      <c r="J92" s="1" t="e">
        <v>#VALUE!</v>
      </c>
      <c r="K92" s="24" t="s">
        <v>327</v>
      </c>
      <c r="L92" s="1" t="e">
        <f t="shared" si="7"/>
        <v>#VALUE!</v>
      </c>
      <c r="M92" s="1" t="b">
        <f t="shared" si="3"/>
        <v>1</v>
      </c>
    </row>
    <row r="93" spans="1:13" x14ac:dyDescent="0.15">
      <c r="E93" s="36" t="s">
        <v>203</v>
      </c>
      <c r="F93" s="36" t="s">
        <v>204</v>
      </c>
      <c r="G93" s="1">
        <v>16</v>
      </c>
      <c r="J93" s="1" t="e">
        <v>#VALUE!</v>
      </c>
      <c r="K93" s="24" t="s">
        <v>328</v>
      </c>
      <c r="L93" s="1" t="e">
        <f t="shared" si="7"/>
        <v>#VALUE!</v>
      </c>
      <c r="M93" s="1" t="b">
        <f t="shared" si="3"/>
        <v>1</v>
      </c>
    </row>
    <row r="94" spans="1:13" x14ac:dyDescent="0.15">
      <c r="A94" s="37" t="s">
        <v>208</v>
      </c>
      <c r="B94" s="24" t="s">
        <v>29</v>
      </c>
      <c r="C94" s="24" t="s">
        <v>38</v>
      </c>
      <c r="E94" s="1">
        <v>10</v>
      </c>
      <c r="F94" s="1">
        <v>2</v>
      </c>
      <c r="G94" s="1">
        <v>1</v>
      </c>
      <c r="J94" s="1" t="e">
        <v>#VALUE!</v>
      </c>
      <c r="K94" s="24" t="s">
        <v>329</v>
      </c>
      <c r="L94" s="1" t="e">
        <f>divideNPntByOneDig(E94,F94,G94)</f>
        <v>#VALUE!</v>
      </c>
      <c r="M94" s="1" t="b">
        <f t="shared" si="3"/>
        <v>1</v>
      </c>
    </row>
    <row r="95" spans="1:13" x14ac:dyDescent="0.15">
      <c r="C95" s="24" t="s">
        <v>39</v>
      </c>
      <c r="E95" s="1">
        <v>10</v>
      </c>
      <c r="F95" s="1">
        <v>2</v>
      </c>
      <c r="G95" s="1">
        <v>17</v>
      </c>
      <c r="J95" s="1" t="e">
        <v>#VALUE!</v>
      </c>
      <c r="K95" s="24" t="s">
        <v>330</v>
      </c>
      <c r="L95" s="1" t="e">
        <f>divideNPntByOneDig(E95,F95,G95)</f>
        <v>#VALUE!</v>
      </c>
      <c r="M95" s="1" t="b">
        <f t="shared" si="3"/>
        <v>1</v>
      </c>
    </row>
    <row r="96" spans="1:13" x14ac:dyDescent="0.15">
      <c r="B96" s="24" t="s">
        <v>40</v>
      </c>
      <c r="C96" s="24" t="s">
        <v>42</v>
      </c>
      <c r="E96" s="1">
        <v>10</v>
      </c>
      <c r="F96" s="1">
        <v>2</v>
      </c>
      <c r="J96" s="1" t="s">
        <v>235</v>
      </c>
      <c r="K96" s="24" t="s">
        <v>331</v>
      </c>
      <c r="L96" s="1" t="str">
        <f>divideNPntByOneDig(E96,F96)</f>
        <v>5</v>
      </c>
      <c r="M96" s="1" t="b">
        <f t="shared" si="3"/>
        <v>1</v>
      </c>
    </row>
    <row r="97" spans="2:13" x14ac:dyDescent="0.15">
      <c r="C97" s="24" t="s">
        <v>43</v>
      </c>
      <c r="E97" s="1">
        <v>10</v>
      </c>
      <c r="F97" s="38" t="s">
        <v>209</v>
      </c>
      <c r="J97" s="1" t="e">
        <v>#VALUE!</v>
      </c>
      <c r="K97" s="24" t="s">
        <v>332</v>
      </c>
      <c r="L97" s="1" t="e">
        <f>divideNPntByOneDig(E97,F97)</f>
        <v>#VALUE!</v>
      </c>
      <c r="M97" s="1" t="b">
        <f t="shared" si="3"/>
        <v>1</v>
      </c>
    </row>
    <row r="98" spans="2:13" x14ac:dyDescent="0.15">
      <c r="B98" s="39" t="s">
        <v>210</v>
      </c>
      <c r="C98" s="39" t="s">
        <v>211</v>
      </c>
      <c r="E98" s="1">
        <v>10</v>
      </c>
      <c r="F98" s="1">
        <v>3</v>
      </c>
      <c r="G98" s="1">
        <v>10</v>
      </c>
      <c r="H98" s="1">
        <v>0</v>
      </c>
      <c r="J98" s="1" t="s">
        <v>236</v>
      </c>
      <c r="K98" s="24" t="s">
        <v>333</v>
      </c>
      <c r="L98" s="1" t="str">
        <f>divideNPntByOneDig(E98,F98,G98,H98)</f>
        <v>3</v>
      </c>
      <c r="M98" s="1" t="b">
        <f t="shared" si="3"/>
        <v>1</v>
      </c>
    </row>
    <row r="99" spans="2:13" x14ac:dyDescent="0.15">
      <c r="C99" s="39" t="s">
        <v>212</v>
      </c>
      <c r="E99" s="1">
        <v>10</v>
      </c>
      <c r="F99" s="1">
        <v>3</v>
      </c>
      <c r="G99" s="1">
        <v>10</v>
      </c>
      <c r="H99" s="1">
        <v>1</v>
      </c>
      <c r="J99" s="1" t="s">
        <v>237</v>
      </c>
      <c r="K99" s="24" t="s">
        <v>334</v>
      </c>
      <c r="L99" s="1" t="str">
        <f>divideNPntByOneDig(E99,F99,G99,H99)</f>
        <v>3.3</v>
      </c>
      <c r="M99" s="1" t="b">
        <f t="shared" si="3"/>
        <v>1</v>
      </c>
    </row>
    <row r="100" spans="2:13" x14ac:dyDescent="0.15">
      <c r="C100" s="39" t="s">
        <v>213</v>
      </c>
      <c r="E100" s="1">
        <v>10</v>
      </c>
      <c r="F100" s="1">
        <v>3</v>
      </c>
      <c r="J100" s="1" t="s">
        <v>238</v>
      </c>
      <c r="K100" s="24" t="s">
        <v>335</v>
      </c>
      <c r="L100" s="1" t="str">
        <f>divideNPntByOneDig(E100,F100)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b">
        <f t="shared" si="3"/>
        <v>1</v>
      </c>
    </row>
    <row r="101" spans="2:13" x14ac:dyDescent="0.15">
      <c r="B101" s="39" t="s">
        <v>214</v>
      </c>
      <c r="C101" s="24" t="s">
        <v>215</v>
      </c>
      <c r="E101" s="1">
        <v>10</v>
      </c>
      <c r="F101" s="1">
        <v>1</v>
      </c>
      <c r="G101" s="1">
        <v>2</v>
      </c>
      <c r="J101" s="1" t="s">
        <v>92</v>
      </c>
      <c r="K101" s="24" t="s">
        <v>336</v>
      </c>
      <c r="L101" s="1" t="str">
        <f>divideNPntByOneDig(E101,F101,G101)</f>
        <v>10</v>
      </c>
      <c r="M101" s="1" t="b">
        <f t="shared" si="3"/>
        <v>1</v>
      </c>
    </row>
    <row r="102" spans="2:13" x14ac:dyDescent="0.15">
      <c r="C102" s="24" t="s">
        <v>216</v>
      </c>
      <c r="E102" s="1">
        <v>10</v>
      </c>
      <c r="F102" s="1">
        <v>-1</v>
      </c>
      <c r="G102" s="1">
        <v>2</v>
      </c>
      <c r="J102" s="1" t="s">
        <v>94</v>
      </c>
      <c r="K102" s="24" t="s">
        <v>337</v>
      </c>
      <c r="L102" s="1" t="str">
        <f t="shared" ref="L102:L121" si="8">divideNPntByOneDig(E102,F102,G102)</f>
        <v>-10</v>
      </c>
      <c r="M102" s="1" t="b">
        <f t="shared" si="3"/>
        <v>1</v>
      </c>
    </row>
    <row r="103" spans="2:13" x14ac:dyDescent="0.15">
      <c r="C103" s="24" t="s">
        <v>217</v>
      </c>
      <c r="E103" s="1">
        <v>-10</v>
      </c>
      <c r="F103" s="1">
        <v>1</v>
      </c>
      <c r="G103" s="1">
        <v>2</v>
      </c>
      <c r="J103" s="1" t="s">
        <v>94</v>
      </c>
      <c r="K103" s="24" t="s">
        <v>338</v>
      </c>
      <c r="L103" s="1" t="str">
        <f t="shared" si="8"/>
        <v>-10</v>
      </c>
      <c r="M103" s="1" t="b">
        <f t="shared" si="3"/>
        <v>1</v>
      </c>
    </row>
    <row r="104" spans="2:13" x14ac:dyDescent="0.15">
      <c r="C104" s="24" t="s">
        <v>218</v>
      </c>
      <c r="E104" s="1">
        <v>-10</v>
      </c>
      <c r="F104" s="1">
        <v>-1</v>
      </c>
      <c r="G104" s="1">
        <v>2</v>
      </c>
      <c r="J104" s="1" t="s">
        <v>92</v>
      </c>
      <c r="K104" s="24" t="s">
        <v>339</v>
      </c>
      <c r="L104" s="1" t="str">
        <f t="shared" si="8"/>
        <v>10</v>
      </c>
      <c r="M104" s="1" t="b">
        <f t="shared" si="3"/>
        <v>1</v>
      </c>
    </row>
    <row r="105" spans="2:13" x14ac:dyDescent="0.15">
      <c r="C105" s="28" t="s">
        <v>32</v>
      </c>
      <c r="E105" s="1">
        <v>10.1</v>
      </c>
      <c r="F105" s="1">
        <v>1</v>
      </c>
      <c r="G105" s="1">
        <v>2</v>
      </c>
      <c r="J105" s="1" t="s">
        <v>239</v>
      </c>
      <c r="K105" s="24" t="s">
        <v>340</v>
      </c>
      <c r="L105" s="1" t="str">
        <f t="shared" si="8"/>
        <v>10.1</v>
      </c>
      <c r="M105" s="1" t="b">
        <f t="shared" si="3"/>
        <v>1</v>
      </c>
    </row>
    <row r="106" spans="2:13" x14ac:dyDescent="0.15">
      <c r="C106" s="28" t="s">
        <v>63</v>
      </c>
      <c r="E106" s="1">
        <v>10.199999999999999</v>
      </c>
      <c r="F106" s="1">
        <v>1</v>
      </c>
      <c r="G106" s="1">
        <v>2</v>
      </c>
      <c r="J106" s="1" t="e">
        <v>#VALUE!</v>
      </c>
      <c r="K106" s="24" t="s">
        <v>341</v>
      </c>
      <c r="L106" s="1" t="e">
        <f t="shared" si="8"/>
        <v>#VALUE!</v>
      </c>
      <c r="M106" s="1" t="b">
        <f t="shared" si="3"/>
        <v>1</v>
      </c>
    </row>
    <row r="107" spans="2:13" x14ac:dyDescent="0.15">
      <c r="E107" s="1">
        <v>10.1</v>
      </c>
      <c r="F107" s="1">
        <v>2</v>
      </c>
      <c r="G107" s="1">
        <v>2</v>
      </c>
      <c r="J107" s="1" t="e">
        <v>#VALUE!</v>
      </c>
      <c r="K107" s="24" t="s">
        <v>342</v>
      </c>
      <c r="L107" s="1" t="e">
        <f t="shared" si="8"/>
        <v>#VALUE!</v>
      </c>
      <c r="M107" s="1" t="b">
        <f t="shared" si="3"/>
        <v>1</v>
      </c>
    </row>
    <row r="108" spans="2:13" x14ac:dyDescent="0.15">
      <c r="B108" s="39" t="s">
        <v>221</v>
      </c>
      <c r="C108" s="24" t="s">
        <v>215</v>
      </c>
      <c r="E108" s="1">
        <v>99</v>
      </c>
      <c r="F108" s="1">
        <v>9</v>
      </c>
      <c r="G108" s="1">
        <v>10</v>
      </c>
      <c r="J108" s="1" t="s">
        <v>240</v>
      </c>
      <c r="K108" s="24" t="s">
        <v>343</v>
      </c>
      <c r="L108" s="1" t="str">
        <f t="shared" si="8"/>
        <v>11</v>
      </c>
      <c r="M108" s="1" t="b">
        <f t="shared" ref="M108:M121" si="9">getText(J108)=getText(L108)</f>
        <v>1</v>
      </c>
    </row>
    <row r="109" spans="2:13" x14ac:dyDescent="0.15">
      <c r="C109" s="24" t="s">
        <v>216</v>
      </c>
      <c r="E109" s="1">
        <v>99</v>
      </c>
      <c r="F109" s="1">
        <v>-9</v>
      </c>
      <c r="G109" s="1">
        <v>10</v>
      </c>
      <c r="J109" s="1" t="s">
        <v>241</v>
      </c>
      <c r="K109" s="24" t="s">
        <v>344</v>
      </c>
      <c r="L109" s="1" t="str">
        <f t="shared" si="8"/>
        <v>-11</v>
      </c>
      <c r="M109" s="1" t="b">
        <f t="shared" si="9"/>
        <v>1</v>
      </c>
    </row>
    <row r="110" spans="2:13" x14ac:dyDescent="0.15">
      <c r="C110" s="24" t="s">
        <v>217</v>
      </c>
      <c r="E110" s="1">
        <v>-99</v>
      </c>
      <c r="F110" s="1">
        <v>9</v>
      </c>
      <c r="G110" s="1">
        <v>10</v>
      </c>
      <c r="J110" s="1" t="s">
        <v>241</v>
      </c>
      <c r="K110" s="24" t="s">
        <v>345</v>
      </c>
      <c r="L110" s="1" t="str">
        <f t="shared" si="8"/>
        <v>-11</v>
      </c>
      <c r="M110" s="1" t="b">
        <f t="shared" si="9"/>
        <v>1</v>
      </c>
    </row>
    <row r="111" spans="2:13" x14ac:dyDescent="0.15">
      <c r="C111" s="24" t="s">
        <v>218</v>
      </c>
      <c r="E111" s="1">
        <v>-99</v>
      </c>
      <c r="F111" s="1">
        <v>-9</v>
      </c>
      <c r="G111" s="1">
        <v>10</v>
      </c>
      <c r="J111" s="1" t="s">
        <v>240</v>
      </c>
      <c r="K111" s="24" t="s">
        <v>346</v>
      </c>
      <c r="L111" s="1" t="str">
        <f t="shared" si="8"/>
        <v>11</v>
      </c>
      <c r="M111" s="1" t="b">
        <f t="shared" si="9"/>
        <v>1</v>
      </c>
    </row>
    <row r="112" spans="2:13" x14ac:dyDescent="0.15">
      <c r="C112" s="28" t="s">
        <v>32</v>
      </c>
      <c r="E112" s="1">
        <v>99.9</v>
      </c>
      <c r="F112" s="1">
        <v>9</v>
      </c>
      <c r="G112" s="1">
        <v>10</v>
      </c>
      <c r="J112" s="1" t="s">
        <v>242</v>
      </c>
      <c r="K112" s="24" t="s">
        <v>347</v>
      </c>
      <c r="L112" s="1" t="str">
        <f t="shared" si="8"/>
        <v>11.1</v>
      </c>
      <c r="M112" s="1" t="b">
        <f t="shared" si="9"/>
        <v>1</v>
      </c>
    </row>
    <row r="113" spans="2:13" x14ac:dyDescent="0.15">
      <c r="C113" s="39" t="s">
        <v>219</v>
      </c>
      <c r="E113" s="38" t="s">
        <v>223</v>
      </c>
      <c r="F113" s="25">
        <v>9</v>
      </c>
      <c r="G113" s="1">
        <v>10</v>
      </c>
      <c r="J113" s="1" t="e">
        <v>#VALUE!</v>
      </c>
      <c r="K113" s="24" t="s">
        <v>348</v>
      </c>
      <c r="L113" s="1" t="e">
        <f t="shared" si="8"/>
        <v>#VALUE!</v>
      </c>
      <c r="M113" s="1" t="b">
        <f t="shared" si="9"/>
        <v>1</v>
      </c>
    </row>
    <row r="114" spans="2:13" x14ac:dyDescent="0.15">
      <c r="E114" s="25">
        <v>99.9</v>
      </c>
      <c r="F114" s="38" t="s">
        <v>224</v>
      </c>
      <c r="G114" s="1">
        <v>10</v>
      </c>
      <c r="J114" s="1" t="e">
        <v>#VALUE!</v>
      </c>
      <c r="K114" s="24" t="s">
        <v>349</v>
      </c>
      <c r="L114" s="1" t="e">
        <f t="shared" si="8"/>
        <v>#VALUE!</v>
      </c>
      <c r="M114" s="1" t="b">
        <f t="shared" si="9"/>
        <v>1</v>
      </c>
    </row>
    <row r="115" spans="2:13" x14ac:dyDescent="0.15">
      <c r="B115" s="39" t="s">
        <v>222</v>
      </c>
      <c r="C115" s="24" t="s">
        <v>215</v>
      </c>
      <c r="E115" s="40" t="s">
        <v>225</v>
      </c>
      <c r="F115" s="40" t="s">
        <v>226</v>
      </c>
      <c r="G115" s="1">
        <v>16</v>
      </c>
      <c r="J115" s="1" t="s">
        <v>240</v>
      </c>
      <c r="K115" s="24" t="s">
        <v>350</v>
      </c>
      <c r="L115" s="1" t="str">
        <f t="shared" si="8"/>
        <v>11</v>
      </c>
      <c r="M115" s="1" t="b">
        <f t="shared" si="9"/>
        <v>1</v>
      </c>
    </row>
    <row r="116" spans="2:13" x14ac:dyDescent="0.15">
      <c r="C116" s="24" t="s">
        <v>216</v>
      </c>
      <c r="E116" s="40" t="s">
        <v>227</v>
      </c>
      <c r="F116" s="40" t="s">
        <v>228</v>
      </c>
      <c r="G116" s="1">
        <v>16</v>
      </c>
      <c r="J116" s="1" t="s">
        <v>241</v>
      </c>
      <c r="K116" s="24" t="s">
        <v>351</v>
      </c>
      <c r="L116" s="1" t="str">
        <f t="shared" si="8"/>
        <v>-11</v>
      </c>
      <c r="M116" s="1" t="b">
        <f t="shared" si="9"/>
        <v>1</v>
      </c>
    </row>
    <row r="117" spans="2:13" x14ac:dyDescent="0.15">
      <c r="C117" s="24" t="s">
        <v>217</v>
      </c>
      <c r="E117" s="40" t="s">
        <v>229</v>
      </c>
      <c r="F117" s="40" t="s">
        <v>230</v>
      </c>
      <c r="G117" s="1">
        <v>16</v>
      </c>
      <c r="J117" s="1" t="s">
        <v>241</v>
      </c>
      <c r="K117" s="24" t="s">
        <v>352</v>
      </c>
      <c r="L117" s="1" t="str">
        <f t="shared" si="8"/>
        <v>-11</v>
      </c>
      <c r="M117" s="1" t="b">
        <f t="shared" si="9"/>
        <v>1</v>
      </c>
    </row>
    <row r="118" spans="2:13" x14ac:dyDescent="0.15">
      <c r="C118" s="24" t="s">
        <v>218</v>
      </c>
      <c r="E118" s="40" t="s">
        <v>229</v>
      </c>
      <c r="F118" s="40" t="s">
        <v>228</v>
      </c>
      <c r="G118" s="1">
        <v>16</v>
      </c>
      <c r="J118" s="1" t="s">
        <v>240</v>
      </c>
      <c r="K118" s="24" t="s">
        <v>353</v>
      </c>
      <c r="L118" s="1" t="str">
        <f t="shared" si="8"/>
        <v>11</v>
      </c>
      <c r="M118" s="1" t="b">
        <f t="shared" si="9"/>
        <v>1</v>
      </c>
    </row>
    <row r="119" spans="2:13" x14ac:dyDescent="0.15">
      <c r="C119" s="28" t="s">
        <v>32</v>
      </c>
      <c r="E119" s="40" t="s">
        <v>231</v>
      </c>
      <c r="F119" s="40" t="s">
        <v>230</v>
      </c>
      <c r="G119" s="1">
        <v>16</v>
      </c>
      <c r="J119" s="1" t="s">
        <v>242</v>
      </c>
      <c r="K119" s="24" t="s">
        <v>354</v>
      </c>
      <c r="L119" s="1" t="str">
        <f t="shared" si="8"/>
        <v>11.1</v>
      </c>
      <c r="M119" s="1" t="b">
        <f t="shared" si="9"/>
        <v>1</v>
      </c>
    </row>
    <row r="120" spans="2:13" x14ac:dyDescent="0.15">
      <c r="C120" s="39" t="s">
        <v>220</v>
      </c>
      <c r="E120" s="40" t="s">
        <v>233</v>
      </c>
      <c r="F120" s="40" t="s">
        <v>232</v>
      </c>
      <c r="G120" s="1">
        <v>16</v>
      </c>
      <c r="J120" s="1" t="e">
        <v>#VALUE!</v>
      </c>
      <c r="K120" s="24" t="s">
        <v>355</v>
      </c>
      <c r="L120" s="1" t="e">
        <f t="shared" si="8"/>
        <v>#VALUE!</v>
      </c>
      <c r="M120" s="1" t="b">
        <f t="shared" si="9"/>
        <v>1</v>
      </c>
    </row>
    <row r="121" spans="2:13" x14ac:dyDescent="0.15">
      <c r="E121" s="40" t="s">
        <v>227</v>
      </c>
      <c r="F121" s="40" t="s">
        <v>234</v>
      </c>
      <c r="G121" s="1">
        <v>16</v>
      </c>
      <c r="J121" s="1" t="e">
        <v>#VALUE!</v>
      </c>
      <c r="K121" s="24" t="s">
        <v>356</v>
      </c>
      <c r="L121" s="1" t="e">
        <f t="shared" si="8"/>
        <v>#VALUE!</v>
      </c>
      <c r="M121" s="1" t="b">
        <f t="shared" si="9"/>
        <v>1</v>
      </c>
    </row>
  </sheetData>
  <phoneticPr fontId="8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InternalHex</vt:lpstr>
      <vt:lpstr>NumericString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2018-05-11T12:26:54Z</dcterms:modified>
</cp:coreProperties>
</file>