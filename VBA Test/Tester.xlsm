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7F5AB3A3-4093-437D-8600-AD0FF625B2BD}" xr6:coauthVersionLast="32" xr6:coauthVersionMax="32" xr10:uidLastSave="{00000000-0000-0000-0000-000000000000}"/>
  <bookViews>
    <workbookView xWindow="0" yWindow="10800" windowWidth="28800" windowHeight="13710" xr2:uid="{00000000-000D-0000-FFFF-FFFF00000000}"/>
  </bookViews>
  <sheets>
    <sheet name="Sheet1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C3" i="7"/>
  <c r="O3" i="7"/>
  <c r="E3" i="7"/>
  <c r="D3" i="7"/>
  <c r="O4" i="7"/>
  <c r="O9" i="7" s="1"/>
  <c r="I4" i="7"/>
  <c r="L4" i="7" s="1"/>
  <c r="O6" i="7"/>
  <c r="C4" i="7"/>
  <c r="K4" i="7"/>
  <c r="Q9" i="7"/>
  <c r="P3" i="7"/>
  <c r="F3" i="7"/>
  <c r="P6" i="7"/>
  <c r="O7" i="7"/>
  <c r="P7" i="7" s="1"/>
  <c r="E4" i="7"/>
  <c r="C8" i="7"/>
  <c r="Q3" i="7"/>
  <c r="D8" i="7"/>
  <c r="I3" i="7"/>
  <c r="L3" i="7"/>
  <c r="Q4" i="7"/>
  <c r="I8" i="7"/>
  <c r="K8" i="7" s="1"/>
  <c r="P4" i="7"/>
  <c r="L8" i="7"/>
  <c r="Q6" i="7"/>
  <c r="K3" i="7"/>
  <c r="J4" i="7"/>
  <c r="J8" i="7"/>
  <c r="C7" i="7"/>
  <c r="Q7" i="7"/>
  <c r="O8" i="7"/>
  <c r="R7" i="7"/>
  <c r="C9" i="7"/>
  <c r="F4" i="7"/>
  <c r="D4" i="7"/>
  <c r="C6" i="7"/>
  <c r="F8" i="7"/>
  <c r="E8" i="7"/>
  <c r="I7" i="7"/>
  <c r="I9" i="7"/>
  <c r="I6" i="7"/>
  <c r="E7" i="7"/>
  <c r="D7" i="7"/>
  <c r="F7" i="7"/>
  <c r="Q8" i="7"/>
  <c r="P8" i="7"/>
  <c r="D9" i="7"/>
  <c r="E9" i="7"/>
  <c r="F9" i="7"/>
  <c r="F6" i="7"/>
  <c r="E6" i="7"/>
  <c r="D6" i="7"/>
  <c r="K7" i="7"/>
  <c r="L7" i="7"/>
  <c r="J7" i="7"/>
  <c r="K9" i="7"/>
  <c r="L9" i="7"/>
  <c r="J9" i="7"/>
  <c r="K6" i="7"/>
  <c r="L6" i="7"/>
  <c r="J6" i="7"/>
  <c r="M6" i="7"/>
  <c r="M8" i="7"/>
  <c r="P9" i="7"/>
  <c r="G3" i="7"/>
  <c r="H3" i="7" s="1"/>
  <c r="M9" i="7"/>
  <c r="M4" i="7"/>
  <c r="N4" i="7" s="1"/>
  <c r="R8" i="7"/>
  <c r="M7" i="7"/>
  <c r="R4" i="7"/>
  <c r="R6" i="7"/>
  <c r="G6" i="7"/>
  <c r="J3" i="7"/>
  <c r="G8" i="7"/>
  <c r="H8" i="7" s="1"/>
  <c r="G4" i="7"/>
  <c r="H4" i="7" s="1"/>
  <c r="G9" i="7"/>
  <c r="R3" i="7"/>
  <c r="G7" i="7"/>
  <c r="H7" i="7" s="1"/>
  <c r="H9" i="7"/>
  <c r="N9" i="7"/>
  <c r="N8" i="7"/>
  <c r="N6" i="7"/>
  <c r="M3" i="7"/>
  <c r="N3" i="7" s="1"/>
  <c r="H6" i="7"/>
  <c r="N7" i="7"/>
  <c r="R9" i="7"/>
</calcChain>
</file>

<file path=xl/sharedStrings.xml><?xml version="1.0" encoding="utf-8"?>
<sst xmlns="http://schemas.openxmlformats.org/spreadsheetml/2006/main" count="25" uniqueCount="16">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</sst>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8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2" x14ac:dyDescent="0.15"/>
  <cols>
    <col min="1" max="1" width="9.140625" style="3"/>
    <col min="2" max="2" width="13" bestFit="1" customWidth="1"/>
    <col min="3" max="3" width="18.7109375" bestFit="1" customWidth="1"/>
    <col min="4" max="4" width="3.7109375" style="1" bestFit="1" customWidth="1"/>
    <col min="5" max="5" width="13" style="1" bestFit="1" customWidth="1"/>
    <col min="6" max="6" width="59.140625" style="1" bestFit="1" customWidth="1"/>
    <col min="7" max="8" width="62.5703125" style="1" bestFit="1" customWidth="1"/>
    <col min="9" max="9" width="16.140625" bestFit="1" customWidth="1"/>
    <col min="10" max="10" width="3.85546875" bestFit="1" customWidth="1"/>
    <col min="11" max="11" width="9.7109375" bestFit="1" customWidth="1"/>
    <col min="12" max="12" width="26.5703125" bestFit="1" customWidth="1"/>
    <col min="13" max="14" width="35.5703125" bestFit="1" customWidth="1"/>
    <col min="15" max="15" width="16.140625" style="1" bestFit="1" customWidth="1"/>
    <col min="16" max="16" width="3.7109375" style="1" bestFit="1" customWidth="1"/>
    <col min="17" max="17" width="35.5703125" style="1" bestFit="1" customWidth="1"/>
    <col min="18" max="18" width="10.42578125" style="1" bestFit="1" customWidth="1"/>
  </cols>
  <sheetData>
    <row r="1" spans="1:18" x14ac:dyDescent="0.15">
      <c r="C1" s="22" t="s">
        <v>11</v>
      </c>
      <c r="D1" s="23"/>
      <c r="E1" s="23"/>
      <c r="F1" s="23"/>
      <c r="G1" s="23"/>
      <c r="H1" s="24"/>
      <c r="I1" s="22" t="s">
        <v>12</v>
      </c>
      <c r="J1" s="23"/>
      <c r="K1" s="23"/>
      <c r="L1" s="23"/>
      <c r="M1" s="23"/>
      <c r="N1" s="24"/>
      <c r="O1" s="22" t="s">
        <v>14</v>
      </c>
      <c r="P1" s="23"/>
      <c r="Q1" s="23"/>
      <c r="R1" s="24"/>
    </row>
    <row r="2" spans="1:18" s="2" customFormat="1" x14ac:dyDescent="0.15">
      <c r="A2" s="3"/>
      <c r="C2" s="4" t="s">
        <v>13</v>
      </c>
      <c r="D2" s="5" t="s">
        <v>0</v>
      </c>
      <c r="E2" s="5" t="s">
        <v>1</v>
      </c>
      <c r="F2" s="5" t="s">
        <v>2</v>
      </c>
      <c r="G2" s="5" t="s">
        <v>4</v>
      </c>
      <c r="H2" s="6" t="s">
        <v>3</v>
      </c>
      <c r="I2" s="4" t="s">
        <v>13</v>
      </c>
      <c r="J2" s="5" t="s">
        <v>0</v>
      </c>
      <c r="K2" s="5" t="s">
        <v>1</v>
      </c>
      <c r="L2" s="5" t="s">
        <v>2</v>
      </c>
      <c r="M2" s="5" t="s">
        <v>4</v>
      </c>
      <c r="N2" s="6" t="s">
        <v>3</v>
      </c>
      <c r="O2" s="4" t="s">
        <v>13</v>
      </c>
      <c r="P2" s="5" t="s">
        <v>0</v>
      </c>
      <c r="Q2" s="5" t="s">
        <v>15</v>
      </c>
      <c r="R2" s="6" t="s">
        <v>3</v>
      </c>
    </row>
    <row r="3" spans="1:18" x14ac:dyDescent="0.15">
      <c r="A3" s="18" t="s">
        <v>5</v>
      </c>
      <c r="B3" s="19">
        <v>53</v>
      </c>
      <c r="C3" s="13" t="str">
        <f>convDecPntStrToCDoubleAndGetInternalHex(B3)</f>
        <v>404A800000000000</v>
      </c>
      <c r="D3" s="8" t="str">
        <f>LEFT(convHexIntToBinInt(C3),1)</f>
        <v>0</v>
      </c>
      <c r="E3" s="8" t="str">
        <f>MID(convHexIntToBinInt(C3),2,11)</f>
        <v>10000000100</v>
      </c>
      <c r="F3" s="8" t="str">
        <f>RIGHT(convHexIntToBinInt(C3),52)</f>
        <v>1010100000000000000000000000000000000000000000000000</v>
      </c>
      <c r="G3" s="8" t="str">
        <f>shiftNumeralPnt("1."&amp;F3,convBinPntToDecPnt(E3)-1023)</f>
        <v>110101</v>
      </c>
      <c r="H3" s="9" t="str">
        <f>convBinPntToDecPnt(G3)</f>
        <v>53</v>
      </c>
      <c r="I3" s="13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8" t="str">
        <f>IF(J3="1","-","")&amp;shiftNumeralPnt("1."&amp;L3,convBinPntToDecPnt(K3)-127)</f>
        <v>110101</v>
      </c>
      <c r="N3" s="9" t="str">
        <f>convBinPntToDecPnt(M3)</f>
        <v>53</v>
      </c>
      <c r="O3" s="7" t="str">
        <f>convDecIntStrToCLongAndGetInternalHex(B3)</f>
        <v>00000035</v>
      </c>
      <c r="P3" s="8" t="str">
        <f>LEFT(convHexIntToBinInt(O3),1)</f>
        <v>0</v>
      </c>
      <c r="Q3" s="8" t="str">
        <f>RIGHT(convHexIntToBinInt(O3),31)</f>
        <v>0000000000000000000000000110101</v>
      </c>
      <c r="R3" s="9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4" t="s">
        <v>6</v>
      </c>
      <c r="B4" s="15">
        <v>100</v>
      </c>
      <c r="C4" s="13" t="str">
        <f>convDecPntStrToCDoubleAndGetInternalHex(B4)</f>
        <v>4059000000000000</v>
      </c>
      <c r="D4" s="8" t="str">
        <f>LEFT(convHexIntToBinInt(C4),1)</f>
        <v>0</v>
      </c>
      <c r="E4" s="8" t="str">
        <f>MID(convHexIntToBinInt(C4),2,11)</f>
        <v>10000000101</v>
      </c>
      <c r="F4" s="8" t="str">
        <f>RIGHT(convHexIntToBinInt(C4),52)</f>
        <v>1001000000000000000000000000000000000000000000000000</v>
      </c>
      <c r="G4" s="8" t="str">
        <f>shiftNumeralPnt("1."&amp;F4,convBinPntToDecPnt(E4)-1023)</f>
        <v>1100100</v>
      </c>
      <c r="H4" s="9" t="str">
        <f>convBinPntToDecPnt(G4)</f>
        <v>100</v>
      </c>
      <c r="I4" s="13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8" t="str">
        <f>IF(J4="1","-","")&amp;shiftNumeralPnt("1."&amp;L4,convBinPntToDecPnt(K4)-127)</f>
        <v>1100100</v>
      </c>
      <c r="N4" s="9" t="str">
        <f>convBinPntToDecPnt(M4)</f>
        <v>100</v>
      </c>
      <c r="O4" s="7" t="str">
        <f>convDecIntStrToCLongAndGetInternalHex(B4)</f>
        <v>00000064</v>
      </c>
      <c r="P4" s="8" t="str">
        <f>LEFT(convHexIntToBinInt(O4),1)</f>
        <v>0</v>
      </c>
      <c r="Q4" s="8" t="str">
        <f>RIGHT(convHexIntToBinInt(O4),31)</f>
        <v>0000000000000000000000001100100</v>
      </c>
      <c r="R4" s="9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4"/>
      <c r="B5" s="15"/>
      <c r="C5" s="13"/>
      <c r="D5" s="8"/>
      <c r="E5" s="8"/>
      <c r="F5" s="8"/>
      <c r="G5" s="8"/>
      <c r="H5" s="9"/>
      <c r="I5" s="13"/>
      <c r="J5" s="14"/>
      <c r="K5" s="14"/>
      <c r="L5" s="14"/>
      <c r="M5" s="14"/>
      <c r="N5" s="15"/>
      <c r="O5" s="7"/>
      <c r="P5" s="8"/>
      <c r="Q5" s="8"/>
      <c r="R5" s="9"/>
    </row>
    <row r="6" spans="1:18" x14ac:dyDescent="0.15">
      <c r="A6" s="4" t="s">
        <v>7</v>
      </c>
      <c r="B6" s="15">
        <f>B3+B4</f>
        <v>153</v>
      </c>
      <c r="C6" s="13" t="str">
        <f>addtionDoubleByInternalHex(C3,C4)</f>
        <v>4063200000000000</v>
      </c>
      <c r="D6" s="8" t="str">
        <f>LEFT(convHexIntToBinInt(C6),1)</f>
        <v>0</v>
      </c>
      <c r="E6" s="8" t="str">
        <f>MID(convHexIntToBinInt(C6),2,11)</f>
        <v>10000000110</v>
      </c>
      <c r="F6" s="8" t="str">
        <f>RIGHT(convHexIntToBinInt(C6),52)</f>
        <v>0011001000000000000000000000000000000000000000000000</v>
      </c>
      <c r="G6" s="8" t="str">
        <f>IF(D6="1","-","")&amp;shiftNumeralPnt("1."&amp;F6,convBinPntToDecPnt(E6)-1023)</f>
        <v>10011001</v>
      </c>
      <c r="H6" s="9" t="str">
        <f>convBinPntToDecPnt(G6)</f>
        <v>153</v>
      </c>
      <c r="I6" s="13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8" t="str">
        <f>IF(J6="1","-","")&amp;shiftNumeralPnt("1."&amp;L6,convBinPntToDecPnt(K6)-127)</f>
        <v>10011001</v>
      </c>
      <c r="N6" s="9" t="str">
        <f>convBinPntToDecPnt(M6)</f>
        <v>153</v>
      </c>
      <c r="O6" s="7" t="str">
        <f>addtionLongByInternalHex(O3,O4)</f>
        <v>00000099</v>
      </c>
      <c r="P6" s="8" t="str">
        <f t="shared" ref="P6:P9" si="0">LEFT(convHexIntToBinInt(O6),1)</f>
        <v>0</v>
      </c>
      <c r="Q6" s="8" t="str">
        <f t="shared" ref="Q6:Q9" si="1">RIGHT(convHexIntToBinInt(O6),31)</f>
        <v>0000000000000000000000010011001</v>
      </c>
      <c r="R6" s="9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4" t="s">
        <v>8</v>
      </c>
      <c r="B7" s="15">
        <f>B3-B4</f>
        <v>-47</v>
      </c>
      <c r="C7" s="13" t="str">
        <f>substractionDoubleByInternalHex(C3,C4)</f>
        <v>C047800000000000</v>
      </c>
      <c r="D7" s="8" t="str">
        <f>LEFT(convHexIntToBinInt(C7),1)</f>
        <v>1</v>
      </c>
      <c r="E7" s="8" t="str">
        <f>MID(convHexIntToBinInt(C7),2,11)</f>
        <v>10000000100</v>
      </c>
      <c r="F7" s="8" t="str">
        <f>RIGHT(convHexIntToBinInt(C7),52)</f>
        <v>0111100000000000000000000000000000000000000000000000</v>
      </c>
      <c r="G7" s="8" t="str">
        <f>IF(D7="1","-","")&amp;shiftNumeralPnt("1."&amp;F7,convBinPntToDecPnt(E7)-1023)</f>
        <v>-101111</v>
      </c>
      <c r="H7" s="9" t="str">
        <f>convBinPntToDecPnt(G7)</f>
        <v>-47</v>
      </c>
      <c r="I7" s="13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8" t="str">
        <f>IF(J7="1","-","")&amp;shiftNumeralPnt("1."&amp;L7,convBinPntToDecPnt(K7)-127)</f>
        <v>-101111</v>
      </c>
      <c r="N7" s="9" t="str">
        <f>convBinPntToDecPnt(M7)</f>
        <v>-47</v>
      </c>
      <c r="O7" s="7" t="str">
        <f>substractionLongByInternalHex(O3,O4)</f>
        <v>FFFFFFD1</v>
      </c>
      <c r="P7" s="8" t="str">
        <f t="shared" si="0"/>
        <v>1</v>
      </c>
      <c r="Q7" s="8" t="str">
        <f t="shared" si="1"/>
        <v>1111111111111111111111111010001</v>
      </c>
      <c r="R7" s="9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4" t="s">
        <v>9</v>
      </c>
      <c r="B8" s="15">
        <f>B3*B4</f>
        <v>5300</v>
      </c>
      <c r="C8" s="13" t="str">
        <f>multiplicationDoubleByInternalHex(C3,C4)</f>
        <v>40B4B40000000000</v>
      </c>
      <c r="D8" s="8" t="str">
        <f>LEFT(convHexIntToBinInt(C8),1)</f>
        <v>0</v>
      </c>
      <c r="E8" s="8" t="str">
        <f>MID(convHexIntToBinInt(C8),2,11)</f>
        <v>10000001011</v>
      </c>
      <c r="F8" s="8" t="str">
        <f>RIGHT(convHexIntToBinInt(C8),52)</f>
        <v>0100101101000000000000000000000000000000000000000000</v>
      </c>
      <c r="G8" s="8" t="str">
        <f>IF(D8="1","-","")&amp;shiftNumeralPnt("1."&amp;F8,convBinPntToDecPnt(E8)-1023)</f>
        <v>1010010110100</v>
      </c>
      <c r="H8" s="9" t="str">
        <f>convBinPntToDecPnt(G8)</f>
        <v>5300</v>
      </c>
      <c r="I8" s="13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8" t="str">
        <f>IF(J8="1","-","")&amp;shiftNumeralPnt("1."&amp;L8,convBinPntToDecPnt(K8)-127)</f>
        <v>1010010110100</v>
      </c>
      <c r="N8" s="9" t="str">
        <f>convBinPntToDecPnt(M8)</f>
        <v>5300</v>
      </c>
      <c r="O8" s="7" t="str">
        <f>multiplicationLongByInternalHex(O3,O4)</f>
        <v>000014B4</v>
      </c>
      <c r="P8" s="8" t="str">
        <f t="shared" si="0"/>
        <v>0</v>
      </c>
      <c r="Q8" s="8" t="str">
        <f t="shared" si="1"/>
        <v>0000000000000000001010010110100</v>
      </c>
      <c r="R8" s="9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20" t="s">
        <v>10</v>
      </c>
      <c r="B9" s="21">
        <f>B3/B4</f>
        <v>0.53</v>
      </c>
      <c r="C9" s="16" t="str">
        <f>divisionDoubleByInternalHex(C3,C4)</f>
        <v>3FE0F5C28F5C28F6</v>
      </c>
      <c r="D9" s="11" t="str">
        <f>LEFT(convHexIntToBinInt(C9),1)</f>
        <v>0</v>
      </c>
      <c r="E9" s="11" t="str">
        <f>MID(convHexIntToBinInt(C9),2,11)</f>
        <v>01111111110</v>
      </c>
      <c r="F9" s="11" t="str">
        <f>RIGHT(convHexIntToBinInt(C9),52)</f>
        <v>0000111101011100001010001111010111000010100011110110</v>
      </c>
      <c r="G9" s="11" t="str">
        <f>IF(D9="1","-","")&amp;shiftNumeralPnt("1."&amp;F9,convBinPntToDecPnt(E9)-1023)</f>
        <v>0.1000011110101110000101000111101011100001010001111011</v>
      </c>
      <c r="H9" s="12" t="str">
        <f>convBinPntToDecPnt(G9)</f>
        <v>0.5300000000000000266453525910037569701671600341796875</v>
      </c>
      <c r="I9" s="16" t="str">
        <f>divisionFloatByInternalHex(I3,I4)</f>
        <v>3F07AE14</v>
      </c>
      <c r="J9" s="17" t="str">
        <f>LEFT(convHexIntToBinInt(I9),1)</f>
        <v>0</v>
      </c>
      <c r="K9" s="17" t="str">
        <f>MID(convHexIntToBinInt(I9),2,8)</f>
        <v>01111110</v>
      </c>
      <c r="L9" s="17" t="str">
        <f>RIGHT(convHexIntToBinInt(I9),23)</f>
        <v>00001111010111000010100</v>
      </c>
      <c r="M9" s="11" t="str">
        <f>IF(J9="1","-","")&amp;shiftNumeralPnt("1."&amp;L9,convBinPntToDecPnt(K9)-127)</f>
        <v>0.1000011110101110000101</v>
      </c>
      <c r="N9" s="12" t="str">
        <f>convBinPntToDecPnt(M9)</f>
        <v>0.5299999713897705078125</v>
      </c>
      <c r="O9" s="10" t="str">
        <f>divisionLongByInternalHex(O3,O4)</f>
        <v>00000000</v>
      </c>
      <c r="P9" s="11" t="str">
        <f t="shared" si="0"/>
        <v>0</v>
      </c>
      <c r="Q9" s="11" t="str">
        <f t="shared" si="1"/>
        <v>0000000000000000000000000000000</v>
      </c>
      <c r="R9" s="12" t="str">
        <f>IF(P9="0",convBinPntToDecPnt(Q9),"-"&amp;addDecPntDecPnt(convBinPntToDecPnt(SUBSTITUTE(SUBSTITUTE(SUBSTITUTE(Q9,"1","x"),"0","1"),"x","0")),"1"))</f>
        <v>0</v>
      </c>
    </row>
    <row r="14" spans="1:18" x14ac:dyDescent="0.15">
      <c r="N14" s="1"/>
    </row>
    <row r="15" spans="1:18" x14ac:dyDescent="0.15">
      <c r="N15" s="1"/>
    </row>
    <row r="18" spans="14:14" x14ac:dyDescent="0.15">
      <c r="N18" s="1"/>
    </row>
  </sheetData>
  <mergeCells count="3">
    <mergeCell ref="C1:H1"/>
    <mergeCell ref="I1:N1"/>
    <mergeCell ref="O1:R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2018-05-10T13:52:58Z</dcterms:modified>
</cp:coreProperties>
</file>