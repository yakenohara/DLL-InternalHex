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C14CBA40-5CE3-4C02-82F9-736ED3119ECB}" xr6:coauthVersionLast="32" xr6:coauthVersionMax="32" xr10:uidLastSave="{00000000-0000-0000-0000-000000000000}"/>
  <bookViews>
    <workbookView xWindow="0" yWindow="17100" windowWidth="28800" windowHeight="13710" activeTab="2" xr2:uid="{00000000-000D-0000-FFFF-FFFF00000000}"/>
  </bookViews>
  <sheets>
    <sheet name="InternalHex" sheetId="7" r:id="rId1"/>
    <sheet name="NumericString" sheetId="8" r:id="rId2"/>
    <sheet name="Sheet1" sheetId="9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9" l="1"/>
  <c r="I14" i="9" s="1"/>
  <c r="J14" i="9" s="1"/>
  <c r="N16" i="9"/>
  <c r="N12" i="9"/>
  <c r="N8" i="9"/>
  <c r="N4" i="9"/>
  <c r="N15" i="9"/>
  <c r="N11" i="9"/>
  <c r="N7" i="9"/>
  <c r="N3" i="9"/>
  <c r="N14" i="9"/>
  <c r="N10" i="9"/>
  <c r="N6" i="9"/>
  <c r="N17" i="9"/>
  <c r="N13" i="9"/>
  <c r="N9" i="9"/>
  <c r="N5" i="9"/>
  <c r="N2" i="9"/>
  <c r="K96" i="8"/>
  <c r="K94" i="8"/>
  <c r="K92" i="8"/>
  <c r="K90" i="8"/>
  <c r="K88" i="8"/>
  <c r="K86" i="8"/>
  <c r="K84" i="8"/>
  <c r="K82" i="8"/>
  <c r="K80" i="8"/>
  <c r="K78" i="8"/>
  <c r="K76" i="8"/>
  <c r="K74" i="8"/>
  <c r="K72" i="8"/>
  <c r="K70" i="8"/>
  <c r="L95" i="8"/>
  <c r="L93" i="8"/>
  <c r="L91" i="8"/>
  <c r="L89" i="8"/>
  <c r="L87" i="8"/>
  <c r="L85" i="8"/>
  <c r="L83" i="8"/>
  <c r="L81" i="8"/>
  <c r="L79" i="8"/>
  <c r="L77" i="8"/>
  <c r="L75" i="8"/>
  <c r="L73" i="8"/>
  <c r="L71" i="8"/>
  <c r="K69" i="8"/>
  <c r="K95" i="8"/>
  <c r="K93" i="8"/>
  <c r="K91" i="8"/>
  <c r="K89" i="8"/>
  <c r="K87" i="8"/>
  <c r="K85" i="8"/>
  <c r="K83" i="8"/>
  <c r="K81" i="8"/>
  <c r="K79" i="8"/>
  <c r="K77" i="8"/>
  <c r="K75" i="8"/>
  <c r="K73" i="8"/>
  <c r="K71" i="8"/>
  <c r="L96" i="8"/>
  <c r="L94" i="8"/>
  <c r="L92" i="8"/>
  <c r="L90" i="8"/>
  <c r="L88" i="8"/>
  <c r="L86" i="8"/>
  <c r="L84" i="8"/>
  <c r="L82" i="8"/>
  <c r="L80" i="8"/>
  <c r="L78" i="8"/>
  <c r="L76" i="8"/>
  <c r="L74" i="8"/>
  <c r="L72" i="8"/>
  <c r="L70" i="8"/>
  <c r="L69" i="8"/>
  <c r="M93" i="8"/>
  <c r="M77" i="8"/>
  <c r="M85" i="8"/>
  <c r="I7" i="9" l="1"/>
  <c r="J7" i="9" s="1"/>
  <c r="I11" i="9"/>
  <c r="J11" i="9" s="1"/>
  <c r="I3" i="9"/>
  <c r="J3" i="9" s="1"/>
  <c r="I12" i="9"/>
  <c r="J12" i="9" s="1"/>
  <c r="I4" i="9"/>
  <c r="J4" i="9" s="1"/>
  <c r="I15" i="9"/>
  <c r="J15" i="9" s="1"/>
  <c r="I8" i="9"/>
  <c r="J8" i="9" s="1"/>
  <c r="I16" i="9"/>
  <c r="J16" i="9" s="1"/>
  <c r="I5" i="9"/>
  <c r="J5" i="9" s="1"/>
  <c r="I9" i="9"/>
  <c r="J9" i="9" s="1"/>
  <c r="I13" i="9"/>
  <c r="J13" i="9" s="1"/>
  <c r="I17" i="9"/>
  <c r="J17" i="9" s="1"/>
  <c r="I2" i="9"/>
  <c r="J2" i="9" s="1"/>
  <c r="I6" i="9"/>
  <c r="J6" i="9" s="1"/>
  <c r="I10" i="9"/>
  <c r="J10" i="9" s="1"/>
  <c r="B9" i="7"/>
  <c r="B8" i="7"/>
  <c r="B7" i="7"/>
  <c r="B6" i="7"/>
  <c r="L114" i="8"/>
  <c r="L100" i="8"/>
  <c r="M117" i="8"/>
  <c r="G29" i="7"/>
  <c r="J30" i="7"/>
  <c r="M62" i="8"/>
  <c r="E29" i="7"/>
  <c r="R29" i="7"/>
  <c r="L15" i="8"/>
  <c r="O36" i="7"/>
  <c r="M73" i="8"/>
  <c r="M25" i="8"/>
  <c r="M50" i="8"/>
  <c r="N30" i="7"/>
  <c r="M34" i="8"/>
  <c r="L57" i="8"/>
  <c r="L28" i="7"/>
  <c r="M116" i="8"/>
  <c r="N35" i="7"/>
  <c r="L68" i="8"/>
  <c r="N27" i="7"/>
  <c r="M27" i="8"/>
  <c r="L61" i="8"/>
  <c r="L23" i="8"/>
  <c r="L120" i="8"/>
  <c r="D33" i="7"/>
  <c r="L123" i="8"/>
  <c r="C28" i="7"/>
  <c r="F29" i="7"/>
  <c r="L36" i="8"/>
  <c r="M96" i="8"/>
  <c r="L27" i="8"/>
  <c r="L44" i="8"/>
  <c r="N33" i="7"/>
  <c r="M121" i="8"/>
  <c r="M24" i="8"/>
  <c r="M45" i="8"/>
  <c r="I3" i="7"/>
  <c r="L25" i="8"/>
  <c r="J36" i="7"/>
  <c r="M112" i="8"/>
  <c r="J33" i="7"/>
  <c r="L115" i="8"/>
  <c r="Q34" i="7"/>
  <c r="L32" i="8"/>
  <c r="M32" i="8"/>
  <c r="J28" i="7"/>
  <c r="M30" i="7"/>
  <c r="C27" i="7"/>
  <c r="I30" i="7"/>
  <c r="O31" i="7"/>
  <c r="H31" i="7"/>
  <c r="P33" i="7"/>
  <c r="R27" i="7"/>
  <c r="M106" i="8"/>
  <c r="E31" i="7"/>
  <c r="L102" i="8"/>
  <c r="R30" i="7"/>
  <c r="L24" i="8"/>
  <c r="Q28" i="7"/>
  <c r="L35" i="7"/>
  <c r="M71" i="8"/>
  <c r="J35" i="7"/>
  <c r="R32" i="7"/>
  <c r="K27" i="7"/>
  <c r="Q32" i="7"/>
  <c r="Q27" i="7"/>
  <c r="L33" i="7"/>
  <c r="I29" i="7"/>
  <c r="C33" i="7"/>
  <c r="E33" i="7"/>
  <c r="C32" i="7"/>
  <c r="L111" i="8"/>
  <c r="P30" i="7"/>
  <c r="O33" i="7"/>
  <c r="E30" i="7"/>
  <c r="M69" i="8"/>
  <c r="L21" i="8"/>
  <c r="E28" i="7"/>
  <c r="H28" i="7"/>
  <c r="E34" i="7"/>
  <c r="L18" i="8"/>
  <c r="C35" i="7"/>
  <c r="G27" i="7"/>
  <c r="F36" i="7"/>
  <c r="F34" i="7"/>
  <c r="L10" i="8"/>
  <c r="O3" i="7"/>
  <c r="L113" i="8"/>
  <c r="L52" i="8"/>
  <c r="L58" i="8"/>
  <c r="M27" i="7"/>
  <c r="M13" i="8"/>
  <c r="L34" i="8"/>
  <c r="M119" i="8"/>
  <c r="M82" i="8"/>
  <c r="L60" i="8"/>
  <c r="M56" i="8"/>
  <c r="L17" i="8"/>
  <c r="M80" i="8"/>
  <c r="M91" i="8"/>
  <c r="I31" i="7"/>
  <c r="L124" i="8"/>
  <c r="M60" i="8"/>
  <c r="O34" i="7"/>
  <c r="L6" i="8"/>
  <c r="I27" i="7"/>
  <c r="L22" i="8"/>
  <c r="M9" i="8"/>
  <c r="M98" i="8"/>
  <c r="M51" i="8"/>
  <c r="L19" i="8"/>
  <c r="L27" i="7"/>
  <c r="M122" i="8"/>
  <c r="L106" i="8"/>
  <c r="M92" i="8"/>
  <c r="L98" i="8"/>
  <c r="C10" i="7"/>
  <c r="M81" i="8"/>
  <c r="G35" i="7"/>
  <c r="D36" i="7"/>
  <c r="M99" i="8"/>
  <c r="M105" i="8"/>
  <c r="L26" i="8"/>
  <c r="M88" i="8"/>
  <c r="M16" i="8"/>
  <c r="K34" i="7"/>
  <c r="M5" i="8"/>
  <c r="L121" i="8"/>
  <c r="L36" i="7"/>
  <c r="Q35" i="7"/>
  <c r="L35" i="8"/>
  <c r="L29" i="8"/>
  <c r="I34" i="7"/>
  <c r="M21" i="8"/>
  <c r="G31" i="7"/>
  <c r="M78" i="8"/>
  <c r="M87" i="8"/>
  <c r="F35" i="7"/>
  <c r="L30" i="7"/>
  <c r="M32" i="7"/>
  <c r="M11" i="8"/>
  <c r="M103" i="8"/>
  <c r="R28" i="7"/>
  <c r="D31" i="7"/>
  <c r="M8" i="8"/>
  <c r="O4" i="7"/>
  <c r="M114" i="8"/>
  <c r="N29" i="7"/>
  <c r="D30" i="7"/>
  <c r="M4" i="8"/>
  <c r="L56" i="8"/>
  <c r="M58" i="8"/>
  <c r="L122" i="8"/>
  <c r="M123" i="8"/>
  <c r="K36" i="7"/>
  <c r="L53" i="8"/>
  <c r="F31" i="7"/>
  <c r="M84" i="8"/>
  <c r="R34" i="7"/>
  <c r="C12" i="7"/>
  <c r="F32" i="7"/>
  <c r="C34" i="7"/>
  <c r="K31" i="7"/>
  <c r="J29" i="7"/>
  <c r="M108" i="8"/>
  <c r="M102" i="8"/>
  <c r="L107" i="8"/>
  <c r="L66" i="8"/>
  <c r="M83" i="8"/>
  <c r="M34" i="7"/>
  <c r="G30" i="7"/>
  <c r="M118" i="8"/>
  <c r="M101" i="8"/>
  <c r="L29" i="7"/>
  <c r="M36" i="8"/>
  <c r="D29" i="7"/>
  <c r="M3" i="8"/>
  <c r="K29" i="7"/>
  <c r="L11" i="8"/>
  <c r="L14" i="8"/>
  <c r="M115" i="8"/>
  <c r="L117" i="8"/>
  <c r="M111" i="8"/>
  <c r="M109" i="8"/>
  <c r="M10" i="8"/>
  <c r="I32" i="7"/>
  <c r="H36" i="7"/>
  <c r="R36" i="7"/>
  <c r="D35" i="7"/>
  <c r="D34" i="7"/>
  <c r="R33" i="7"/>
  <c r="L9" i="8"/>
  <c r="M53" i="8"/>
  <c r="P35" i="7"/>
  <c r="L33" i="8"/>
  <c r="M63" i="8"/>
  <c r="O27" i="7"/>
  <c r="L108" i="8"/>
  <c r="M26" i="8"/>
  <c r="H29" i="7"/>
  <c r="Q30" i="7"/>
  <c r="N34" i="7"/>
  <c r="M35" i="7"/>
  <c r="L13" i="8"/>
  <c r="O32" i="7"/>
  <c r="M23" i="8"/>
  <c r="K32" i="7"/>
  <c r="M28" i="7"/>
  <c r="C11" i="7"/>
  <c r="M89" i="8"/>
  <c r="M7" i="8"/>
  <c r="M31" i="8"/>
  <c r="J27" i="7"/>
  <c r="L64" i="8"/>
  <c r="L34" i="7"/>
  <c r="L63" i="8"/>
  <c r="L4" i="8"/>
  <c r="M29" i="7"/>
  <c r="M79" i="8"/>
  <c r="K33" i="7"/>
  <c r="R31" i="7"/>
  <c r="M49" i="8"/>
  <c r="L101" i="8"/>
  <c r="P34" i="7"/>
  <c r="L50" i="8"/>
  <c r="I33" i="7"/>
  <c r="M113" i="8"/>
  <c r="M67" i="8"/>
  <c r="K30" i="7"/>
  <c r="M68" i="8"/>
  <c r="L28" i="8"/>
  <c r="M57" i="8"/>
  <c r="F28" i="7"/>
  <c r="K35" i="7"/>
  <c r="L49" i="8"/>
  <c r="C2" i="9"/>
  <c r="L110" i="8"/>
  <c r="N28" i="7"/>
  <c r="Q31" i="7"/>
  <c r="M15" i="8"/>
  <c r="M124" i="8"/>
  <c r="L16" i="8"/>
  <c r="H33" i="7"/>
  <c r="M61" i="8"/>
  <c r="M66" i="8"/>
  <c r="M48" i="8"/>
  <c r="C36" i="7"/>
  <c r="M120" i="8"/>
  <c r="M72" i="8"/>
  <c r="M33" i="7"/>
  <c r="L116" i="8"/>
  <c r="L103" i="8"/>
  <c r="L55" i="8"/>
  <c r="L112" i="8"/>
  <c r="C31" i="7"/>
  <c r="J32" i="7"/>
  <c r="M28" i="8"/>
  <c r="L5" i="8"/>
  <c r="M95" i="8"/>
  <c r="R35" i="7"/>
  <c r="L31" i="7"/>
  <c r="I36" i="7"/>
  <c r="M110" i="8"/>
  <c r="K28" i="7"/>
  <c r="M86" i="8"/>
  <c r="G28" i="7"/>
  <c r="M54" i="8"/>
  <c r="L97" i="8"/>
  <c r="G32" i="7"/>
  <c r="L48" i="8"/>
  <c r="E35" i="7"/>
  <c r="L31" i="8"/>
  <c r="I4" i="7"/>
  <c r="C3" i="7"/>
  <c r="D3" i="7" s="1"/>
  <c r="M30" i="8"/>
  <c r="G33" i="7"/>
  <c r="M52" i="8"/>
  <c r="M90" i="8"/>
  <c r="L67" i="8"/>
  <c r="L109" i="8"/>
  <c r="P29" i="7"/>
  <c r="Q29" i="7"/>
  <c r="F27" i="7"/>
  <c r="O35" i="7"/>
  <c r="H27" i="7"/>
  <c r="P36" i="7"/>
  <c r="F30" i="7"/>
  <c r="M97" i="8"/>
  <c r="M75" i="8"/>
  <c r="M70" i="8"/>
  <c r="I28" i="7"/>
  <c r="M74" i="8"/>
  <c r="M46" i="8"/>
  <c r="M44" i="8"/>
  <c r="M47" i="8"/>
  <c r="G36" i="7"/>
  <c r="L2" i="8"/>
  <c r="N32" i="7"/>
  <c r="I9" i="7"/>
  <c r="L54" i="8"/>
  <c r="L59" i="8"/>
  <c r="H32" i="7"/>
  <c r="M17" i="8"/>
  <c r="F3" i="7"/>
  <c r="L4" i="7"/>
  <c r="O6" i="7"/>
  <c r="P6" i="7" s="1"/>
  <c r="K9" i="7"/>
  <c r="L104" i="8"/>
  <c r="C29" i="7"/>
  <c r="L20" i="8"/>
  <c r="H34" i="7"/>
  <c r="M19" i="8"/>
  <c r="L46" i="8"/>
  <c r="L12" i="8"/>
  <c r="M18" i="8"/>
  <c r="M20" i="8"/>
  <c r="C4" i="7"/>
  <c r="M59" i="8"/>
  <c r="Q33" i="7"/>
  <c r="M6" i="8"/>
  <c r="M2" i="8"/>
  <c r="L105" i="8"/>
  <c r="L99" i="8"/>
  <c r="M100" i="8"/>
  <c r="C30" i="7"/>
  <c r="D32" i="7"/>
  <c r="H35" i="7"/>
  <c r="P32" i="7"/>
  <c r="E32" i="7"/>
  <c r="K3" i="7"/>
  <c r="O30" i="7"/>
  <c r="H30" i="7"/>
  <c r="J31" i="7"/>
  <c r="M107" i="8"/>
  <c r="L30" i="8"/>
  <c r="M29" i="8"/>
  <c r="L7" i="8"/>
  <c r="P3" i="7"/>
  <c r="L118" i="8"/>
  <c r="E27" i="7"/>
  <c r="M14" i="8"/>
  <c r="E4" i="7"/>
  <c r="P31" i="7"/>
  <c r="L51" i="8"/>
  <c r="M33" i="8"/>
  <c r="L119" i="8"/>
  <c r="M64" i="8"/>
  <c r="L47" i="8"/>
  <c r="O28" i="7"/>
  <c r="L45" i="8"/>
  <c r="M36" i="7"/>
  <c r="L32" i="7"/>
  <c r="M12" i="8"/>
  <c r="O29" i="7"/>
  <c r="M76" i="8"/>
  <c r="E36" i="7"/>
  <c r="J34" i="7"/>
  <c r="L3" i="8"/>
  <c r="P28" i="7"/>
  <c r="G34" i="7"/>
  <c r="M94" i="8"/>
  <c r="L8" i="8"/>
  <c r="P4" i="7"/>
  <c r="N31" i="7"/>
  <c r="Q36" i="7"/>
  <c r="I6" i="7"/>
  <c r="Q6" i="7"/>
  <c r="F33" i="7"/>
  <c r="N36" i="7"/>
  <c r="M22" i="8"/>
  <c r="M104" i="8"/>
  <c r="M65" i="8"/>
  <c r="I35" i="7"/>
  <c r="P27" i="7"/>
  <c r="L65" i="8"/>
  <c r="D27" i="7"/>
  <c r="M55" i="8"/>
  <c r="L62" i="8"/>
  <c r="M35" i="8"/>
  <c r="M31" i="7"/>
  <c r="D28" i="7"/>
  <c r="O8" i="7"/>
  <c r="J3" i="7"/>
  <c r="O7" i="7"/>
  <c r="E3" i="7"/>
  <c r="P8" i="7"/>
  <c r="Q8" i="7"/>
  <c r="Q3" i="7"/>
  <c r="P7" i="7"/>
  <c r="O9" i="7"/>
  <c r="Q4" i="7"/>
  <c r="J4" i="7"/>
  <c r="I8" i="7"/>
  <c r="K4" i="7"/>
  <c r="I7" i="7"/>
  <c r="J9" i="7"/>
  <c r="L9" i="7"/>
  <c r="C6" i="7"/>
  <c r="C7" i="7"/>
  <c r="C9" i="7"/>
  <c r="F4" i="7"/>
  <c r="D4" i="7"/>
  <c r="C8" i="7"/>
  <c r="K6" i="7"/>
  <c r="L6" i="7"/>
  <c r="J6" i="7"/>
  <c r="P9" i="7"/>
  <c r="Q9" i="7"/>
  <c r="J8" i="7"/>
  <c r="K8" i="7"/>
  <c r="L8" i="7"/>
  <c r="J7" i="7"/>
  <c r="L7" i="7"/>
  <c r="K7" i="7"/>
  <c r="E6" i="7"/>
  <c r="F6" i="7"/>
  <c r="D6" i="7"/>
  <c r="D7" i="7"/>
  <c r="E7" i="7"/>
  <c r="F7" i="7"/>
  <c r="D9" i="7"/>
  <c r="F9" i="7"/>
  <c r="E8" i="7"/>
  <c r="F8" i="7"/>
  <c r="A1" i="8" l="1"/>
  <c r="A1" i="7"/>
  <c r="M8" i="7"/>
  <c r="N8" i="7" s="1"/>
  <c r="G4" i="7"/>
  <c r="H4" i="7" s="1"/>
  <c r="R8" i="7"/>
  <c r="R3" i="7"/>
  <c r="G7" i="7"/>
  <c r="H7" i="7" s="1"/>
  <c r="E9" i="7"/>
  <c r="G9" i="7" s="1"/>
  <c r="M6" i="7"/>
  <c r="N6" i="7" s="1"/>
  <c r="R6" i="7"/>
  <c r="M7" i="7"/>
  <c r="D8" i="7"/>
  <c r="M4" i="7"/>
  <c r="N4" i="7" s="1"/>
  <c r="R4" i="7"/>
  <c r="G3" i="7"/>
  <c r="H3" i="7" s="1"/>
  <c r="C3" i="9"/>
  <c r="R9" i="7"/>
  <c r="Q7" i="7"/>
  <c r="R7" i="7" s="1"/>
  <c r="G6" i="7"/>
  <c r="H6" i="7" s="1"/>
  <c r="M9" i="7"/>
  <c r="N9" i="7" s="1"/>
  <c r="L3" i="7"/>
  <c r="C4" i="9"/>
  <c r="G8" i="7"/>
  <c r="H8" i="7" s="1"/>
  <c r="N7" i="7"/>
  <c r="M3" i="7"/>
  <c r="H9" i="7"/>
  <c r="N3" i="7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</calcChain>
</file>

<file path=xl/sharedStrings.xml><?xml version="1.0" encoding="utf-8"?>
<sst xmlns="http://schemas.openxmlformats.org/spreadsheetml/2006/main" count="516" uniqueCount="338">
  <si>
    <t>±</t>
    <phoneticPr fontId="10"/>
  </si>
  <si>
    <t>指</t>
    <rPh sb="0" eb="1">
      <t>ユビ</t>
    </rPh>
    <phoneticPr fontId="10"/>
  </si>
  <si>
    <t>仮</t>
    <rPh sb="0" eb="1">
      <t>カリ</t>
    </rPh>
    <phoneticPr fontId="10"/>
  </si>
  <si>
    <t>10進変換</t>
    <rPh sb="2" eb="3">
      <t>シン</t>
    </rPh>
    <rPh sb="3" eb="5">
      <t>ヘンカン</t>
    </rPh>
    <phoneticPr fontId="10"/>
  </si>
  <si>
    <t>2進値</t>
    <rPh sb="1" eb="2">
      <t>シン</t>
    </rPh>
    <rPh sb="2" eb="3">
      <t>アタイ</t>
    </rPh>
    <phoneticPr fontId="10"/>
  </si>
  <si>
    <t>A</t>
    <phoneticPr fontId="10"/>
  </si>
  <si>
    <t>B</t>
    <phoneticPr fontId="10"/>
  </si>
  <si>
    <t>A+B</t>
    <phoneticPr fontId="10"/>
  </si>
  <si>
    <t>A-B</t>
    <phoneticPr fontId="10"/>
  </si>
  <si>
    <t>A*B</t>
    <phoneticPr fontId="10"/>
  </si>
  <si>
    <t>A/B</t>
    <phoneticPr fontId="10"/>
  </si>
  <si>
    <t>double</t>
    <phoneticPr fontId="10"/>
  </si>
  <si>
    <t>float</t>
    <phoneticPr fontId="10"/>
  </si>
  <si>
    <t>Internal Hex</t>
    <phoneticPr fontId="10"/>
  </si>
  <si>
    <t>long</t>
    <phoneticPr fontId="10"/>
  </si>
  <si>
    <t>実</t>
    <rPh sb="0" eb="1">
      <t>ジツ</t>
    </rPh>
    <phoneticPr fontId="10"/>
  </si>
  <si>
    <t>SizeOfCDouble</t>
    <phoneticPr fontId="10"/>
  </si>
  <si>
    <t>SizeOfCFloat</t>
    <phoneticPr fontId="10"/>
  </si>
  <si>
    <t>SizeOfCLong</t>
    <phoneticPr fontId="10"/>
  </si>
  <si>
    <t>shiftNumeralPnt</t>
    <phoneticPr fontId="10"/>
  </si>
  <si>
    <t>bin</t>
    <phoneticPr fontId="10"/>
  </si>
  <si>
    <t>dec</t>
    <phoneticPr fontId="10"/>
  </si>
  <si>
    <t>hex</t>
    <phoneticPr fontId="10"/>
  </si>
  <si>
    <t>binでない</t>
    <phoneticPr fontId="10"/>
  </si>
  <si>
    <t>decでない</t>
    <phoneticPr fontId="10"/>
  </si>
  <si>
    <t>hexでない</t>
    <phoneticPr fontId="10"/>
  </si>
  <si>
    <t>input</t>
    <phoneticPr fontId="10"/>
  </si>
  <si>
    <t>output</t>
    <phoneticPr fontId="10"/>
  </si>
  <si>
    <t>A</t>
    <phoneticPr fontId="10"/>
  </si>
  <si>
    <t>基数が範囲外</t>
    <rPh sb="0" eb="2">
      <t>キスウ</t>
    </rPh>
    <rPh sb="3" eb="5">
      <t>ハンイ</t>
    </rPh>
    <rPh sb="5" eb="6">
      <t>ガイ</t>
    </rPh>
    <phoneticPr fontId="10"/>
  </si>
  <si>
    <t>F0F</t>
    <phoneticPr fontId="10"/>
  </si>
  <si>
    <t>G</t>
    <phoneticPr fontId="10"/>
  </si>
  <si>
    <t>小数点付き</t>
    <rPh sb="0" eb="3">
      <t>ショウスウテン</t>
    </rPh>
    <rPh sb="3" eb="4">
      <t>ツ</t>
    </rPh>
    <phoneticPr fontId="10"/>
  </si>
  <si>
    <t>+shift</t>
    <phoneticPr fontId="10"/>
  </si>
  <si>
    <t>0shift</t>
    <phoneticPr fontId="10"/>
  </si>
  <si>
    <t>-shift</t>
    <phoneticPr fontId="10"/>
  </si>
  <si>
    <t>F0.F</t>
    <phoneticPr fontId="10"/>
  </si>
  <si>
    <t>isNumeralPnt</t>
    <phoneticPr fontId="10"/>
  </si>
  <si>
    <t>1進数</t>
    <rPh sb="1" eb="3">
      <t>シンスウ</t>
    </rPh>
    <phoneticPr fontId="10"/>
  </si>
  <si>
    <t>17進数</t>
    <rPh sb="2" eb="4">
      <t>シンスウ</t>
    </rPh>
    <phoneticPr fontId="10"/>
  </si>
  <si>
    <t>基数未指定</t>
    <rPh sb="0" eb="2">
      <t>キスウ</t>
    </rPh>
    <rPh sb="2" eb="5">
      <t>ミシテイ</t>
    </rPh>
    <phoneticPr fontId="10"/>
  </si>
  <si>
    <t>A</t>
    <phoneticPr fontId="10"/>
  </si>
  <si>
    <t>NG</t>
    <phoneticPr fontId="10"/>
  </si>
  <si>
    <t>OK</t>
    <phoneticPr fontId="10"/>
  </si>
  <si>
    <t>G</t>
    <phoneticPr fontId="10"/>
  </si>
  <si>
    <t>F</t>
    <phoneticPr fontId="10"/>
  </si>
  <si>
    <t>小数点付きNG</t>
    <rPh sb="0" eb="3">
      <t>ショウスウテン</t>
    </rPh>
    <rPh sb="3" eb="4">
      <t>ツ</t>
    </rPh>
    <phoneticPr fontId="10"/>
  </si>
  <si>
    <t>小数点付きOK</t>
    <rPh sb="0" eb="3">
      <t>ショウスウテン</t>
    </rPh>
    <rPh sb="3" eb="4">
      <t>ツ</t>
    </rPh>
    <phoneticPr fontId="10"/>
  </si>
  <si>
    <t>90.A</t>
    <phoneticPr fontId="10"/>
  </si>
  <si>
    <t>F0.G</t>
    <phoneticPr fontId="10"/>
  </si>
  <si>
    <t>addNPntNPnt</t>
    <phoneticPr fontId="10"/>
  </si>
  <si>
    <t>convDecPntToBinPnt</t>
    <phoneticPr fontId="10"/>
  </si>
  <si>
    <t>convBinPntToDecPnt</t>
    <phoneticPr fontId="10"/>
  </si>
  <si>
    <t>整数部の処理に除算が必要。小数部の処理に乗算が必要</t>
    <rPh sb="0" eb="2">
      <t>セイスウ</t>
    </rPh>
    <rPh sb="2" eb="3">
      <t>ブ</t>
    </rPh>
    <rPh sb="4" eb="6">
      <t>ショリ</t>
    </rPh>
    <rPh sb="7" eb="9">
      <t>ジョザン</t>
    </rPh>
    <rPh sb="10" eb="12">
      <t>ヒツヨウ</t>
    </rPh>
    <rPh sb="13" eb="16">
      <t>ショウスウブ</t>
    </rPh>
    <rPh sb="17" eb="19">
      <t>ショリ</t>
    </rPh>
    <rPh sb="20" eb="22">
      <t>ジョウザン</t>
    </rPh>
    <rPh sb="23" eb="25">
      <t>ヒツヨウ</t>
    </rPh>
    <phoneticPr fontId="10"/>
  </si>
  <si>
    <t>整数部の処理に乗算が必要。小数部の処理に徐算が必要</t>
    <rPh sb="0" eb="2">
      <t>セイスウ</t>
    </rPh>
    <rPh sb="2" eb="3">
      <t>ブ</t>
    </rPh>
    <rPh sb="4" eb="6">
      <t>ショリ</t>
    </rPh>
    <rPh sb="7" eb="9">
      <t>ジョウザン</t>
    </rPh>
    <rPh sb="10" eb="12">
      <t>ヒツヨウ</t>
    </rPh>
    <rPh sb="13" eb="16">
      <t>ショウスウブ</t>
    </rPh>
    <rPh sb="17" eb="19">
      <t>ショリ</t>
    </rPh>
    <rPh sb="20" eb="21">
      <t>ジョ</t>
    </rPh>
    <rPh sb="21" eb="22">
      <t>サン</t>
    </rPh>
    <rPh sb="23" eb="25">
      <t>ヒツヨウ</t>
    </rPh>
    <phoneticPr fontId="10"/>
  </si>
  <si>
    <t>あとまわし</t>
    <phoneticPr fontId="10"/>
  </si>
  <si>
    <t>A</t>
    <phoneticPr fontId="10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</si>
  <si>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0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</si>
  <si>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10"/>
  </si>
  <si>
    <t>(+) + (+)</t>
    <phoneticPr fontId="10"/>
  </si>
  <si>
    <t>(-) + (+)</t>
    <phoneticPr fontId="10"/>
  </si>
  <si>
    <t>(-) + (-)</t>
    <phoneticPr fontId="10"/>
  </si>
  <si>
    <t>小数点付き</t>
    <rPh sb="0" eb="3">
      <t>ショウスウテン</t>
    </rPh>
    <rPh sb="3" eb="4">
      <t>ツ</t>
    </rPh>
    <phoneticPr fontId="10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</si>
  <si>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10"/>
  </si>
  <si>
    <t>dec</t>
    <phoneticPr fontId="10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</si>
  <si>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10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</si>
  <si>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10"/>
  </si>
  <si>
    <t>decでない</t>
    <phoneticPr fontId="10"/>
  </si>
  <si>
    <t>hex</t>
    <phoneticPr fontId="10"/>
  </si>
  <si>
    <t>hexでない</t>
    <phoneticPr fontId="10"/>
  </si>
  <si>
    <t>F</t>
    <phoneticPr fontId="10"/>
  </si>
  <si>
    <t>F</t>
    <phoneticPr fontId="10"/>
  </si>
  <si>
    <t>-F</t>
    <phoneticPr fontId="10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</si>
  <si>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0"/>
  </si>
  <si>
    <t>F</t>
    <phoneticPr fontId="10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</si>
  <si>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10"/>
  </si>
  <si>
    <t>0.F</t>
    <phoneticPr fontId="10"/>
  </si>
  <si>
    <t>10.G</t>
    <phoneticPr fontId="10"/>
  </si>
  <si>
    <t>0.G</t>
    <phoneticPr fontId="10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</si>
  <si>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</si>
  <si>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</si>
  <si>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</si>
  <si>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</si>
  <si>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</si>
  <si>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</si>
  <si>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</si>
  <si>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</si>
  <si>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</si>
  <si>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</si>
  <si>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</si>
  <si>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</si>
  <si>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</si>
  <si>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</si>
  <si>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</si>
  <si>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</si>
  <si>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</si>
  <si>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</si>
  <si>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</si>
  <si>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</si>
  <si>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</si>
  <si>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</si>
  <si>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</si>
  <si>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10"/>
  </si>
  <si>
    <t>A</t>
    <phoneticPr fontId="10"/>
  </si>
  <si>
    <t>(+) * (+)</t>
  </si>
  <si>
    <t>(+) * (-)</t>
  </si>
  <si>
    <t>(-) * (+)</t>
  </si>
  <si>
    <t>(-) * (-)</t>
  </si>
  <si>
    <t>-1</t>
    <phoneticPr fontId="10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</si>
  <si>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0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</si>
  <si>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0"/>
  </si>
  <si>
    <t>decでない</t>
    <phoneticPr fontId="10"/>
  </si>
  <si>
    <t>hexでない</t>
    <phoneticPr fontId="10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</si>
  <si>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10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</si>
  <si>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</si>
  <si>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</si>
  <si>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</si>
  <si>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</si>
  <si>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</si>
  <si>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</si>
  <si>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</si>
  <si>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</si>
  <si>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</si>
  <si>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</si>
  <si>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</si>
  <si>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</si>
  <si>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</si>
  <si>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</si>
  <si>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</si>
  <si>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</si>
  <si>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</si>
  <si>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</si>
  <si>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</si>
  <si>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</si>
  <si>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</si>
  <si>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</si>
  <si>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</si>
  <si>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</si>
  <si>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</si>
  <si>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</si>
  <si>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</si>
  <si>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</si>
  <si>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</si>
  <si>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</si>
  <si>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</si>
  <si>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</si>
  <si>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</si>
  <si>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</si>
  <si>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</si>
  <si>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</si>
  <si>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</si>
  <si>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</si>
  <si>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</si>
  <si>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</si>
  <si>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</si>
  <si>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</si>
  <si>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</si>
  <si>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</si>
  <si>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</si>
  <si>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</si>
  <si>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</si>
  <si>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</si>
  <si>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</si>
  <si>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</si>
  <si>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</si>
  <si>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</si>
  <si>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</si>
  <si>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</si>
  <si>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</si>
  <si>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</si>
  <si>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</si>
  <si>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</si>
  <si>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</si>
  <si>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</si>
  <si>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0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</si>
  <si>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</si>
  <si>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</si>
  <si>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</si>
  <si>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</si>
  <si>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</si>
  <si>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</si>
  <si>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</si>
  <si>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</si>
  <si>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</si>
  <si>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0"/>
  </si>
  <si>
    <t>A</t>
    <phoneticPr fontId="10"/>
  </si>
  <si>
    <t>20</t>
  </si>
  <si>
    <t>101.1</t>
  </si>
  <si>
    <t>891</t>
  </si>
  <si>
    <t>-891</t>
  </si>
  <si>
    <t>899.1</t>
  </si>
  <si>
    <t>FF</t>
    <phoneticPr fontId="10"/>
  </si>
  <si>
    <t>F</t>
    <phoneticPr fontId="10"/>
  </si>
  <si>
    <t>F</t>
    <phoneticPr fontId="10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</si>
  <si>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0"/>
  </si>
  <si>
    <t>-F</t>
    <phoneticPr fontId="10"/>
  </si>
  <si>
    <t>-FF</t>
    <phoneticPr fontId="10"/>
  </si>
  <si>
    <t>F</t>
    <phoneticPr fontId="10"/>
  </si>
  <si>
    <t>-F</t>
    <phoneticPr fontId="10"/>
  </si>
  <si>
    <t>10.F</t>
    <phoneticPr fontId="10"/>
  </si>
  <si>
    <t>G</t>
    <phoneticPr fontId="10"/>
  </si>
  <si>
    <t>A</t>
    <phoneticPr fontId="10"/>
  </si>
  <si>
    <t>A</t>
    <phoneticPr fontId="10"/>
  </si>
  <si>
    <t>G</t>
    <phoneticPr fontId="10"/>
  </si>
  <si>
    <t>EF1</t>
  </si>
  <si>
    <t>-EF1</t>
  </si>
  <si>
    <t>FE.1</t>
  </si>
  <si>
    <t>divideNPntByOneDig</t>
    <phoneticPr fontId="10"/>
  </si>
  <si>
    <t>A</t>
    <phoneticPr fontId="10"/>
  </si>
  <si>
    <t>除算回数指定</t>
    <rPh sb="0" eb="2">
      <t>ジョザン</t>
    </rPh>
    <rPh sb="2" eb="4">
      <t>カイスウ</t>
    </rPh>
    <rPh sb="4" eb="6">
      <t>シテイ</t>
    </rPh>
    <phoneticPr fontId="10"/>
  </si>
  <si>
    <t>0回</t>
    <rPh sb="1" eb="2">
      <t>カイ</t>
    </rPh>
    <phoneticPr fontId="10"/>
  </si>
  <si>
    <t>1回</t>
    <rPh sb="1" eb="2">
      <t>カイ</t>
    </rPh>
    <phoneticPr fontId="10"/>
  </si>
  <si>
    <t>未指定</t>
    <rPh sb="0" eb="3">
      <t>ミシテイ</t>
    </rPh>
    <phoneticPr fontId="10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</si>
  <si>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10"/>
  </si>
  <si>
    <t>(+) / (+)</t>
  </si>
  <si>
    <t>(+) / (-)</t>
  </si>
  <si>
    <t>(-) / (+)</t>
  </si>
  <si>
    <t>(-) / (-)</t>
  </si>
  <si>
    <t>decでない</t>
    <phoneticPr fontId="10"/>
  </si>
  <si>
    <t>hexでない</t>
    <phoneticPr fontId="10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</si>
  <si>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10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</si>
  <si>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10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</si>
  <si>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10"/>
  </si>
  <si>
    <t>A</t>
    <phoneticPr fontId="10"/>
  </si>
  <si>
    <t>FF</t>
    <phoneticPr fontId="10"/>
  </si>
  <si>
    <t>F</t>
    <phoneticPr fontId="10"/>
  </si>
  <si>
    <r>
      <t>F</t>
    </r>
    <r>
      <rPr>
        <sz val="9"/>
        <color theme="1"/>
        <rFont val="ＭＳ ゴシック"/>
        <family val="2"/>
        <charset val="128"/>
      </rPr>
      <t>F</t>
    </r>
    <phoneticPr fontId="10"/>
  </si>
  <si>
    <r>
      <t>-</t>
    </r>
    <r>
      <rPr>
        <sz val="9"/>
        <color theme="1"/>
        <rFont val="ＭＳ ゴシック"/>
        <family val="2"/>
        <charset val="128"/>
      </rPr>
      <t>F</t>
    </r>
    <phoneticPr fontId="10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</si>
  <si>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10"/>
  </si>
  <si>
    <t>F</t>
    <phoneticPr fontId="10"/>
  </si>
  <si>
    <t>FF.F</t>
    <phoneticPr fontId="10"/>
  </si>
  <si>
    <t>F</t>
    <phoneticPr fontId="10"/>
  </si>
  <si>
    <t>FF.G</t>
    <phoneticPr fontId="10"/>
  </si>
  <si>
    <t>G</t>
    <phoneticPr fontId="10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</si>
  <si>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</si>
  <si>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</si>
  <si>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</si>
  <si>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</si>
  <si>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</si>
  <si>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</si>
  <si>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</si>
  <si>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</si>
  <si>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10"/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</si>
  <si>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</si>
  <si>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</si>
  <si>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</si>
  <si>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</si>
  <si>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</si>
  <si>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</si>
  <si>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</si>
  <si>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</si>
  <si>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</si>
  <si>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</si>
  <si>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</si>
  <si>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</si>
  <si>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</si>
  <si>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</si>
  <si>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</si>
  <si>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</si>
  <si>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</si>
  <si>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</si>
  <si>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</si>
  <si>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</si>
  <si>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</si>
  <si>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</si>
  <si>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</si>
  <si>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</si>
  <si>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</si>
  <si>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</si>
  <si>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</si>
  <si>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</si>
  <si>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</si>
  <si>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</si>
  <si>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</si>
  <si>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</si>
  <si>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</si>
  <si>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</si>
  <si>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</si>
  <si>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=addNPntNPnt(E44,F44,G44)</t>
  </si>
  <si>
    <t>=addNPntNPnt(E45,F45,G45)</t>
  </si>
  <si>
    <t>=addNPntNPnt(E46,F46)</t>
  </si>
  <si>
    <t>=addNPntNPnt(E47,F47)</t>
  </si>
  <si>
    <t>=addNPntNPnt(E48,F48,G48)</t>
  </si>
  <si>
    <t>=addNPntNPnt(E49,F49,G49)</t>
  </si>
  <si>
    <t>=addNPntNPnt(E50,F50,G50)</t>
  </si>
  <si>
    <t>=addNPntNPnt(E51,F51,G51)</t>
  </si>
  <si>
    <t>=addNPntNPnt(E52,F52,G52)</t>
  </si>
  <si>
    <t>=addNPntNPnt(E53,F53,G53)</t>
  </si>
  <si>
    <t>=addNPntNPnt(E54,F54,G54)</t>
  </si>
  <si>
    <t>=addNPntNPnt(E55,F55,G55)</t>
  </si>
  <si>
    <t>=addNPntNPnt(E56,F56,G56)</t>
  </si>
  <si>
    <t>=addNPntNPnt(E57,F57,G57)</t>
  </si>
  <si>
    <t>=addNPntNPnt(E58,F58,G58)</t>
  </si>
  <si>
    <t>=addNPntNPnt(E59,F59,G59)</t>
  </si>
  <si>
    <t>=addNPntNPnt(E60,F60,G60)</t>
  </si>
  <si>
    <t>=addNPntNPnt(E61,F61,G61)</t>
  </si>
  <si>
    <t>=addNPntNPnt(E62,F62,G62)</t>
  </si>
  <si>
    <t>=addNPntNPnt(E63,F63,G63)</t>
  </si>
  <si>
    <t>=addNPntNPnt(E64,F64,G64)</t>
  </si>
  <si>
    <t>=addNPntNPnt(E65,F65,G65)</t>
  </si>
  <si>
    <t>=addNPntNPnt(E66,F66,G66)</t>
  </si>
  <si>
    <t>=addNPntNPnt(E67,F67,G67)</t>
  </si>
  <si>
    <t>=addNPntNPnt(E68,F68,G68)</t>
  </si>
  <si>
    <t>=divideNPntByOneDig(E100,F100)</t>
  </si>
  <si>
    <t>=divideNPntByOneDig(E104,F104,G104)</t>
  </si>
  <si>
    <t>=divideNPntByOneDig(E105,F105,G105)</t>
  </si>
  <si>
    <t>=divideNPntByOneDig(E106,F106,G106)</t>
  </si>
  <si>
    <t>=divideNPntByOneDig(E107,F107,G107)</t>
  </si>
  <si>
    <t>=divideNPntByOneDig(E108,F108,G108)</t>
  </si>
  <si>
    <t>=divideNPntByOneDig(E109,F109,G109)</t>
  </si>
  <si>
    <t>=divideNPntByOneDig(E110,F110,G110)</t>
  </si>
  <si>
    <t>=divideNPntByOneDig(E111,F111,G111)</t>
  </si>
  <si>
    <t>=divideNPntByOneDig(E112,F112,G112)</t>
  </si>
  <si>
    <t>=divideNPntByOneDig(E113,F113,G113)</t>
  </si>
  <si>
    <t>=divideNPntByOneDig(E114,F114,G114)</t>
  </si>
  <si>
    <t>=divideNPntByOneDig(E115,F115,G115)</t>
  </si>
  <si>
    <t>=divideNPntByOneDig(E116,F116,G116)</t>
  </si>
  <si>
    <t>=divideNPntByOneDig(E117,F117,G117)</t>
  </si>
  <si>
    <t>=divideNPntByOneDig(E118,F118,G118)</t>
  </si>
  <si>
    <t>=divideNPntByOneDig(E119,F119,G119)</t>
  </si>
  <si>
    <t>=divideNPntByOneDig(E120,F120,G120)</t>
  </si>
  <si>
    <t>=divideNPntByOneDig(E121,F121,G121)</t>
  </si>
  <si>
    <t>0.00390625</t>
  </si>
  <si>
    <t>0掛け</t>
    <rPh sb="1" eb="2">
      <t>カ</t>
    </rPh>
    <phoneticPr fontId="10"/>
  </si>
  <si>
    <t>0</t>
    <phoneticPr fontId="10"/>
  </si>
  <si>
    <t>-0</t>
    <phoneticPr fontId="10"/>
  </si>
  <si>
    <r>
      <t>-FF</t>
    </r>
    <r>
      <rPr>
        <sz val="9"/>
        <color theme="1"/>
        <rFont val="ＭＳ ゴシック"/>
        <family val="2"/>
        <charset val="128"/>
      </rPr>
      <t>.F</t>
    </r>
    <phoneticPr fontId="10"/>
  </si>
  <si>
    <r>
      <t>-</t>
    </r>
    <r>
      <rPr>
        <sz val="9"/>
        <color theme="1"/>
        <rFont val="ＭＳ ゴシック"/>
        <family val="2"/>
        <charset val="128"/>
      </rPr>
      <t>0</t>
    </r>
    <phoneticPr fontId="10"/>
  </si>
  <si>
    <t>=divideNPntByOneDig(E97,F97,G97)</t>
  </si>
  <si>
    <t>=divideNPntByOneDig(E98,F98,G98)</t>
  </si>
  <si>
    <t>=divideNPntByOneDig(E99,F99)</t>
  </si>
  <si>
    <t>=divideNPntByOneDig(E101,F101,G101,H101)</t>
  </si>
  <si>
    <t>=divideNPntByOneDig(E102,F102,G102,H102)</t>
  </si>
  <si>
    <t>=divideNPntByOneDig(E103,F103)</t>
  </si>
  <si>
    <t>=divideNPntByOneDig(E122,F122,G122)</t>
  </si>
  <si>
    <t>=divideNPntByOneDig(E123,F123,G123)</t>
  </si>
  <si>
    <t>=divideNPntByOneDig(E124,F124,G124)</t>
  </si>
  <si>
    <t>multipleNPntNPnt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</si>
</sst>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9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0" fontId="11" fillId="0" borderId="0" xfId="0" applyFont="1" applyBorder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11" fillId="0" borderId="0" xfId="0" applyFont="1" applyBorder="1">
      <alignment vertical="center"/>
    </xf>
    <xf numFmtId="0" fontId="11" fillId="0" borderId="4" xfId="0" applyFont="1" applyBorder="1" applyAlignment="1">
      <alignment horizontal="right" vertical="center"/>
    </xf>
    <xf numFmtId="0" fontId="11" fillId="0" borderId="5" xfId="0" applyFont="1" applyBorder="1">
      <alignment vertical="center"/>
    </xf>
    <xf numFmtId="0" fontId="12" fillId="0" borderId="6" xfId="0" applyFont="1" applyBorder="1" applyAlignment="1">
      <alignment horizontal="center" vertical="center"/>
    </xf>
    <xf numFmtId="0" fontId="11" fillId="0" borderId="8" xfId="0" applyFont="1" applyBorder="1">
      <alignment vertical="center"/>
    </xf>
    <xf numFmtId="0" fontId="11" fillId="0" borderId="6" xfId="0" applyFont="1" applyBorder="1">
      <alignment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1" fillId="0" borderId="7" xfId="0" applyFont="1" applyBorder="1">
      <alignment vertical="center"/>
    </xf>
    <xf numFmtId="0" fontId="11" fillId="0" borderId="6" xfId="0" applyFont="1" applyBorder="1" applyAlignment="1">
      <alignment horizontal="right" vertical="center"/>
    </xf>
    <xf numFmtId="49" fontId="9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49" fontId="8" fillId="0" borderId="0" xfId="0" applyNumberFormat="1" applyFont="1">
      <alignment vertical="center"/>
    </xf>
    <xf numFmtId="49" fontId="8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right" vertical="center"/>
    </xf>
    <xf numFmtId="0" fontId="9" fillId="0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5" t="s">
        <v>11</v>
      </c>
      <c r="D1" s="46"/>
      <c r="E1" s="46"/>
      <c r="F1" s="46"/>
      <c r="G1" s="46"/>
      <c r="H1" s="47"/>
      <c r="I1" s="45" t="s">
        <v>12</v>
      </c>
      <c r="J1" s="46"/>
      <c r="K1" s="46"/>
      <c r="L1" s="46"/>
      <c r="M1" s="46"/>
      <c r="N1" s="47"/>
      <c r="O1" s="45" t="s">
        <v>14</v>
      </c>
      <c r="P1" s="46"/>
      <c r="Q1" s="46"/>
      <c r="R1" s="47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174</v>
      </c>
    </row>
    <row r="15" spans="1:18" x14ac:dyDescent="0.15">
      <c r="A15" s="3" t="s">
        <v>175</v>
      </c>
      <c r="C15" s="4" t="s">
        <v>114</v>
      </c>
      <c r="D15" s="2" t="s">
        <v>93</v>
      </c>
      <c r="E15" s="2" t="s">
        <v>115</v>
      </c>
      <c r="F15" s="2" t="s">
        <v>116</v>
      </c>
      <c r="G15" s="2" t="s">
        <v>117</v>
      </c>
      <c r="H15" s="2" t="s">
        <v>118</v>
      </c>
      <c r="I15" s="4" t="s">
        <v>119</v>
      </c>
      <c r="J15" s="4" t="s">
        <v>93</v>
      </c>
      <c r="K15" s="4" t="s">
        <v>120</v>
      </c>
      <c r="L15" s="4" t="s">
        <v>121</v>
      </c>
      <c r="M15" s="4" t="s">
        <v>117</v>
      </c>
      <c r="N15" s="2" t="s">
        <v>118</v>
      </c>
      <c r="O15" s="2" t="s">
        <v>122</v>
      </c>
      <c r="P15" s="2" t="s">
        <v>93</v>
      </c>
      <c r="Q15" s="2" t="s">
        <v>123</v>
      </c>
      <c r="R15" s="2" t="s">
        <v>118</v>
      </c>
    </row>
    <row r="16" spans="1:18" x14ac:dyDescent="0.15">
      <c r="A16" s="3" t="s">
        <v>176</v>
      </c>
      <c r="C16" s="4" t="s">
        <v>124</v>
      </c>
      <c r="D16" s="2" t="s">
        <v>93</v>
      </c>
      <c r="E16" s="2" t="s">
        <v>125</v>
      </c>
      <c r="F16" s="2" t="s">
        <v>126</v>
      </c>
      <c r="G16" s="2" t="s">
        <v>127</v>
      </c>
      <c r="H16" s="2" t="s">
        <v>95</v>
      </c>
      <c r="I16" s="4" t="s">
        <v>128</v>
      </c>
      <c r="J16" s="4" t="s">
        <v>93</v>
      </c>
      <c r="K16" s="4" t="s">
        <v>129</v>
      </c>
      <c r="L16" s="4" t="s">
        <v>130</v>
      </c>
      <c r="M16" s="4" t="s">
        <v>127</v>
      </c>
      <c r="N16" s="4" t="s">
        <v>95</v>
      </c>
      <c r="O16" s="2" t="s">
        <v>131</v>
      </c>
      <c r="P16" s="2" t="s">
        <v>93</v>
      </c>
      <c r="Q16" s="2" t="s">
        <v>132</v>
      </c>
      <c r="R16" s="2" t="s">
        <v>95</v>
      </c>
    </row>
    <row r="18" spans="1:18" x14ac:dyDescent="0.15">
      <c r="A18" s="3" t="s">
        <v>177</v>
      </c>
      <c r="C18" s="4" t="s">
        <v>133</v>
      </c>
      <c r="D18" s="2" t="s">
        <v>93</v>
      </c>
      <c r="E18" s="2" t="s">
        <v>134</v>
      </c>
      <c r="F18" s="2" t="s">
        <v>135</v>
      </c>
      <c r="G18" s="2" t="s">
        <v>136</v>
      </c>
      <c r="H18" s="2" t="s">
        <v>137</v>
      </c>
      <c r="I18" s="4" t="s">
        <v>138</v>
      </c>
      <c r="J18" s="4" t="s">
        <v>93</v>
      </c>
      <c r="K18" s="4" t="s">
        <v>139</v>
      </c>
      <c r="L18" s="4" t="s">
        <v>140</v>
      </c>
      <c r="M18" s="4" t="s">
        <v>136</v>
      </c>
      <c r="N18" s="4" t="s">
        <v>137</v>
      </c>
      <c r="O18" s="2" t="s">
        <v>141</v>
      </c>
      <c r="P18" s="2" t="s">
        <v>93</v>
      </c>
      <c r="Q18" s="2" t="s">
        <v>142</v>
      </c>
      <c r="R18" s="2" t="s">
        <v>137</v>
      </c>
    </row>
    <row r="19" spans="1:18" x14ac:dyDescent="0.15">
      <c r="A19" s="3" t="s">
        <v>178</v>
      </c>
      <c r="C19" s="4" t="s">
        <v>143</v>
      </c>
      <c r="D19" s="2" t="s">
        <v>144</v>
      </c>
      <c r="E19" s="2" t="s">
        <v>115</v>
      </c>
      <c r="F19" s="2" t="s">
        <v>145</v>
      </c>
      <c r="G19" s="2" t="s">
        <v>146</v>
      </c>
      <c r="H19" s="2" t="s">
        <v>147</v>
      </c>
      <c r="I19" s="4" t="s">
        <v>148</v>
      </c>
      <c r="J19" s="4" t="s">
        <v>144</v>
      </c>
      <c r="K19" s="4" t="s">
        <v>120</v>
      </c>
      <c r="L19" s="4" t="s">
        <v>149</v>
      </c>
      <c r="M19" s="4" t="s">
        <v>146</v>
      </c>
      <c r="N19" s="4" t="s">
        <v>147</v>
      </c>
      <c r="O19" s="2" t="s">
        <v>150</v>
      </c>
      <c r="P19" s="2" t="s">
        <v>144</v>
      </c>
      <c r="Q19" s="2" t="s">
        <v>151</v>
      </c>
      <c r="R19" s="2" t="e">
        <v>#NAME?</v>
      </c>
    </row>
    <row r="20" spans="1:18" x14ac:dyDescent="0.15">
      <c r="A20" s="3" t="s">
        <v>179</v>
      </c>
      <c r="C20" s="4" t="s">
        <v>152</v>
      </c>
      <c r="D20" s="2" t="s">
        <v>93</v>
      </c>
      <c r="E20" s="2" t="s">
        <v>153</v>
      </c>
      <c r="F20" s="2" t="s">
        <v>154</v>
      </c>
      <c r="G20" s="2" t="s">
        <v>155</v>
      </c>
      <c r="H20" s="2" t="s">
        <v>156</v>
      </c>
      <c r="I20" s="4" t="s">
        <v>157</v>
      </c>
      <c r="J20" s="4" t="s">
        <v>93</v>
      </c>
      <c r="K20" s="4" t="s">
        <v>158</v>
      </c>
      <c r="L20" s="4" t="s">
        <v>159</v>
      </c>
      <c r="M20" s="4" t="s">
        <v>155</v>
      </c>
      <c r="N20" s="4" t="s">
        <v>156</v>
      </c>
      <c r="O20" s="2" t="s">
        <v>160</v>
      </c>
      <c r="P20" s="2" t="s">
        <v>93</v>
      </c>
      <c r="Q20" s="2" t="s">
        <v>161</v>
      </c>
      <c r="R20" s="2" t="s">
        <v>156</v>
      </c>
    </row>
    <row r="21" spans="1:18" x14ac:dyDescent="0.15">
      <c r="A21" s="3" t="s">
        <v>180</v>
      </c>
      <c r="C21" s="4" t="s">
        <v>162</v>
      </c>
      <c r="D21" s="2" t="s">
        <v>93</v>
      </c>
      <c r="E21" s="2" t="s">
        <v>163</v>
      </c>
      <c r="F21" s="2" t="s">
        <v>164</v>
      </c>
      <c r="G21" s="2" t="s">
        <v>165</v>
      </c>
      <c r="H21" s="2" t="s">
        <v>166</v>
      </c>
      <c r="I21" s="4" t="s">
        <v>167</v>
      </c>
      <c r="J21" s="4" t="s">
        <v>93</v>
      </c>
      <c r="K21" s="4" t="s">
        <v>168</v>
      </c>
      <c r="L21" s="4" t="s">
        <v>169</v>
      </c>
      <c r="M21" s="4" t="s">
        <v>170</v>
      </c>
      <c r="N21" s="4" t="s">
        <v>171</v>
      </c>
      <c r="O21" s="2" t="s">
        <v>172</v>
      </c>
      <c r="P21" s="2" t="s">
        <v>93</v>
      </c>
      <c r="Q21" s="2" t="s">
        <v>173</v>
      </c>
      <c r="R21" s="2" t="s">
        <v>93</v>
      </c>
    </row>
    <row r="22" spans="1:18" x14ac:dyDescent="0.15">
      <c r="A22" s="3" t="s">
        <v>181</v>
      </c>
      <c r="C22" s="4">
        <v>8</v>
      </c>
    </row>
    <row r="23" spans="1:18" x14ac:dyDescent="0.15">
      <c r="A23" s="3" t="s">
        <v>182</v>
      </c>
      <c r="C23" s="4">
        <v>4</v>
      </c>
    </row>
    <row r="24" spans="1:18" x14ac:dyDescent="0.15">
      <c r="A24" s="3" t="s">
        <v>183</v>
      </c>
      <c r="C24" s="4">
        <v>4</v>
      </c>
    </row>
    <row r="26" spans="1:18" x14ac:dyDescent="0.15">
      <c r="A26" s="3" t="s">
        <v>184</v>
      </c>
    </row>
    <row r="27" spans="1:18" x14ac:dyDescent="0.15">
      <c r="A27" s="3" t="s">
        <v>175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176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177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178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179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180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181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182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183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10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24"/>
  <sheetViews>
    <sheetView zoomScaleNormal="100" workbookViewId="0">
      <pane ySplit="1" topLeftCell="A74" activePane="bottomLeft" state="frozen"/>
      <selection pane="bottomLeft" activeCell="A2" sqref="A2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102</v>
      </c>
      <c r="K1" s="42" t="s">
        <v>242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24" t="s">
        <v>243</v>
      </c>
      <c r="L2" s="1" t="e">
        <f>shiftNumeralPnt(E2,F2,G2)</f>
        <v>#NUM!</v>
      </c>
      <c r="M2" s="1" t="b">
        <f t="shared" ref="M2:M36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24" t="s">
        <v>244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24" t="s">
        <v>245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79</v>
      </c>
      <c r="K5" s="24" t="s">
        <v>246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80</v>
      </c>
      <c r="K6" s="24" t="s">
        <v>247</v>
      </c>
      <c r="L6" s="1" t="str">
        <f t="shared" ref="L6:L20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81</v>
      </c>
      <c r="K7" s="24" t="s">
        <v>248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82</v>
      </c>
      <c r="K8" s="24" t="s">
        <v>249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83</v>
      </c>
      <c r="K9" s="24" t="s">
        <v>250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24" t="s">
        <v>251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84</v>
      </c>
      <c r="K11" s="24" t="s">
        <v>252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85</v>
      </c>
      <c r="K12" s="24" t="s">
        <v>253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86</v>
      </c>
      <c r="K13" s="24" t="s">
        <v>254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87</v>
      </c>
      <c r="K14" s="24" t="s">
        <v>255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24" t="s">
        <v>256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88</v>
      </c>
      <c r="K16" s="24" t="s">
        <v>257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89</v>
      </c>
      <c r="K17" s="24" t="s">
        <v>258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90</v>
      </c>
      <c r="K18" s="24" t="s">
        <v>259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91</v>
      </c>
      <c r="K19" s="24" t="s">
        <v>260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24" t="s">
        <v>261</v>
      </c>
      <c r="L20" s="1" t="e">
        <f t="shared" si="1"/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24" t="s">
        <v>262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24" t="s">
        <v>263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24" t="s">
        <v>264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24" t="s">
        <v>265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24" t="s">
        <v>266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24" t="s">
        <v>267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24" t="s">
        <v>268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24" t="s">
        <v>269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24" t="s">
        <v>270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24" t="s">
        <v>271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24" t="s">
        <v>272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24" t="s">
        <v>273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24" t="s">
        <v>274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24" t="s">
        <v>275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24" t="s">
        <v>276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24" t="s">
        <v>277</v>
      </c>
      <c r="L36" s="1" t="b">
        <f t="shared" si="2"/>
        <v>1</v>
      </c>
      <c r="M36" s="1" t="b">
        <f t="shared" si="0"/>
        <v>1</v>
      </c>
    </row>
    <row r="38" spans="1:13" x14ac:dyDescent="0.15">
      <c r="A38" s="1" t="s">
        <v>51</v>
      </c>
      <c r="B38" s="24" t="s">
        <v>55</v>
      </c>
      <c r="C38" s="24" t="s">
        <v>53</v>
      </c>
    </row>
    <row r="39" spans="1:13" x14ac:dyDescent="0.15">
      <c r="A39" s="1" t="s">
        <v>52</v>
      </c>
      <c r="B39" s="24" t="s">
        <v>55</v>
      </c>
      <c r="C39" s="24" t="s">
        <v>54</v>
      </c>
    </row>
    <row r="44" spans="1:13" x14ac:dyDescent="0.15">
      <c r="A44" s="1" t="s">
        <v>50</v>
      </c>
      <c r="B44" s="24" t="s">
        <v>29</v>
      </c>
      <c r="C44" s="24" t="s">
        <v>38</v>
      </c>
      <c r="E44" s="1">
        <v>9</v>
      </c>
      <c r="F44" s="1">
        <v>1</v>
      </c>
      <c r="G44" s="1">
        <v>1</v>
      </c>
      <c r="J44" s="1" t="e">
        <v>#VALUE!</v>
      </c>
      <c r="K44" s="24" t="s">
        <v>278</v>
      </c>
      <c r="L44" s="41" t="e">
        <f>addNPntNPnt(E44,F44,G44)</f>
        <v>#VALUE!</v>
      </c>
      <c r="M44" s="1" t="b">
        <f t="shared" ref="M44:M110" si="3">getText(J44)=getText(L44)</f>
        <v>1</v>
      </c>
    </row>
    <row r="45" spans="1:13" x14ac:dyDescent="0.15">
      <c r="C45" s="24" t="s">
        <v>39</v>
      </c>
      <c r="E45" s="1">
        <v>9</v>
      </c>
      <c r="F45" s="1">
        <v>1</v>
      </c>
      <c r="G45" s="1">
        <v>17</v>
      </c>
      <c r="J45" s="1" t="e">
        <v>#VALUE!</v>
      </c>
      <c r="K45" s="24" t="s">
        <v>279</v>
      </c>
      <c r="L45" s="41" t="e">
        <f>addNPntNPnt(E45,F45,G45)</f>
        <v>#VALUE!</v>
      </c>
      <c r="M45" s="1" t="b">
        <f t="shared" si="3"/>
        <v>1</v>
      </c>
    </row>
    <row r="46" spans="1:13" x14ac:dyDescent="0.15">
      <c r="B46" s="24" t="s">
        <v>40</v>
      </c>
      <c r="C46" s="24" t="s">
        <v>42</v>
      </c>
      <c r="E46" s="27" t="s">
        <v>56</v>
      </c>
      <c r="F46" s="1">
        <v>1</v>
      </c>
      <c r="J46" s="1" t="e">
        <v>#VALUE!</v>
      </c>
      <c r="K46" s="24" t="s">
        <v>280</v>
      </c>
      <c r="L46" s="41" t="e">
        <f>addNPntNPnt(E46,F46)</f>
        <v>#VALUE!</v>
      </c>
      <c r="M46" s="1" t="b">
        <f t="shared" si="3"/>
        <v>1</v>
      </c>
    </row>
    <row r="47" spans="1:13" x14ac:dyDescent="0.15">
      <c r="C47" s="24" t="s">
        <v>43</v>
      </c>
      <c r="E47" s="1">
        <v>9</v>
      </c>
      <c r="F47" s="1">
        <v>1</v>
      </c>
      <c r="J47" s="1" t="s">
        <v>92</v>
      </c>
      <c r="K47" s="24" t="s">
        <v>281</v>
      </c>
      <c r="L47" s="41" t="str">
        <f>addNPntNPnt(E47,F47)</f>
        <v>10</v>
      </c>
      <c r="M47" s="1" t="b">
        <f t="shared" si="3"/>
        <v>1</v>
      </c>
    </row>
    <row r="48" spans="1:13" x14ac:dyDescent="0.15">
      <c r="B48" s="28" t="s">
        <v>57</v>
      </c>
      <c r="C48" s="28" t="s">
        <v>59</v>
      </c>
      <c r="E48" s="1">
        <v>1</v>
      </c>
      <c r="F48" s="1">
        <v>1</v>
      </c>
      <c r="G48" s="1">
        <v>2</v>
      </c>
      <c r="J48" s="1" t="s">
        <v>92</v>
      </c>
      <c r="K48" s="24" t="s">
        <v>282</v>
      </c>
      <c r="L48" s="41" t="str">
        <f t="shared" ref="L48:L61" si="4">addNPntNPnt(E48,F48,G48)</f>
        <v>10</v>
      </c>
      <c r="M48" s="1" t="b">
        <f t="shared" si="3"/>
        <v>1</v>
      </c>
    </row>
    <row r="49" spans="2:14" x14ac:dyDescent="0.15">
      <c r="C49" s="28" t="s">
        <v>58</v>
      </c>
      <c r="E49" s="1">
        <v>1</v>
      </c>
      <c r="F49" s="26">
        <v>-1</v>
      </c>
      <c r="G49" s="1">
        <v>2</v>
      </c>
      <c r="J49" s="1" t="s">
        <v>93</v>
      </c>
      <c r="K49" s="24" t="s">
        <v>283</v>
      </c>
      <c r="L49" s="41" t="str">
        <f>addNPntNPnt(E49,F49,G49)</f>
        <v>0</v>
      </c>
      <c r="M49" s="1" t="b">
        <f t="shared" si="3"/>
        <v>1</v>
      </c>
    </row>
    <row r="50" spans="2:14" x14ac:dyDescent="0.15">
      <c r="C50" s="28" t="s">
        <v>60</v>
      </c>
      <c r="E50" s="1">
        <v>-1</v>
      </c>
      <c r="F50" s="1">
        <v>1</v>
      </c>
      <c r="G50" s="1">
        <v>2</v>
      </c>
      <c r="J50" s="1" t="s">
        <v>93</v>
      </c>
      <c r="K50" s="24" t="s">
        <v>284</v>
      </c>
      <c r="L50" s="41" t="str">
        <f>addNPntNPnt(E50,F50,G50)</f>
        <v>0</v>
      </c>
      <c r="M50" s="1" t="b">
        <f t="shared" si="3"/>
        <v>1</v>
      </c>
    </row>
    <row r="51" spans="2:14" x14ac:dyDescent="0.15">
      <c r="C51" s="28" t="s">
        <v>61</v>
      </c>
      <c r="E51" s="1">
        <v>-1</v>
      </c>
      <c r="F51" s="1">
        <v>-1</v>
      </c>
      <c r="G51" s="1">
        <v>2</v>
      </c>
      <c r="J51" s="1" t="s">
        <v>94</v>
      </c>
      <c r="K51" s="24" t="s">
        <v>285</v>
      </c>
      <c r="L51" s="41" t="str">
        <f t="shared" si="4"/>
        <v>-10</v>
      </c>
      <c r="M51" s="1" t="b">
        <f t="shared" si="3"/>
        <v>1</v>
      </c>
    </row>
    <row r="52" spans="2:14" x14ac:dyDescent="0.15">
      <c r="C52" s="28" t="s">
        <v>62</v>
      </c>
      <c r="E52" s="1">
        <v>11.1</v>
      </c>
      <c r="F52" s="1">
        <v>0.1</v>
      </c>
      <c r="G52" s="1">
        <v>2</v>
      </c>
      <c r="J52" s="1" t="s">
        <v>95</v>
      </c>
      <c r="K52" s="24" t="s">
        <v>286</v>
      </c>
      <c r="L52" s="41" t="str">
        <f t="shared" si="4"/>
        <v>100</v>
      </c>
      <c r="M52" s="1" t="b">
        <f t="shared" si="3"/>
        <v>1</v>
      </c>
    </row>
    <row r="53" spans="2:14" x14ac:dyDescent="0.15">
      <c r="C53" s="28" t="s">
        <v>63</v>
      </c>
      <c r="E53" s="1">
        <v>10.199999999999999</v>
      </c>
      <c r="F53" s="1">
        <v>0.1</v>
      </c>
      <c r="G53" s="1">
        <v>2</v>
      </c>
      <c r="J53" s="1" t="e">
        <v>#VALUE!</v>
      </c>
      <c r="K53" s="24" t="s">
        <v>287</v>
      </c>
      <c r="L53" s="41" t="e">
        <f t="shared" si="4"/>
        <v>#VALUE!</v>
      </c>
      <c r="M53" s="1" t="b">
        <f t="shared" si="3"/>
        <v>1</v>
      </c>
    </row>
    <row r="54" spans="2:14" x14ac:dyDescent="0.15">
      <c r="E54" s="1">
        <v>11.1</v>
      </c>
      <c r="F54" s="1">
        <v>0.2</v>
      </c>
      <c r="G54" s="1">
        <v>2</v>
      </c>
      <c r="J54" s="1" t="e">
        <v>#VALUE!</v>
      </c>
      <c r="K54" s="24" t="s">
        <v>288</v>
      </c>
      <c r="L54" s="41" t="e">
        <f t="shared" si="4"/>
        <v>#VALUE!</v>
      </c>
      <c r="M54" s="1" t="b">
        <f t="shared" si="3"/>
        <v>1</v>
      </c>
    </row>
    <row r="55" spans="2:14" x14ac:dyDescent="0.15">
      <c r="B55" s="28" t="s">
        <v>64</v>
      </c>
      <c r="C55" s="28" t="s">
        <v>59</v>
      </c>
      <c r="E55" s="1">
        <v>9</v>
      </c>
      <c r="F55" s="1">
        <v>9</v>
      </c>
      <c r="G55" s="1">
        <v>10</v>
      </c>
      <c r="J55" s="1" t="s">
        <v>96</v>
      </c>
      <c r="K55" s="24" t="s">
        <v>289</v>
      </c>
      <c r="L55" s="41" t="str">
        <f t="shared" si="4"/>
        <v>18</v>
      </c>
      <c r="M55" s="1" t="b">
        <f t="shared" si="3"/>
        <v>1</v>
      </c>
    </row>
    <row r="56" spans="2:14" x14ac:dyDescent="0.15">
      <c r="C56" s="28" t="s">
        <v>58</v>
      </c>
      <c r="E56" s="1">
        <v>9</v>
      </c>
      <c r="F56" s="26">
        <v>-9</v>
      </c>
      <c r="G56" s="1">
        <v>10</v>
      </c>
      <c r="J56" s="1" t="s">
        <v>93</v>
      </c>
      <c r="K56" s="24" t="s">
        <v>290</v>
      </c>
      <c r="L56" s="41" t="str">
        <f t="shared" si="4"/>
        <v>0</v>
      </c>
      <c r="M56" s="1" t="b">
        <f t="shared" si="3"/>
        <v>1</v>
      </c>
    </row>
    <row r="57" spans="2:14" x14ac:dyDescent="0.15">
      <c r="C57" s="28" t="s">
        <v>60</v>
      </c>
      <c r="E57" s="1">
        <v>-9</v>
      </c>
      <c r="F57" s="1">
        <v>9</v>
      </c>
      <c r="G57" s="1">
        <v>10</v>
      </c>
      <c r="J57" s="1" t="s">
        <v>93</v>
      </c>
      <c r="K57" s="24" t="s">
        <v>291</v>
      </c>
      <c r="L57" s="41" t="str">
        <f t="shared" si="4"/>
        <v>0</v>
      </c>
      <c r="M57" s="1" t="b">
        <f t="shared" si="3"/>
        <v>1</v>
      </c>
      <c r="N57" s="26"/>
    </row>
    <row r="58" spans="2:14" x14ac:dyDescent="0.15">
      <c r="C58" s="28" t="s">
        <v>61</v>
      </c>
      <c r="E58" s="1">
        <v>-9</v>
      </c>
      <c r="F58" s="1">
        <v>-9</v>
      </c>
      <c r="G58" s="1">
        <v>10</v>
      </c>
      <c r="J58" s="1" t="s">
        <v>97</v>
      </c>
      <c r="K58" s="24" t="s">
        <v>292</v>
      </c>
      <c r="L58" s="41" t="str">
        <f t="shared" si="4"/>
        <v>-18</v>
      </c>
      <c r="M58" s="1" t="b">
        <f t="shared" si="3"/>
        <v>1</v>
      </c>
    </row>
    <row r="59" spans="2:14" x14ac:dyDescent="0.15">
      <c r="C59" s="28" t="s">
        <v>62</v>
      </c>
      <c r="E59" s="1">
        <v>99.9</v>
      </c>
      <c r="F59" s="1">
        <v>0.9</v>
      </c>
      <c r="G59" s="1">
        <v>10</v>
      </c>
      <c r="J59" s="1" t="s">
        <v>98</v>
      </c>
      <c r="K59" s="24" t="s">
        <v>293</v>
      </c>
      <c r="L59" s="41" t="str">
        <f t="shared" si="4"/>
        <v>100.8</v>
      </c>
      <c r="M59" s="1" t="b">
        <f t="shared" si="3"/>
        <v>1</v>
      </c>
    </row>
    <row r="60" spans="2:14" x14ac:dyDescent="0.15">
      <c r="C60" s="28" t="s">
        <v>67</v>
      </c>
      <c r="E60" s="27" t="s">
        <v>65</v>
      </c>
      <c r="F60" s="1">
        <v>0.1</v>
      </c>
      <c r="G60" s="1">
        <v>10</v>
      </c>
      <c r="J60" s="1" t="e">
        <v>#VALUE!</v>
      </c>
      <c r="K60" s="24" t="s">
        <v>294</v>
      </c>
      <c r="L60" s="41" t="e">
        <f t="shared" si="4"/>
        <v>#VALUE!</v>
      </c>
      <c r="M60" s="1" t="b">
        <f t="shared" si="3"/>
        <v>1</v>
      </c>
    </row>
    <row r="61" spans="2:14" x14ac:dyDescent="0.15">
      <c r="E61" s="1">
        <v>11.1</v>
      </c>
      <c r="F61" s="27" t="s">
        <v>66</v>
      </c>
      <c r="G61" s="1">
        <v>10</v>
      </c>
      <c r="J61" s="1" t="e">
        <v>#VALUE!</v>
      </c>
      <c r="K61" s="24" t="s">
        <v>295</v>
      </c>
      <c r="L61" s="41" t="e">
        <f t="shared" si="4"/>
        <v>#VALUE!</v>
      </c>
      <c r="M61" s="1" t="b">
        <f t="shared" si="3"/>
        <v>1</v>
      </c>
    </row>
    <row r="62" spans="2:14" x14ac:dyDescent="0.15">
      <c r="B62" s="28" t="s">
        <v>68</v>
      </c>
      <c r="C62" s="28" t="s">
        <v>59</v>
      </c>
      <c r="E62" s="29" t="s">
        <v>70</v>
      </c>
      <c r="F62" s="29" t="s">
        <v>70</v>
      </c>
      <c r="G62" s="1">
        <v>16</v>
      </c>
      <c r="J62" s="1" t="s">
        <v>99</v>
      </c>
      <c r="K62" s="24" t="s">
        <v>296</v>
      </c>
      <c r="L62" s="41" t="str">
        <f>addNPntNPnt(E62,F62,G62)</f>
        <v>1E</v>
      </c>
      <c r="M62" s="1" t="b">
        <f t="shared" si="3"/>
        <v>1</v>
      </c>
    </row>
    <row r="63" spans="2:14" x14ac:dyDescent="0.15">
      <c r="C63" s="28" t="s">
        <v>58</v>
      </c>
      <c r="E63" s="29" t="s">
        <v>71</v>
      </c>
      <c r="F63" s="29" t="s">
        <v>72</v>
      </c>
      <c r="G63" s="1">
        <v>16</v>
      </c>
      <c r="J63" s="1" t="s">
        <v>93</v>
      </c>
      <c r="K63" s="24" t="s">
        <v>297</v>
      </c>
      <c r="L63" s="41" t="str">
        <f t="shared" ref="L63:L68" si="5">addNPntNPnt(E63,F63,G63)</f>
        <v>0</v>
      </c>
      <c r="M63" s="1" t="b">
        <f t="shared" si="3"/>
        <v>1</v>
      </c>
    </row>
    <row r="64" spans="2:14" x14ac:dyDescent="0.15">
      <c r="C64" s="28" t="s">
        <v>60</v>
      </c>
      <c r="E64" s="29" t="s">
        <v>73</v>
      </c>
      <c r="F64" s="29" t="s">
        <v>74</v>
      </c>
      <c r="G64" s="1">
        <v>16</v>
      </c>
      <c r="J64" s="1" t="s">
        <v>93</v>
      </c>
      <c r="K64" s="24" t="s">
        <v>298</v>
      </c>
      <c r="L64" s="41" t="str">
        <f t="shared" si="5"/>
        <v>0</v>
      </c>
      <c r="M64" s="1" t="b">
        <f t="shared" si="3"/>
        <v>1</v>
      </c>
    </row>
    <row r="65" spans="1:13" x14ac:dyDescent="0.15">
      <c r="C65" s="28" t="s">
        <v>61</v>
      </c>
      <c r="E65" s="29" t="s">
        <v>73</v>
      </c>
      <c r="F65" s="29" t="s">
        <v>73</v>
      </c>
      <c r="G65" s="1">
        <v>16</v>
      </c>
      <c r="J65" s="1" t="s">
        <v>100</v>
      </c>
      <c r="K65" s="24" t="s">
        <v>299</v>
      </c>
      <c r="L65" s="41" t="str">
        <f t="shared" si="5"/>
        <v>-1E</v>
      </c>
      <c r="M65" s="1" t="b">
        <f t="shared" si="3"/>
        <v>1</v>
      </c>
    </row>
    <row r="66" spans="1:13" x14ac:dyDescent="0.15">
      <c r="C66" s="28" t="s">
        <v>62</v>
      </c>
      <c r="E66" s="29" t="s">
        <v>75</v>
      </c>
      <c r="F66" s="29" t="s">
        <v>76</v>
      </c>
      <c r="G66" s="1">
        <v>16</v>
      </c>
      <c r="J66" s="1" t="s">
        <v>101</v>
      </c>
      <c r="K66" s="24" t="s">
        <v>300</v>
      </c>
      <c r="L66" s="41" t="str">
        <f t="shared" si="5"/>
        <v>100.E</v>
      </c>
      <c r="M66" s="1" t="b">
        <f t="shared" si="3"/>
        <v>1</v>
      </c>
    </row>
    <row r="67" spans="1:13" x14ac:dyDescent="0.15">
      <c r="C67" s="28" t="s">
        <v>69</v>
      </c>
      <c r="E67" s="29" t="s">
        <v>77</v>
      </c>
      <c r="F67" s="30">
        <v>0.1</v>
      </c>
      <c r="G67" s="1">
        <v>16</v>
      </c>
      <c r="J67" s="1" t="e">
        <v>#VALUE!</v>
      </c>
      <c r="K67" s="24" t="s">
        <v>301</v>
      </c>
      <c r="L67" s="41" t="e">
        <f t="shared" si="5"/>
        <v>#VALUE!</v>
      </c>
      <c r="M67" s="1" t="b">
        <f t="shared" si="3"/>
        <v>1</v>
      </c>
    </row>
    <row r="68" spans="1:13" x14ac:dyDescent="0.15">
      <c r="E68" s="30">
        <v>11.1</v>
      </c>
      <c r="F68" s="29" t="s">
        <v>78</v>
      </c>
      <c r="G68" s="1">
        <v>16</v>
      </c>
      <c r="J68" s="1" t="e">
        <v>#VALUE!</v>
      </c>
      <c r="K68" s="24" t="s">
        <v>302</v>
      </c>
      <c r="L68" s="41" t="e">
        <f t="shared" si="5"/>
        <v>#VALUE!</v>
      </c>
      <c r="M68" s="1" t="b">
        <f t="shared" si="3"/>
        <v>1</v>
      </c>
    </row>
    <row r="69" spans="1:13" x14ac:dyDescent="0.15">
      <c r="A69" s="1" t="s">
        <v>337</v>
      </c>
      <c r="B69" s="24" t="s">
        <v>29</v>
      </c>
      <c r="C69" s="24" t="s">
        <v>38</v>
      </c>
      <c r="E69" s="1">
        <v>1</v>
      </c>
      <c r="F69" s="1">
        <v>1</v>
      </c>
      <c r="G69" s="1">
        <v>1</v>
      </c>
      <c r="J69" s="1" t="e">
        <v>#VALUE!</v>
      </c>
      <c r="K69" s="24" t="e">
        <f>multipleNPntNPnt(E69,F69,G69)</f>
        <v>#VALUE!</v>
      </c>
      <c r="L69" s="1" t="e">
        <f>multipleNPntNPnt(E69,F69,G69)</f>
        <v>#VALUE!</v>
      </c>
      <c r="M69" s="1" t="b">
        <f t="shared" si="3"/>
        <v>1</v>
      </c>
    </row>
    <row r="70" spans="1:13" x14ac:dyDescent="0.15">
      <c r="C70" s="24" t="s">
        <v>39</v>
      </c>
      <c r="E70" s="1">
        <v>1</v>
      </c>
      <c r="F70" s="1">
        <v>1</v>
      </c>
      <c r="G70" s="1">
        <v>17</v>
      </c>
      <c r="J70" s="1" t="e">
        <v>#VALUE!</v>
      </c>
      <c r="K70" s="24" t="e">
        <f>multipleNPntNPnt(E70,F70,G70)</f>
        <v>#VALUE!</v>
      </c>
      <c r="L70" s="1" t="e">
        <f>multipleNPntNPnt(E70,F70,G70)</f>
        <v>#VALUE!</v>
      </c>
      <c r="M70" s="1" t="b">
        <f t="shared" si="3"/>
        <v>1</v>
      </c>
    </row>
    <row r="71" spans="1:13" x14ac:dyDescent="0.15">
      <c r="B71" s="24" t="s">
        <v>40</v>
      </c>
      <c r="C71" s="24" t="s">
        <v>42</v>
      </c>
      <c r="E71" s="34" t="s">
        <v>103</v>
      </c>
      <c r="F71" s="1">
        <v>2</v>
      </c>
      <c r="J71" s="1" t="e">
        <v>#VALUE!</v>
      </c>
      <c r="K71" s="24" t="e">
        <f>multipleNPntNPnt(E71,F71)</f>
        <v>#VALUE!</v>
      </c>
      <c r="L71" s="1" t="e">
        <f>multipleNPntNPnt(E71,F71)</f>
        <v>#VALUE!</v>
      </c>
      <c r="M71" s="1" t="b">
        <f t="shared" si="3"/>
        <v>1</v>
      </c>
    </row>
    <row r="72" spans="1:13" x14ac:dyDescent="0.15">
      <c r="C72" s="24" t="s">
        <v>43</v>
      </c>
      <c r="E72" s="1">
        <v>10</v>
      </c>
      <c r="F72" s="1">
        <v>2</v>
      </c>
      <c r="J72" s="1" t="s">
        <v>186</v>
      </c>
      <c r="K72" s="24" t="str">
        <f>multipleNPntNPnt(E72,F72)</f>
        <v>20</v>
      </c>
      <c r="L72" s="1" t="str">
        <f>multipleNPntNPnt(E72,F72)</f>
        <v>20</v>
      </c>
      <c r="M72" s="1" t="b">
        <f t="shared" si="3"/>
        <v>1</v>
      </c>
    </row>
    <row r="73" spans="1:13" x14ac:dyDescent="0.15">
      <c r="B73" s="28" t="s">
        <v>57</v>
      </c>
      <c r="C73" s="28" t="s">
        <v>104</v>
      </c>
      <c r="E73" s="1">
        <v>10</v>
      </c>
      <c r="F73" s="1">
        <v>1</v>
      </c>
      <c r="G73" s="1">
        <v>2</v>
      </c>
      <c r="J73" s="1" t="s">
        <v>92</v>
      </c>
      <c r="K73" s="24" t="str">
        <f>multipleNPntNPnt(E73,F73,G73)</f>
        <v>10</v>
      </c>
      <c r="L73" s="1" t="str">
        <f>multipleNPntNPnt(E73,F73,G73)</f>
        <v>10</v>
      </c>
      <c r="M73" s="1" t="b">
        <f t="shared" si="3"/>
        <v>1</v>
      </c>
    </row>
    <row r="74" spans="1:13" x14ac:dyDescent="0.15">
      <c r="C74" s="28" t="s">
        <v>105</v>
      </c>
      <c r="E74" s="1">
        <v>10</v>
      </c>
      <c r="F74" s="33" t="s">
        <v>108</v>
      </c>
      <c r="G74" s="1">
        <v>2</v>
      </c>
      <c r="J74" s="1" t="s">
        <v>94</v>
      </c>
      <c r="K74" s="24" t="str">
        <f>multipleNPntNPnt(E74,F74,G74)</f>
        <v>-10</v>
      </c>
      <c r="L74" s="1" t="str">
        <f>multipleNPntNPnt(E74,F74,G74)</f>
        <v>-10</v>
      </c>
      <c r="M74" s="1" t="b">
        <f t="shared" si="3"/>
        <v>1</v>
      </c>
    </row>
    <row r="75" spans="1:13" x14ac:dyDescent="0.15">
      <c r="C75" s="28" t="s">
        <v>106</v>
      </c>
      <c r="E75" s="1">
        <v>-10</v>
      </c>
      <c r="F75" s="1">
        <v>1</v>
      </c>
      <c r="G75" s="1">
        <v>2</v>
      </c>
      <c r="J75" s="1" t="s">
        <v>94</v>
      </c>
      <c r="K75" s="24" t="str">
        <f>multipleNPntNPnt(E75,F75,G75)</f>
        <v>-10</v>
      </c>
      <c r="L75" s="1" t="str">
        <f>multipleNPntNPnt(E75,F75,G75)</f>
        <v>-10</v>
      </c>
      <c r="M75" s="1" t="b">
        <f t="shared" si="3"/>
        <v>1</v>
      </c>
    </row>
    <row r="76" spans="1:13" x14ac:dyDescent="0.15">
      <c r="C76" s="28" t="s">
        <v>107</v>
      </c>
      <c r="E76" s="1">
        <v>-10</v>
      </c>
      <c r="F76" s="33" t="s">
        <v>108</v>
      </c>
      <c r="G76" s="1">
        <v>2</v>
      </c>
      <c r="J76" s="1" t="s">
        <v>92</v>
      </c>
      <c r="K76" s="24" t="str">
        <f>multipleNPntNPnt(E76,F76,G76)</f>
        <v>10</v>
      </c>
      <c r="L76" s="1" t="str">
        <f>multipleNPntNPnt(E76,F76,G76)</f>
        <v>10</v>
      </c>
      <c r="M76" s="1" t="b">
        <f t="shared" si="3"/>
        <v>1</v>
      </c>
    </row>
    <row r="77" spans="1:13" x14ac:dyDescent="0.15">
      <c r="C77" s="43" t="s">
        <v>323</v>
      </c>
      <c r="E77" s="1">
        <v>-10.1</v>
      </c>
      <c r="F77" s="44" t="s">
        <v>324</v>
      </c>
      <c r="G77" s="1">
        <v>2</v>
      </c>
      <c r="J77" s="1" t="s">
        <v>93</v>
      </c>
      <c r="K77" s="24" t="str">
        <f>multipleNPntNPnt(E77,F77,G77)</f>
        <v>0</v>
      </c>
      <c r="L77" s="1" t="str">
        <f>multipleNPntNPnt(E77,F77,G77)</f>
        <v>0</v>
      </c>
      <c r="M77" s="1" t="b">
        <f t="shared" si="3"/>
        <v>1</v>
      </c>
    </row>
    <row r="78" spans="1:13" x14ac:dyDescent="0.15">
      <c r="C78" s="28" t="s">
        <v>32</v>
      </c>
      <c r="E78" s="1">
        <v>101.1</v>
      </c>
      <c r="F78" s="1">
        <v>1</v>
      </c>
      <c r="G78" s="1">
        <v>2</v>
      </c>
      <c r="J78" s="1" t="s">
        <v>187</v>
      </c>
      <c r="K78" s="24" t="str">
        <f>multipleNPntNPnt(E78,F78,G78)</f>
        <v>101.1</v>
      </c>
      <c r="L78" s="1" t="str">
        <f>multipleNPntNPnt(E78,F78,G78)</f>
        <v>101.1</v>
      </c>
      <c r="M78" s="1" t="b">
        <f t="shared" si="3"/>
        <v>1</v>
      </c>
    </row>
    <row r="79" spans="1:13" x14ac:dyDescent="0.15">
      <c r="C79" s="28" t="s">
        <v>63</v>
      </c>
      <c r="E79" s="1">
        <v>2</v>
      </c>
      <c r="F79" s="1">
        <v>1</v>
      </c>
      <c r="G79" s="1">
        <v>2</v>
      </c>
      <c r="J79" s="1" t="e">
        <v>#VALUE!</v>
      </c>
      <c r="K79" s="24" t="e">
        <f>multipleNPntNPnt(E79,F79,G79)</f>
        <v>#VALUE!</v>
      </c>
      <c r="L79" s="1" t="e">
        <f>multipleNPntNPnt(E79,F79,G79)</f>
        <v>#VALUE!</v>
      </c>
      <c r="M79" s="1" t="b">
        <f t="shared" si="3"/>
        <v>1</v>
      </c>
    </row>
    <row r="80" spans="1:13" x14ac:dyDescent="0.15">
      <c r="E80" s="1">
        <v>1</v>
      </c>
      <c r="F80" s="1">
        <v>2</v>
      </c>
      <c r="G80" s="1">
        <v>2</v>
      </c>
      <c r="J80" s="1" t="e">
        <v>#VALUE!</v>
      </c>
      <c r="K80" s="24" t="e">
        <f>multipleNPntNPnt(E80,F80,G80)</f>
        <v>#VALUE!</v>
      </c>
      <c r="L80" s="1" t="e">
        <f>multipleNPntNPnt(E80,F80,G80)</f>
        <v>#VALUE!</v>
      </c>
      <c r="M80" s="1" t="b">
        <f t="shared" si="3"/>
        <v>1</v>
      </c>
    </row>
    <row r="81" spans="2:13" x14ac:dyDescent="0.15">
      <c r="B81" s="32" t="s">
        <v>109</v>
      </c>
      <c r="C81" s="28" t="s">
        <v>104</v>
      </c>
      <c r="E81" s="1">
        <v>99</v>
      </c>
      <c r="F81" s="1">
        <v>9</v>
      </c>
      <c r="G81" s="1">
        <v>10</v>
      </c>
      <c r="J81" s="1" t="s">
        <v>188</v>
      </c>
      <c r="K81" s="24" t="str">
        <f>multipleNPntNPnt(E81,F81,G81)</f>
        <v>891</v>
      </c>
      <c r="L81" s="1" t="str">
        <f>multipleNPntNPnt(E81,F81,G81)</f>
        <v>891</v>
      </c>
      <c r="M81" s="1" t="b">
        <f t="shared" si="3"/>
        <v>1</v>
      </c>
    </row>
    <row r="82" spans="2:13" x14ac:dyDescent="0.15">
      <c r="C82" s="28" t="s">
        <v>105</v>
      </c>
      <c r="E82" s="1">
        <v>99</v>
      </c>
      <c r="F82" s="1">
        <v>-9</v>
      </c>
      <c r="G82" s="1">
        <v>10</v>
      </c>
      <c r="J82" s="1" t="s">
        <v>189</v>
      </c>
      <c r="K82" s="24" t="str">
        <f>multipleNPntNPnt(E82,F82,G82)</f>
        <v>-891</v>
      </c>
      <c r="L82" s="1" t="str">
        <f>multipleNPntNPnt(E82,F82,G82)</f>
        <v>-891</v>
      </c>
      <c r="M82" s="1" t="b">
        <f t="shared" si="3"/>
        <v>1</v>
      </c>
    </row>
    <row r="83" spans="2:13" x14ac:dyDescent="0.15">
      <c r="C83" s="28" t="s">
        <v>106</v>
      </c>
      <c r="E83" s="1">
        <v>-99</v>
      </c>
      <c r="F83" s="1">
        <v>9</v>
      </c>
      <c r="G83" s="1">
        <v>10</v>
      </c>
      <c r="J83" s="1" t="s">
        <v>189</v>
      </c>
      <c r="K83" s="24" t="str">
        <f>multipleNPntNPnt(E83,F83,G83)</f>
        <v>-891</v>
      </c>
      <c r="L83" s="1" t="str">
        <f>multipleNPntNPnt(E83,F83,G83)</f>
        <v>-891</v>
      </c>
      <c r="M83" s="1" t="b">
        <f t="shared" si="3"/>
        <v>1</v>
      </c>
    </row>
    <row r="84" spans="2:13" x14ac:dyDescent="0.15">
      <c r="C84" s="28" t="s">
        <v>107</v>
      </c>
      <c r="E84" s="1">
        <v>-99</v>
      </c>
      <c r="F84" s="1">
        <v>-9</v>
      </c>
      <c r="G84" s="1">
        <v>10</v>
      </c>
      <c r="J84" s="1" t="s">
        <v>188</v>
      </c>
      <c r="K84" s="24" t="str">
        <f>multipleNPntNPnt(E84,F84,G84)</f>
        <v>891</v>
      </c>
      <c r="L84" s="1" t="str">
        <f>multipleNPntNPnt(E84,F84,G84)</f>
        <v>891</v>
      </c>
      <c r="M84" s="1" t="b">
        <f t="shared" si="3"/>
        <v>1</v>
      </c>
    </row>
    <row r="85" spans="2:13" x14ac:dyDescent="0.15">
      <c r="C85" s="43" t="s">
        <v>323</v>
      </c>
      <c r="E85" s="1">
        <v>-99.9</v>
      </c>
      <c r="F85" s="44" t="s">
        <v>325</v>
      </c>
      <c r="G85" s="1">
        <v>10</v>
      </c>
      <c r="J85" s="1" t="s">
        <v>93</v>
      </c>
      <c r="K85" s="24" t="str">
        <f>multipleNPntNPnt(E85,F85,G85)</f>
        <v>0</v>
      </c>
      <c r="L85" s="1" t="str">
        <f>multipleNPntNPnt(E85,F85,G85)</f>
        <v>0</v>
      </c>
      <c r="M85" s="1" t="b">
        <f t="shared" si="3"/>
        <v>1</v>
      </c>
    </row>
    <row r="86" spans="2:13" x14ac:dyDescent="0.15">
      <c r="C86" s="28" t="s">
        <v>32</v>
      </c>
      <c r="E86" s="1">
        <v>99.9</v>
      </c>
      <c r="F86" s="1">
        <v>9</v>
      </c>
      <c r="G86" s="1">
        <v>10</v>
      </c>
      <c r="J86" s="1" t="s">
        <v>190</v>
      </c>
      <c r="K86" s="24" t="str">
        <f>multipleNPntNPnt(E86,F86,G86)</f>
        <v>899.1</v>
      </c>
      <c r="L86" s="1" t="str">
        <f>multipleNPntNPnt(E86,F86,G86)</f>
        <v>899.1</v>
      </c>
      <c r="M86" s="1" t="b">
        <f t="shared" si="3"/>
        <v>1</v>
      </c>
    </row>
    <row r="87" spans="2:13" x14ac:dyDescent="0.15">
      <c r="C87" s="32" t="s">
        <v>111</v>
      </c>
      <c r="E87" s="34" t="s">
        <v>113</v>
      </c>
      <c r="F87" s="25">
        <v>1</v>
      </c>
      <c r="G87" s="1">
        <v>10</v>
      </c>
      <c r="J87" s="1" t="e">
        <v>#VALUE!</v>
      </c>
      <c r="K87" s="24" t="e">
        <f>multipleNPntNPnt(E87,F87,G87)</f>
        <v>#VALUE!</v>
      </c>
      <c r="L87" s="1" t="e">
        <f>multipleNPntNPnt(E87,F87,G87)</f>
        <v>#VALUE!</v>
      </c>
      <c r="M87" s="1" t="b">
        <f t="shared" si="3"/>
        <v>1</v>
      </c>
    </row>
    <row r="88" spans="2:13" x14ac:dyDescent="0.15">
      <c r="E88" s="1">
        <v>1</v>
      </c>
      <c r="F88" s="35" t="s">
        <v>185</v>
      </c>
      <c r="G88" s="1">
        <v>10</v>
      </c>
      <c r="J88" s="1" t="e">
        <v>#VALUE!</v>
      </c>
      <c r="K88" s="24" t="e">
        <f>multipleNPntNPnt(E88,F88,G88)</f>
        <v>#VALUE!</v>
      </c>
      <c r="L88" s="1" t="e">
        <f>multipleNPntNPnt(E88,F88,G88)</f>
        <v>#VALUE!</v>
      </c>
      <c r="M88" s="1" t="b">
        <f t="shared" si="3"/>
        <v>1</v>
      </c>
    </row>
    <row r="89" spans="2:13" x14ac:dyDescent="0.15">
      <c r="B89" s="32" t="s">
        <v>110</v>
      </c>
      <c r="C89" s="28" t="s">
        <v>104</v>
      </c>
      <c r="E89" s="36" t="s">
        <v>191</v>
      </c>
      <c r="F89" s="36" t="s">
        <v>193</v>
      </c>
      <c r="G89" s="1">
        <v>16</v>
      </c>
      <c r="J89" s="1" t="s">
        <v>204</v>
      </c>
      <c r="K89" s="24" t="str">
        <f>multipleNPntNPnt(E89,F89,G89)</f>
        <v>EF1</v>
      </c>
      <c r="L89" s="1" t="str">
        <f>multipleNPntNPnt(E89,F89,G89)</f>
        <v>EF1</v>
      </c>
      <c r="M89" s="1" t="b">
        <f t="shared" si="3"/>
        <v>1</v>
      </c>
    </row>
    <row r="90" spans="2:13" x14ac:dyDescent="0.15">
      <c r="C90" s="28" t="s">
        <v>105</v>
      </c>
      <c r="E90" s="36" t="s">
        <v>194</v>
      </c>
      <c r="F90" s="36" t="s">
        <v>195</v>
      </c>
      <c r="G90" s="1">
        <v>16</v>
      </c>
      <c r="J90" s="1" t="s">
        <v>205</v>
      </c>
      <c r="K90" s="24" t="str">
        <f>multipleNPntNPnt(E90,F90,G90)</f>
        <v>-EF1</v>
      </c>
      <c r="L90" s="1" t="str">
        <f>multipleNPntNPnt(E90,F90,G90)</f>
        <v>-EF1</v>
      </c>
      <c r="M90" s="1" t="b">
        <f t="shared" si="3"/>
        <v>1</v>
      </c>
    </row>
    <row r="91" spans="2:13" x14ac:dyDescent="0.15">
      <c r="C91" s="28" t="s">
        <v>106</v>
      </c>
      <c r="E91" s="36" t="s">
        <v>196</v>
      </c>
      <c r="F91" s="36" t="s">
        <v>197</v>
      </c>
      <c r="G91" s="1">
        <v>16</v>
      </c>
      <c r="J91" s="1" t="s">
        <v>205</v>
      </c>
      <c r="K91" s="24" t="str">
        <f>multipleNPntNPnt(E91,F91,G91)</f>
        <v>-EF1</v>
      </c>
      <c r="L91" s="1" t="str">
        <f>multipleNPntNPnt(E91,F91,G91)</f>
        <v>-EF1</v>
      </c>
      <c r="M91" s="1" t="b">
        <f t="shared" si="3"/>
        <v>1</v>
      </c>
    </row>
    <row r="92" spans="2:13" x14ac:dyDescent="0.15">
      <c r="C92" s="28" t="s">
        <v>107</v>
      </c>
      <c r="E92" s="36" t="s">
        <v>196</v>
      </c>
      <c r="F92" s="36" t="s">
        <v>198</v>
      </c>
      <c r="G92" s="1">
        <v>16</v>
      </c>
      <c r="J92" s="1" t="s">
        <v>204</v>
      </c>
      <c r="K92" s="24" t="str">
        <f>multipleNPntNPnt(E92,F92,G92)</f>
        <v>EF1</v>
      </c>
      <c r="L92" s="1" t="str">
        <f>multipleNPntNPnt(E92,F92,G92)</f>
        <v>EF1</v>
      </c>
      <c r="M92" s="1" t="b">
        <f t="shared" si="3"/>
        <v>1</v>
      </c>
    </row>
    <row r="93" spans="2:13" x14ac:dyDescent="0.15">
      <c r="C93" s="43" t="s">
        <v>323</v>
      </c>
      <c r="E93" s="44" t="s">
        <v>326</v>
      </c>
      <c r="F93" s="44" t="s">
        <v>327</v>
      </c>
      <c r="G93" s="1">
        <v>16</v>
      </c>
      <c r="J93" s="1" t="s">
        <v>93</v>
      </c>
      <c r="K93" s="24" t="str">
        <f>multipleNPntNPnt(E93,F93,G93)</f>
        <v>0</v>
      </c>
      <c r="L93" s="1" t="str">
        <f>multipleNPntNPnt(E93,F93,G93)</f>
        <v>0</v>
      </c>
      <c r="M93" s="1" t="b">
        <f t="shared" si="3"/>
        <v>1</v>
      </c>
    </row>
    <row r="94" spans="2:13" x14ac:dyDescent="0.15">
      <c r="C94" s="28" t="s">
        <v>32</v>
      </c>
      <c r="E94" s="36" t="s">
        <v>199</v>
      </c>
      <c r="F94" s="36" t="s">
        <v>192</v>
      </c>
      <c r="G94" s="1">
        <v>16</v>
      </c>
      <c r="J94" s="1" t="s">
        <v>206</v>
      </c>
      <c r="K94" s="24" t="str">
        <f>multipleNPntNPnt(E94,F94,G94)</f>
        <v>FE.1</v>
      </c>
      <c r="L94" s="1" t="str">
        <f>multipleNPntNPnt(E94,F94,G94)</f>
        <v>FE.1</v>
      </c>
      <c r="M94" s="1" t="b">
        <f t="shared" si="3"/>
        <v>1</v>
      </c>
    </row>
    <row r="95" spans="2:13" x14ac:dyDescent="0.15">
      <c r="C95" s="32" t="s">
        <v>112</v>
      </c>
      <c r="E95" s="36" t="s">
        <v>200</v>
      </c>
      <c r="F95" s="36" t="s">
        <v>201</v>
      </c>
      <c r="G95" s="1">
        <v>16</v>
      </c>
      <c r="J95" s="1" t="e">
        <v>#VALUE!</v>
      </c>
      <c r="K95" s="24" t="e">
        <f>multipleNPntNPnt(E95,F95,G95)</f>
        <v>#VALUE!</v>
      </c>
      <c r="L95" s="1" t="e">
        <f>multipleNPntNPnt(E95,F95,G95)</f>
        <v>#VALUE!</v>
      </c>
      <c r="M95" s="1" t="b">
        <f t="shared" si="3"/>
        <v>1</v>
      </c>
    </row>
    <row r="96" spans="2:13" x14ac:dyDescent="0.15">
      <c r="E96" s="36" t="s">
        <v>202</v>
      </c>
      <c r="F96" s="36" t="s">
        <v>203</v>
      </c>
      <c r="G96" s="1">
        <v>16</v>
      </c>
      <c r="J96" s="1" t="e">
        <v>#VALUE!</v>
      </c>
      <c r="K96" s="24" t="e">
        <f>multipleNPntNPnt(E96,F96,G96)</f>
        <v>#VALUE!</v>
      </c>
      <c r="L96" s="1" t="e">
        <f>multipleNPntNPnt(E96,F96,G96)</f>
        <v>#VALUE!</v>
      </c>
      <c r="M96" s="1" t="b">
        <f t="shared" si="3"/>
        <v>1</v>
      </c>
    </row>
    <row r="97" spans="1:13" x14ac:dyDescent="0.15">
      <c r="A97" s="37" t="s">
        <v>207</v>
      </c>
      <c r="B97" s="24" t="s">
        <v>29</v>
      </c>
      <c r="C97" s="24" t="s">
        <v>38</v>
      </c>
      <c r="E97" s="1">
        <v>10</v>
      </c>
      <c r="F97" s="1">
        <v>2</v>
      </c>
      <c r="G97" s="1">
        <v>1</v>
      </c>
      <c r="J97" s="1" t="e">
        <v>#VALUE!</v>
      </c>
      <c r="K97" s="24" t="s">
        <v>328</v>
      </c>
      <c r="L97" s="1" t="e">
        <f>divideNPntByOneDig(E97,F97,G97)</f>
        <v>#VALUE!</v>
      </c>
      <c r="M97" s="1" t="b">
        <f t="shared" si="3"/>
        <v>1</v>
      </c>
    </row>
    <row r="98" spans="1:13" x14ac:dyDescent="0.15">
      <c r="C98" s="24" t="s">
        <v>39</v>
      </c>
      <c r="E98" s="1">
        <v>10</v>
      </c>
      <c r="F98" s="1">
        <v>2</v>
      </c>
      <c r="G98" s="1">
        <v>17</v>
      </c>
      <c r="J98" s="1" t="e">
        <v>#VALUE!</v>
      </c>
      <c r="K98" s="24" t="s">
        <v>329</v>
      </c>
      <c r="L98" s="1" t="e">
        <f>divideNPntByOneDig(E98,F98,G98)</f>
        <v>#VALUE!</v>
      </c>
      <c r="M98" s="1" t="b">
        <f t="shared" si="3"/>
        <v>1</v>
      </c>
    </row>
    <row r="99" spans="1:13" x14ac:dyDescent="0.15">
      <c r="B99" s="24" t="s">
        <v>40</v>
      </c>
      <c r="C99" s="24" t="s">
        <v>42</v>
      </c>
      <c r="E99" s="1">
        <v>10</v>
      </c>
      <c r="F99" s="1">
        <v>2</v>
      </c>
      <c r="J99" s="1" t="s">
        <v>234</v>
      </c>
      <c r="K99" s="24" t="s">
        <v>330</v>
      </c>
      <c r="L99" s="1" t="str">
        <f>divideNPntByOneDig(E99,F99)</f>
        <v>5</v>
      </c>
      <c r="M99" s="1" t="b">
        <f t="shared" si="3"/>
        <v>1</v>
      </c>
    </row>
    <row r="100" spans="1:13" x14ac:dyDescent="0.15">
      <c r="C100" s="24" t="s">
        <v>43</v>
      </c>
      <c r="E100" s="1">
        <v>10</v>
      </c>
      <c r="F100" s="38" t="s">
        <v>208</v>
      </c>
      <c r="J100" s="1" t="e">
        <v>#VALUE!</v>
      </c>
      <c r="K100" s="24" t="s">
        <v>303</v>
      </c>
      <c r="L100" s="1" t="e">
        <f>divideNPntByOneDig(E100,F100)</f>
        <v>#VALUE!</v>
      </c>
      <c r="M100" s="1" t="b">
        <f t="shared" si="3"/>
        <v>1</v>
      </c>
    </row>
    <row r="101" spans="1:13" x14ac:dyDescent="0.15">
      <c r="B101" s="39" t="s">
        <v>209</v>
      </c>
      <c r="C101" s="39" t="s">
        <v>210</v>
      </c>
      <c r="E101" s="1">
        <v>10</v>
      </c>
      <c r="F101" s="1">
        <v>3</v>
      </c>
      <c r="G101" s="1">
        <v>10</v>
      </c>
      <c r="H101" s="1">
        <v>0</v>
      </c>
      <c r="J101" s="1" t="s">
        <v>235</v>
      </c>
      <c r="K101" s="24" t="s">
        <v>331</v>
      </c>
      <c r="L101" s="1" t="str">
        <f>divideNPntByOneDig(E101,F101,G101,H101)</f>
        <v>3</v>
      </c>
      <c r="M101" s="1" t="b">
        <f t="shared" si="3"/>
        <v>1</v>
      </c>
    </row>
    <row r="102" spans="1:13" x14ac:dyDescent="0.15">
      <c r="C102" s="39" t="s">
        <v>211</v>
      </c>
      <c r="E102" s="1">
        <v>10</v>
      </c>
      <c r="F102" s="1">
        <v>3</v>
      </c>
      <c r="G102" s="1">
        <v>10</v>
      </c>
      <c r="H102" s="1">
        <v>1</v>
      </c>
      <c r="J102" s="1" t="s">
        <v>236</v>
      </c>
      <c r="K102" s="24" t="s">
        <v>332</v>
      </c>
      <c r="L102" s="1" t="str">
        <f>divideNPntByOneDig(E102,F102,G102,H102)</f>
        <v>3.3</v>
      </c>
      <c r="M102" s="1" t="b">
        <f t="shared" si="3"/>
        <v>1</v>
      </c>
    </row>
    <row r="103" spans="1:13" x14ac:dyDescent="0.15">
      <c r="C103" s="39" t="s">
        <v>212</v>
      </c>
      <c r="E103" s="1">
        <v>10</v>
      </c>
      <c r="F103" s="1">
        <v>3</v>
      </c>
      <c r="J103" s="1" t="s">
        <v>237</v>
      </c>
      <c r="K103" s="24" t="s">
        <v>333</v>
      </c>
      <c r="L103" s="1" t="str">
        <f>divideNPntByOneDig(E103,F103)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3" s="1" t="b">
        <f t="shared" si="3"/>
        <v>1</v>
      </c>
    </row>
    <row r="104" spans="1:13" x14ac:dyDescent="0.15">
      <c r="B104" s="39" t="s">
        <v>213</v>
      </c>
      <c r="C104" s="24" t="s">
        <v>214</v>
      </c>
      <c r="E104" s="1">
        <v>10</v>
      </c>
      <c r="F104" s="1">
        <v>1</v>
      </c>
      <c r="G104" s="1">
        <v>2</v>
      </c>
      <c r="J104" s="1" t="s">
        <v>92</v>
      </c>
      <c r="K104" s="24" t="s">
        <v>304</v>
      </c>
      <c r="L104" s="1" t="str">
        <f>divideNPntByOneDig(E104,F104,G104)</f>
        <v>10</v>
      </c>
      <c r="M104" s="1" t="b">
        <f t="shared" si="3"/>
        <v>1</v>
      </c>
    </row>
    <row r="105" spans="1:13" x14ac:dyDescent="0.15">
      <c r="C105" s="24" t="s">
        <v>215</v>
      </c>
      <c r="E105" s="1">
        <v>10</v>
      </c>
      <c r="F105" s="1">
        <v>-1</v>
      </c>
      <c r="G105" s="1">
        <v>2</v>
      </c>
      <c r="J105" s="1" t="s">
        <v>94</v>
      </c>
      <c r="K105" s="24" t="s">
        <v>305</v>
      </c>
      <c r="L105" s="1" t="str">
        <f t="shared" ref="L105:L124" si="6">divideNPntByOneDig(E105,F105,G105)</f>
        <v>-10</v>
      </c>
      <c r="M105" s="1" t="b">
        <f t="shared" si="3"/>
        <v>1</v>
      </c>
    </row>
    <row r="106" spans="1:13" x14ac:dyDescent="0.15">
      <c r="C106" s="24" t="s">
        <v>216</v>
      </c>
      <c r="E106" s="1">
        <v>-10</v>
      </c>
      <c r="F106" s="1">
        <v>1</v>
      </c>
      <c r="G106" s="1">
        <v>2</v>
      </c>
      <c r="J106" s="1" t="s">
        <v>94</v>
      </c>
      <c r="K106" s="24" t="s">
        <v>306</v>
      </c>
      <c r="L106" s="1" t="str">
        <f t="shared" si="6"/>
        <v>-10</v>
      </c>
      <c r="M106" s="1" t="b">
        <f t="shared" si="3"/>
        <v>1</v>
      </c>
    </row>
    <row r="107" spans="1:13" x14ac:dyDescent="0.15">
      <c r="C107" s="24" t="s">
        <v>217</v>
      </c>
      <c r="E107" s="1">
        <v>-10</v>
      </c>
      <c r="F107" s="1">
        <v>-1</v>
      </c>
      <c r="G107" s="1">
        <v>2</v>
      </c>
      <c r="J107" s="1" t="s">
        <v>92</v>
      </c>
      <c r="K107" s="24" t="s">
        <v>307</v>
      </c>
      <c r="L107" s="1" t="str">
        <f t="shared" si="6"/>
        <v>10</v>
      </c>
      <c r="M107" s="1" t="b">
        <f t="shared" si="3"/>
        <v>1</v>
      </c>
    </row>
    <row r="108" spans="1:13" x14ac:dyDescent="0.15">
      <c r="C108" s="28" t="s">
        <v>32</v>
      </c>
      <c r="E108" s="1">
        <v>10.1</v>
      </c>
      <c r="F108" s="1">
        <v>1</v>
      </c>
      <c r="G108" s="1">
        <v>2</v>
      </c>
      <c r="J108" s="1" t="s">
        <v>238</v>
      </c>
      <c r="K108" s="24" t="s">
        <v>308</v>
      </c>
      <c r="L108" s="1" t="str">
        <f t="shared" si="6"/>
        <v>10.1</v>
      </c>
      <c r="M108" s="1" t="b">
        <f t="shared" si="3"/>
        <v>1</v>
      </c>
    </row>
    <row r="109" spans="1:13" x14ac:dyDescent="0.15">
      <c r="C109" s="28" t="s">
        <v>63</v>
      </c>
      <c r="E109" s="1">
        <v>10.199999999999999</v>
      </c>
      <c r="F109" s="1">
        <v>1</v>
      </c>
      <c r="G109" s="1">
        <v>2</v>
      </c>
      <c r="J109" s="1" t="e">
        <v>#VALUE!</v>
      </c>
      <c r="K109" s="24" t="s">
        <v>309</v>
      </c>
      <c r="L109" s="1" t="e">
        <f t="shared" si="6"/>
        <v>#VALUE!</v>
      </c>
      <c r="M109" s="1" t="b">
        <f t="shared" si="3"/>
        <v>1</v>
      </c>
    </row>
    <row r="110" spans="1:13" x14ac:dyDescent="0.15">
      <c r="E110" s="1">
        <v>10.1</v>
      </c>
      <c r="F110" s="1">
        <v>2</v>
      </c>
      <c r="G110" s="1">
        <v>2</v>
      </c>
      <c r="J110" s="1" t="e">
        <v>#VALUE!</v>
      </c>
      <c r="K110" s="24" t="s">
        <v>310</v>
      </c>
      <c r="L110" s="1" t="e">
        <f t="shared" si="6"/>
        <v>#VALUE!</v>
      </c>
      <c r="M110" s="1" t="b">
        <f t="shared" si="3"/>
        <v>1</v>
      </c>
    </row>
    <row r="111" spans="1:13" x14ac:dyDescent="0.15">
      <c r="B111" s="39" t="s">
        <v>220</v>
      </c>
      <c r="C111" s="24" t="s">
        <v>214</v>
      </c>
      <c r="E111" s="1">
        <v>99</v>
      </c>
      <c r="F111" s="1">
        <v>9</v>
      </c>
      <c r="G111" s="1">
        <v>10</v>
      </c>
      <c r="J111" s="1" t="s">
        <v>239</v>
      </c>
      <c r="K111" s="24" t="s">
        <v>311</v>
      </c>
      <c r="L111" s="1" t="str">
        <f t="shared" si="6"/>
        <v>11</v>
      </c>
      <c r="M111" s="1" t="b">
        <f t="shared" ref="M111:M124" si="7">getText(J111)=getText(L111)</f>
        <v>1</v>
      </c>
    </row>
    <row r="112" spans="1:13" x14ac:dyDescent="0.15">
      <c r="C112" s="24" t="s">
        <v>215</v>
      </c>
      <c r="E112" s="1">
        <v>99</v>
      </c>
      <c r="F112" s="1">
        <v>-9</v>
      </c>
      <c r="G112" s="1">
        <v>10</v>
      </c>
      <c r="J112" s="1" t="s">
        <v>240</v>
      </c>
      <c r="K112" s="24" t="s">
        <v>312</v>
      </c>
      <c r="L112" s="1" t="str">
        <f t="shared" si="6"/>
        <v>-11</v>
      </c>
      <c r="M112" s="1" t="b">
        <f t="shared" si="7"/>
        <v>1</v>
      </c>
    </row>
    <row r="113" spans="2:13" x14ac:dyDescent="0.15">
      <c r="C113" s="24" t="s">
        <v>216</v>
      </c>
      <c r="E113" s="1">
        <v>-99</v>
      </c>
      <c r="F113" s="1">
        <v>9</v>
      </c>
      <c r="G113" s="1">
        <v>10</v>
      </c>
      <c r="J113" s="1" t="s">
        <v>240</v>
      </c>
      <c r="K113" s="24" t="s">
        <v>313</v>
      </c>
      <c r="L113" s="1" t="str">
        <f t="shared" si="6"/>
        <v>-11</v>
      </c>
      <c r="M113" s="1" t="b">
        <f t="shared" si="7"/>
        <v>1</v>
      </c>
    </row>
    <row r="114" spans="2:13" x14ac:dyDescent="0.15">
      <c r="C114" s="24" t="s">
        <v>217</v>
      </c>
      <c r="E114" s="1">
        <v>-99</v>
      </c>
      <c r="F114" s="1">
        <v>-9</v>
      </c>
      <c r="G114" s="1">
        <v>10</v>
      </c>
      <c r="J114" s="1" t="s">
        <v>239</v>
      </c>
      <c r="K114" s="24" t="s">
        <v>314</v>
      </c>
      <c r="L114" s="1" t="str">
        <f t="shared" si="6"/>
        <v>11</v>
      </c>
      <c r="M114" s="1" t="b">
        <f t="shared" si="7"/>
        <v>1</v>
      </c>
    </row>
    <row r="115" spans="2:13" x14ac:dyDescent="0.15">
      <c r="C115" s="28" t="s">
        <v>32</v>
      </c>
      <c r="E115" s="1">
        <v>99.9</v>
      </c>
      <c r="F115" s="1">
        <v>9</v>
      </c>
      <c r="G115" s="1">
        <v>10</v>
      </c>
      <c r="J115" s="1" t="s">
        <v>241</v>
      </c>
      <c r="K115" s="24" t="s">
        <v>315</v>
      </c>
      <c r="L115" s="1" t="str">
        <f t="shared" si="6"/>
        <v>11.1</v>
      </c>
      <c r="M115" s="1" t="b">
        <f t="shared" si="7"/>
        <v>1</v>
      </c>
    </row>
    <row r="116" spans="2:13" x14ac:dyDescent="0.15">
      <c r="C116" s="39" t="s">
        <v>218</v>
      </c>
      <c r="E116" s="38" t="s">
        <v>222</v>
      </c>
      <c r="F116" s="25">
        <v>9</v>
      </c>
      <c r="G116" s="1">
        <v>10</v>
      </c>
      <c r="J116" s="1" t="e">
        <v>#VALUE!</v>
      </c>
      <c r="K116" s="24" t="s">
        <v>316</v>
      </c>
      <c r="L116" s="1" t="e">
        <f t="shared" si="6"/>
        <v>#VALUE!</v>
      </c>
      <c r="M116" s="1" t="b">
        <f t="shared" si="7"/>
        <v>1</v>
      </c>
    </row>
    <row r="117" spans="2:13" x14ac:dyDescent="0.15">
      <c r="E117" s="25">
        <v>99.9</v>
      </c>
      <c r="F117" s="38" t="s">
        <v>223</v>
      </c>
      <c r="G117" s="1">
        <v>10</v>
      </c>
      <c r="J117" s="1" t="e">
        <v>#VALUE!</v>
      </c>
      <c r="K117" s="24" t="s">
        <v>317</v>
      </c>
      <c r="L117" s="1" t="e">
        <f t="shared" si="6"/>
        <v>#VALUE!</v>
      </c>
      <c r="M117" s="1" t="b">
        <f t="shared" si="7"/>
        <v>1</v>
      </c>
    </row>
    <row r="118" spans="2:13" x14ac:dyDescent="0.15">
      <c r="B118" s="39" t="s">
        <v>221</v>
      </c>
      <c r="C118" s="24" t="s">
        <v>214</v>
      </c>
      <c r="E118" s="40" t="s">
        <v>224</v>
      </c>
      <c r="F118" s="40" t="s">
        <v>225</v>
      </c>
      <c r="G118" s="1">
        <v>16</v>
      </c>
      <c r="J118" s="1" t="s">
        <v>239</v>
      </c>
      <c r="K118" s="24" t="s">
        <v>318</v>
      </c>
      <c r="L118" s="1" t="str">
        <f t="shared" si="6"/>
        <v>11</v>
      </c>
      <c r="M118" s="1" t="b">
        <f t="shared" si="7"/>
        <v>1</v>
      </c>
    </row>
    <row r="119" spans="2:13" x14ac:dyDescent="0.15">
      <c r="C119" s="24" t="s">
        <v>215</v>
      </c>
      <c r="E119" s="40" t="s">
        <v>226</v>
      </c>
      <c r="F119" s="40" t="s">
        <v>227</v>
      </c>
      <c r="G119" s="1">
        <v>16</v>
      </c>
      <c r="J119" s="1" t="s">
        <v>240</v>
      </c>
      <c r="K119" s="24" t="s">
        <v>319</v>
      </c>
      <c r="L119" s="1" t="str">
        <f t="shared" si="6"/>
        <v>-11</v>
      </c>
      <c r="M119" s="1" t="b">
        <f t="shared" si="7"/>
        <v>1</v>
      </c>
    </row>
    <row r="120" spans="2:13" x14ac:dyDescent="0.15">
      <c r="C120" s="24" t="s">
        <v>216</v>
      </c>
      <c r="E120" s="40" t="s">
        <v>228</v>
      </c>
      <c r="F120" s="40" t="s">
        <v>229</v>
      </c>
      <c r="G120" s="1">
        <v>16</v>
      </c>
      <c r="J120" s="1" t="s">
        <v>240</v>
      </c>
      <c r="K120" s="24" t="s">
        <v>320</v>
      </c>
      <c r="L120" s="1" t="str">
        <f t="shared" si="6"/>
        <v>-11</v>
      </c>
      <c r="M120" s="1" t="b">
        <f t="shared" si="7"/>
        <v>1</v>
      </c>
    </row>
    <row r="121" spans="2:13" x14ac:dyDescent="0.15">
      <c r="C121" s="24" t="s">
        <v>217</v>
      </c>
      <c r="E121" s="40" t="s">
        <v>228</v>
      </c>
      <c r="F121" s="40" t="s">
        <v>227</v>
      </c>
      <c r="G121" s="1">
        <v>16</v>
      </c>
      <c r="J121" s="1" t="s">
        <v>239</v>
      </c>
      <c r="K121" s="24" t="s">
        <v>321</v>
      </c>
      <c r="L121" s="1" t="str">
        <f t="shared" si="6"/>
        <v>11</v>
      </c>
      <c r="M121" s="1" t="b">
        <f t="shared" si="7"/>
        <v>1</v>
      </c>
    </row>
    <row r="122" spans="2:13" x14ac:dyDescent="0.15">
      <c r="C122" s="28" t="s">
        <v>32</v>
      </c>
      <c r="E122" s="40" t="s">
        <v>230</v>
      </c>
      <c r="F122" s="40" t="s">
        <v>229</v>
      </c>
      <c r="G122" s="1">
        <v>16</v>
      </c>
      <c r="J122" s="1" t="s">
        <v>241</v>
      </c>
      <c r="K122" s="24" t="s">
        <v>334</v>
      </c>
      <c r="L122" s="1" t="str">
        <f t="shared" si="6"/>
        <v>11.1</v>
      </c>
      <c r="M122" s="1" t="b">
        <f t="shared" si="7"/>
        <v>1</v>
      </c>
    </row>
    <row r="123" spans="2:13" x14ac:dyDescent="0.15">
      <c r="C123" s="39" t="s">
        <v>219</v>
      </c>
      <c r="E123" s="40" t="s">
        <v>232</v>
      </c>
      <c r="F123" s="40" t="s">
        <v>231</v>
      </c>
      <c r="G123" s="1">
        <v>16</v>
      </c>
      <c r="J123" s="1" t="e">
        <v>#VALUE!</v>
      </c>
      <c r="K123" s="24" t="s">
        <v>335</v>
      </c>
      <c r="L123" s="1" t="e">
        <f t="shared" si="6"/>
        <v>#VALUE!</v>
      </c>
      <c r="M123" s="1" t="b">
        <f t="shared" si="7"/>
        <v>1</v>
      </c>
    </row>
    <row r="124" spans="2:13" x14ac:dyDescent="0.15">
      <c r="E124" s="40" t="s">
        <v>226</v>
      </c>
      <c r="F124" s="40" t="s">
        <v>233</v>
      </c>
      <c r="G124" s="1">
        <v>16</v>
      </c>
      <c r="J124" s="1" t="e">
        <v>#VALUE!</v>
      </c>
      <c r="K124" s="24" t="s">
        <v>336</v>
      </c>
      <c r="L124" s="1" t="e">
        <f t="shared" si="6"/>
        <v>#VALUE!</v>
      </c>
      <c r="M124" s="1" t="b">
        <f t="shared" si="7"/>
        <v>1</v>
      </c>
    </row>
  </sheetData>
  <phoneticPr fontId="10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6A644-50BE-49EF-BFF0-3D6DF075ADEC}">
  <sheetPr codeName="Sheet3"/>
  <dimension ref="B2:N269"/>
  <sheetViews>
    <sheetView tabSelected="1" workbookViewId="0">
      <selection activeCell="N17" sqref="N17"/>
    </sheetView>
  </sheetViews>
  <sheetFormatPr defaultRowHeight="12" x14ac:dyDescent="0.15"/>
  <cols>
    <col min="12" max="12" width="11.85546875" bestFit="1" customWidth="1"/>
    <col min="14" max="14" width="11.85546875" bestFit="1" customWidth="1"/>
  </cols>
  <sheetData>
    <row r="2" spans="2:14" x14ac:dyDescent="0.15">
      <c r="B2">
        <v>-1</v>
      </c>
      <c r="C2" t="str">
        <f>divideNPntByOneDig("1","2")</f>
        <v>0.5</v>
      </c>
      <c r="G2">
        <f>1/16</f>
        <v>6.25E-2</v>
      </c>
      <c r="H2">
        <v>1</v>
      </c>
      <c r="I2">
        <f>G$2*H2</f>
        <v>6.25E-2</v>
      </c>
      <c r="J2">
        <f>I2*16</f>
        <v>1</v>
      </c>
      <c r="L2" t="s">
        <v>322</v>
      </c>
      <c r="M2">
        <v>1</v>
      </c>
      <c r="N2" t="str">
        <f>multipleNPntNPnt(getText(L$2),getText(M2))</f>
        <v>0.00390625</v>
      </c>
    </row>
    <row r="3" spans="2:14" x14ac:dyDescent="0.15">
      <c r="B3">
        <v>-2</v>
      </c>
      <c r="C3" t="str">
        <f>divideNPntByOneDig(C2,"2")</f>
        <v>0.25</v>
      </c>
      <c r="H3">
        <v>2</v>
      </c>
      <c r="I3">
        <f t="shared" ref="I3:I17" si="0">G$2*H3</f>
        <v>0.125</v>
      </c>
      <c r="J3">
        <f t="shared" ref="J3:J17" si="1">I3*16</f>
        <v>2</v>
      </c>
      <c r="M3">
        <v>2</v>
      </c>
      <c r="N3" t="str">
        <f>multipleNPntNPnt(getText(L$2),getText(M3))</f>
        <v>0.0078125</v>
      </c>
    </row>
    <row r="4" spans="2:14" x14ac:dyDescent="0.15">
      <c r="B4">
        <v>-3</v>
      </c>
      <c r="C4" t="str">
        <f t="shared" ref="C4:C21" si="2">divideNPntByOneDig(C3,"2")</f>
        <v>0.125</v>
      </c>
      <c r="H4">
        <v>3</v>
      </c>
      <c r="I4">
        <f t="shared" si="0"/>
        <v>0.1875</v>
      </c>
      <c r="J4">
        <f t="shared" si="1"/>
        <v>3</v>
      </c>
      <c r="M4">
        <v>3</v>
      </c>
      <c r="N4" t="str">
        <f>multipleNPntNPnt(getText(L$2),getText(M4))</f>
        <v>0.01171875</v>
      </c>
    </row>
    <row r="5" spans="2:14" x14ac:dyDescent="0.15">
      <c r="B5">
        <v>-4</v>
      </c>
      <c r="C5" t="str">
        <f t="shared" si="2"/>
        <v>0.0625</v>
      </c>
      <c r="H5">
        <v>4</v>
      </c>
      <c r="I5">
        <f t="shared" si="0"/>
        <v>0.25</v>
      </c>
      <c r="J5">
        <f t="shared" si="1"/>
        <v>4</v>
      </c>
      <c r="M5">
        <v>4</v>
      </c>
      <c r="N5" t="str">
        <f>multipleNPntNPnt(getText(L$2),getText(M5))</f>
        <v>0.015625</v>
      </c>
    </row>
    <row r="6" spans="2:14" x14ac:dyDescent="0.15">
      <c r="B6">
        <v>-5</v>
      </c>
      <c r="C6" t="str">
        <f t="shared" si="2"/>
        <v>0.03125</v>
      </c>
      <c r="H6">
        <v>5</v>
      </c>
      <c r="I6">
        <f t="shared" si="0"/>
        <v>0.3125</v>
      </c>
      <c r="J6">
        <f t="shared" si="1"/>
        <v>5</v>
      </c>
      <c r="M6">
        <v>5</v>
      </c>
      <c r="N6" t="str">
        <f>multipleNPntNPnt(getText(L$2),getText(M6))</f>
        <v>0.01953125</v>
      </c>
    </row>
    <row r="7" spans="2:14" x14ac:dyDescent="0.15">
      <c r="B7">
        <v>-6</v>
      </c>
      <c r="C7" t="str">
        <f t="shared" si="2"/>
        <v>0.015625</v>
      </c>
      <c r="H7">
        <v>6</v>
      </c>
      <c r="I7">
        <f t="shared" si="0"/>
        <v>0.375</v>
      </c>
      <c r="J7">
        <f t="shared" si="1"/>
        <v>6</v>
      </c>
      <c r="M7">
        <v>6</v>
      </c>
      <c r="N7" t="str">
        <f>multipleNPntNPnt(getText(L$2),getText(M7))</f>
        <v>0.0234375</v>
      </c>
    </row>
    <row r="8" spans="2:14" x14ac:dyDescent="0.15">
      <c r="B8">
        <v>-7</v>
      </c>
      <c r="C8" t="str">
        <f t="shared" si="2"/>
        <v>0.0078125</v>
      </c>
      <c r="H8">
        <v>7</v>
      </c>
      <c r="I8">
        <f t="shared" si="0"/>
        <v>0.4375</v>
      </c>
      <c r="J8">
        <f t="shared" si="1"/>
        <v>7</v>
      </c>
      <c r="M8">
        <v>7</v>
      </c>
      <c r="N8" t="str">
        <f>multipleNPntNPnt(getText(L$2),getText(M8))</f>
        <v>0.02734375</v>
      </c>
    </row>
    <row r="9" spans="2:14" x14ac:dyDescent="0.15">
      <c r="B9">
        <v>-8</v>
      </c>
      <c r="C9" t="str">
        <f t="shared" si="2"/>
        <v>0.00390625</v>
      </c>
      <c r="H9">
        <v>8</v>
      </c>
      <c r="I9">
        <f t="shared" si="0"/>
        <v>0.5</v>
      </c>
      <c r="J9">
        <f t="shared" si="1"/>
        <v>8</v>
      </c>
      <c r="M9">
        <v>8</v>
      </c>
      <c r="N9" t="str">
        <f>multipleNPntNPnt(getText(L$2),getText(M9))</f>
        <v>0.03125</v>
      </c>
    </row>
    <row r="10" spans="2:14" x14ac:dyDescent="0.15">
      <c r="B10">
        <v>-9</v>
      </c>
      <c r="C10" t="str">
        <f t="shared" si="2"/>
        <v>0.001953125</v>
      </c>
      <c r="H10">
        <v>9</v>
      </c>
      <c r="I10">
        <f t="shared" si="0"/>
        <v>0.5625</v>
      </c>
      <c r="J10">
        <f t="shared" si="1"/>
        <v>9</v>
      </c>
      <c r="M10">
        <v>9</v>
      </c>
      <c r="N10" t="str">
        <f>multipleNPntNPnt(getText(L$2),getText(M10))</f>
        <v>0.03515625</v>
      </c>
    </row>
    <row r="11" spans="2:14" x14ac:dyDescent="0.15">
      <c r="B11">
        <v>-10</v>
      </c>
      <c r="C11" t="str">
        <f t="shared" si="2"/>
        <v>0.0009765625</v>
      </c>
      <c r="H11">
        <v>10</v>
      </c>
      <c r="I11">
        <f t="shared" si="0"/>
        <v>0.625</v>
      </c>
      <c r="J11">
        <f t="shared" si="1"/>
        <v>10</v>
      </c>
      <c r="M11">
        <v>10</v>
      </c>
      <c r="N11" t="str">
        <f>multipleNPntNPnt(getText(L$2),getText(M11))</f>
        <v>0.0390625</v>
      </c>
    </row>
    <row r="12" spans="2:14" x14ac:dyDescent="0.15">
      <c r="B12">
        <v>-11</v>
      </c>
      <c r="C12" t="str">
        <f t="shared" si="2"/>
        <v>0.00048828125</v>
      </c>
      <c r="H12">
        <v>11</v>
      </c>
      <c r="I12">
        <f t="shared" si="0"/>
        <v>0.6875</v>
      </c>
      <c r="J12">
        <f t="shared" si="1"/>
        <v>11</v>
      </c>
      <c r="M12">
        <v>11</v>
      </c>
      <c r="N12" t="str">
        <f>multipleNPntNPnt(getText(L$2),getText(M12))</f>
        <v>0.04296875</v>
      </c>
    </row>
    <row r="13" spans="2:14" x14ac:dyDescent="0.15">
      <c r="B13">
        <v>-12</v>
      </c>
      <c r="C13" t="str">
        <f t="shared" si="2"/>
        <v>0.000244140625</v>
      </c>
      <c r="H13">
        <v>12</v>
      </c>
      <c r="I13">
        <f t="shared" si="0"/>
        <v>0.75</v>
      </c>
      <c r="J13">
        <f t="shared" si="1"/>
        <v>12</v>
      </c>
      <c r="M13">
        <v>12</v>
      </c>
      <c r="N13" t="str">
        <f>multipleNPntNPnt(getText(L$2),getText(M13))</f>
        <v>0.046875</v>
      </c>
    </row>
    <row r="14" spans="2:14" x14ac:dyDescent="0.15">
      <c r="B14">
        <v>-13</v>
      </c>
      <c r="C14" t="str">
        <f t="shared" si="2"/>
        <v>0.0001220703125</v>
      </c>
      <c r="H14">
        <v>13</v>
      </c>
      <c r="I14">
        <f t="shared" si="0"/>
        <v>0.8125</v>
      </c>
      <c r="J14">
        <f t="shared" si="1"/>
        <v>13</v>
      </c>
      <c r="M14">
        <v>13</v>
      </c>
      <c r="N14" t="str">
        <f>multipleNPntNPnt(getText(L$2),getText(M14))</f>
        <v>0.05078125</v>
      </c>
    </row>
    <row r="15" spans="2:14" x14ac:dyDescent="0.15">
      <c r="B15">
        <v>-14</v>
      </c>
      <c r="C15" t="str">
        <f t="shared" si="2"/>
        <v>0.00006103515625</v>
      </c>
      <c r="H15">
        <v>14</v>
      </c>
      <c r="I15">
        <f t="shared" si="0"/>
        <v>0.875</v>
      </c>
      <c r="J15">
        <f t="shared" si="1"/>
        <v>14</v>
      </c>
      <c r="M15">
        <v>14</v>
      </c>
      <c r="N15" t="str">
        <f>multipleNPntNPnt(getText(L$2),getText(M15))</f>
        <v>0.0546875</v>
      </c>
    </row>
    <row r="16" spans="2:14" x14ac:dyDescent="0.15">
      <c r="B16">
        <v>-15</v>
      </c>
      <c r="C16" t="str">
        <f t="shared" si="2"/>
        <v>0.000030517578125</v>
      </c>
      <c r="H16">
        <v>15</v>
      </c>
      <c r="I16">
        <f t="shared" si="0"/>
        <v>0.9375</v>
      </c>
      <c r="J16">
        <f t="shared" si="1"/>
        <v>15</v>
      </c>
      <c r="M16">
        <v>15</v>
      </c>
      <c r="N16" t="str">
        <f>multipleNPntNPnt(getText(L$2),getText(M16))</f>
        <v>0.05859375</v>
      </c>
    </row>
    <row r="17" spans="2:14" x14ac:dyDescent="0.15">
      <c r="B17">
        <v>-16</v>
      </c>
      <c r="C17" t="str">
        <f t="shared" si="2"/>
        <v>0.0000152587890625</v>
      </c>
      <c r="H17">
        <v>16</v>
      </c>
      <c r="I17">
        <f t="shared" si="0"/>
        <v>1</v>
      </c>
      <c r="J17">
        <f t="shared" si="1"/>
        <v>16</v>
      </c>
      <c r="M17">
        <v>16</v>
      </c>
      <c r="N17" t="str">
        <f>multipleNPntNPnt(getText(L$2),getText(M17))</f>
        <v>0.0625</v>
      </c>
    </row>
    <row r="18" spans="2:14" x14ac:dyDescent="0.15">
      <c r="B18">
        <v>-17</v>
      </c>
      <c r="C18" t="str">
        <f t="shared" si="2"/>
        <v>0.00000762939453125</v>
      </c>
    </row>
    <row r="19" spans="2:14" x14ac:dyDescent="0.15">
      <c r="B19">
        <v>-18</v>
      </c>
      <c r="C19" t="str">
        <f t="shared" si="2"/>
        <v>0.000003814697265625</v>
      </c>
    </row>
    <row r="20" spans="2:14" x14ac:dyDescent="0.15">
      <c r="B20">
        <v>-19</v>
      </c>
      <c r="C20" t="str">
        <f t="shared" si="2"/>
        <v>0.0000019073486328125</v>
      </c>
    </row>
    <row r="21" spans="2:14" x14ac:dyDescent="0.15">
      <c r="B21">
        <v>-20</v>
      </c>
      <c r="C21" t="str">
        <f t="shared" si="2"/>
        <v>0.00000095367431640625</v>
      </c>
    </row>
    <row r="22" spans="2:14" x14ac:dyDescent="0.15">
      <c r="B22">
        <v>-21</v>
      </c>
      <c r="C22" t="str">
        <f t="shared" ref="C22:C85" si="3">divideNPntByOneDig(C21,"2")</f>
        <v>0.000000476837158203125</v>
      </c>
    </row>
    <row r="23" spans="2:14" x14ac:dyDescent="0.15">
      <c r="B23">
        <v>-22</v>
      </c>
      <c r="C23" t="str">
        <f t="shared" si="3"/>
        <v>0.0000002384185791015625</v>
      </c>
    </row>
    <row r="24" spans="2:14" x14ac:dyDescent="0.15">
      <c r="B24">
        <v>-23</v>
      </c>
      <c r="C24" t="str">
        <f t="shared" si="3"/>
        <v>0.00000011920928955078125</v>
      </c>
    </row>
    <row r="25" spans="2:14" x14ac:dyDescent="0.15">
      <c r="B25">
        <v>-24</v>
      </c>
      <c r="C25" t="str">
        <f t="shared" si="3"/>
        <v>0.000000059604644775390625</v>
      </c>
    </row>
    <row r="26" spans="2:14" x14ac:dyDescent="0.15">
      <c r="B26">
        <v>-25</v>
      </c>
      <c r="C26" t="str">
        <f t="shared" si="3"/>
        <v>0.0000000298023223876953125</v>
      </c>
    </row>
    <row r="27" spans="2:14" x14ac:dyDescent="0.15">
      <c r="B27">
        <v>-26</v>
      </c>
      <c r="C27" t="str">
        <f t="shared" si="3"/>
        <v>0.00000001490116119384765625</v>
      </c>
    </row>
    <row r="28" spans="2:14" x14ac:dyDescent="0.15">
      <c r="B28">
        <v>-27</v>
      </c>
      <c r="C28" t="str">
        <f t="shared" si="3"/>
        <v>0.000000007450580596923828125</v>
      </c>
    </row>
    <row r="29" spans="2:14" x14ac:dyDescent="0.15">
      <c r="B29">
        <v>-28</v>
      </c>
      <c r="C29" t="str">
        <f t="shared" si="3"/>
        <v>0.0000000037252902984619140625</v>
      </c>
    </row>
    <row r="30" spans="2:14" x14ac:dyDescent="0.15">
      <c r="B30">
        <v>-29</v>
      </c>
      <c r="C30" t="str">
        <f t="shared" si="3"/>
        <v>0.00000000186264514923095703125</v>
      </c>
    </row>
    <row r="31" spans="2:14" x14ac:dyDescent="0.15">
      <c r="B31">
        <v>-30</v>
      </c>
      <c r="C31" t="str">
        <f t="shared" si="3"/>
        <v>0.000000000931322574615478515625</v>
      </c>
    </row>
    <row r="32" spans="2:14" x14ac:dyDescent="0.15">
      <c r="B32">
        <v>-31</v>
      </c>
      <c r="C32" t="str">
        <f t="shared" si="3"/>
        <v>0.0000000004656612873077392578125</v>
      </c>
    </row>
    <row r="33" spans="2:3" x14ac:dyDescent="0.15">
      <c r="B33">
        <v>-32</v>
      </c>
      <c r="C33" t="str">
        <f t="shared" si="3"/>
        <v>0.00000000023283064365386962890625</v>
      </c>
    </row>
    <row r="34" spans="2:3" x14ac:dyDescent="0.15">
      <c r="B34">
        <v>-33</v>
      </c>
      <c r="C34" t="str">
        <f t="shared" si="3"/>
        <v>0.000000000116415321826934814453125</v>
      </c>
    </row>
    <row r="35" spans="2:3" x14ac:dyDescent="0.15">
      <c r="B35">
        <v>-34</v>
      </c>
      <c r="C35" t="str">
        <f t="shared" si="3"/>
        <v>0.0000000000582076609134674072265625</v>
      </c>
    </row>
    <row r="36" spans="2:3" x14ac:dyDescent="0.15">
      <c r="B36">
        <v>-35</v>
      </c>
      <c r="C36" t="str">
        <f t="shared" si="3"/>
        <v>0.00000000002910383045673370361328125</v>
      </c>
    </row>
    <row r="37" spans="2:3" x14ac:dyDescent="0.15">
      <c r="B37">
        <v>-36</v>
      </c>
      <c r="C37" t="str">
        <f t="shared" si="3"/>
        <v>0.000000000014551915228366851806640625</v>
      </c>
    </row>
    <row r="38" spans="2:3" x14ac:dyDescent="0.15">
      <c r="B38">
        <v>-37</v>
      </c>
      <c r="C38" t="str">
        <f t="shared" si="3"/>
        <v>0.0000000000072759576141834259033203125</v>
      </c>
    </row>
    <row r="39" spans="2:3" x14ac:dyDescent="0.15">
      <c r="B39">
        <v>-38</v>
      </c>
      <c r="C39" t="str">
        <f t="shared" si="3"/>
        <v>0.00000000000363797880709171295166015625</v>
      </c>
    </row>
    <row r="40" spans="2:3" x14ac:dyDescent="0.15">
      <c r="B40">
        <v>-39</v>
      </c>
      <c r="C40" t="str">
        <f t="shared" si="3"/>
        <v>0.000000000001818989403545856475830078125</v>
      </c>
    </row>
    <row r="41" spans="2:3" x14ac:dyDescent="0.15">
      <c r="B41">
        <v>-40</v>
      </c>
      <c r="C41" t="str">
        <f t="shared" si="3"/>
        <v>0.0000000000009094947017729282379150390625</v>
      </c>
    </row>
    <row r="42" spans="2:3" x14ac:dyDescent="0.15">
      <c r="B42">
        <v>-41</v>
      </c>
      <c r="C42" t="str">
        <f t="shared" si="3"/>
        <v>0.00000000000045474735088646411895751953125</v>
      </c>
    </row>
    <row r="43" spans="2:3" x14ac:dyDescent="0.15">
      <c r="B43">
        <v>-42</v>
      </c>
      <c r="C43" t="str">
        <f t="shared" si="3"/>
        <v>0.000000000000227373675443232059478759765625</v>
      </c>
    </row>
    <row r="44" spans="2:3" x14ac:dyDescent="0.15">
      <c r="B44">
        <v>-43</v>
      </c>
      <c r="C44" t="str">
        <f t="shared" si="3"/>
        <v>0.0000000000001136868377216160297393798828125</v>
      </c>
    </row>
    <row r="45" spans="2:3" x14ac:dyDescent="0.15">
      <c r="B45">
        <v>-44</v>
      </c>
      <c r="C45" t="str">
        <f t="shared" si="3"/>
        <v>0.00000000000005684341886080801486968994140625</v>
      </c>
    </row>
    <row r="46" spans="2:3" x14ac:dyDescent="0.15">
      <c r="B46">
        <v>-45</v>
      </c>
      <c r="C46" t="str">
        <f t="shared" si="3"/>
        <v>0.000000000000028421709430404007434844970703125</v>
      </c>
    </row>
    <row r="47" spans="2:3" x14ac:dyDescent="0.15">
      <c r="B47">
        <v>-46</v>
      </c>
      <c r="C47" t="str">
        <f t="shared" si="3"/>
        <v>0.0000000000000142108547152020037174224853515625</v>
      </c>
    </row>
    <row r="48" spans="2:3" x14ac:dyDescent="0.15">
      <c r="B48">
        <v>-47</v>
      </c>
      <c r="C48" t="str">
        <f t="shared" si="3"/>
        <v>0.00000000000000710542735760100185871124267578125</v>
      </c>
    </row>
    <row r="49" spans="2:3" x14ac:dyDescent="0.15">
      <c r="B49">
        <v>-48</v>
      </c>
      <c r="C49" t="str">
        <f t="shared" si="3"/>
        <v>0.000000000000003552713678800500929355621337890625</v>
      </c>
    </row>
    <row r="50" spans="2:3" x14ac:dyDescent="0.15">
      <c r="B50">
        <v>-49</v>
      </c>
      <c r="C50" t="str">
        <f t="shared" si="3"/>
        <v>0.0000000000000017763568394002504646778106689453125</v>
      </c>
    </row>
    <row r="51" spans="2:3" x14ac:dyDescent="0.15">
      <c r="B51">
        <v>-50</v>
      </c>
      <c r="C51" t="str">
        <f t="shared" si="3"/>
        <v>0.00000000000000088817841970012523233890533447265625</v>
      </c>
    </row>
    <row r="52" spans="2:3" x14ac:dyDescent="0.15">
      <c r="B52">
        <v>-51</v>
      </c>
      <c r="C52" t="str">
        <f t="shared" si="3"/>
        <v>0.000000000000000444089209850062616169452667236328125</v>
      </c>
    </row>
    <row r="53" spans="2:3" x14ac:dyDescent="0.15">
      <c r="B53">
        <v>-52</v>
      </c>
      <c r="C53" t="str">
        <f t="shared" si="3"/>
        <v>0.0000000000000002220446049250313080847263336181640625</v>
      </c>
    </row>
    <row r="54" spans="2:3" x14ac:dyDescent="0.15">
      <c r="B54">
        <v>-53</v>
      </c>
      <c r="C54" t="str">
        <f t="shared" si="3"/>
        <v>0.00000000000000011102230246251565404236316680908203125</v>
      </c>
    </row>
    <row r="55" spans="2:3" x14ac:dyDescent="0.15">
      <c r="B55">
        <v>-54</v>
      </c>
      <c r="C55" t="str">
        <f t="shared" si="3"/>
        <v>0.000000000000000055511151231257827021181583404541015625</v>
      </c>
    </row>
    <row r="56" spans="2:3" x14ac:dyDescent="0.15">
      <c r="B56">
        <v>-55</v>
      </c>
      <c r="C56" t="str">
        <f t="shared" si="3"/>
        <v>0.0000000000000000277555756156289135105907917022705078125</v>
      </c>
    </row>
    <row r="57" spans="2:3" x14ac:dyDescent="0.15">
      <c r="B57">
        <v>-56</v>
      </c>
      <c r="C57" t="str">
        <f t="shared" si="3"/>
        <v>0.00000000000000001387778780781445675529539585113525390625</v>
      </c>
    </row>
    <row r="58" spans="2:3" x14ac:dyDescent="0.15">
      <c r="B58">
        <v>-57</v>
      </c>
      <c r="C58" t="str">
        <f t="shared" si="3"/>
        <v>0.000000000000000006938893903907228377647697925567626953125</v>
      </c>
    </row>
    <row r="59" spans="2:3" x14ac:dyDescent="0.15">
      <c r="B59">
        <v>-58</v>
      </c>
      <c r="C59" t="str">
        <f t="shared" si="3"/>
        <v>0.0000000000000000034694469519536141888238489627838134765625</v>
      </c>
    </row>
    <row r="60" spans="2:3" x14ac:dyDescent="0.15">
      <c r="B60">
        <v>-59</v>
      </c>
      <c r="C60" t="str">
        <f t="shared" si="3"/>
        <v>0.00000000000000000173472347597680709441192448139190673828125</v>
      </c>
    </row>
    <row r="61" spans="2:3" x14ac:dyDescent="0.15">
      <c r="B61">
        <v>-60</v>
      </c>
      <c r="C61" t="str">
        <f t="shared" si="3"/>
        <v>0.000000000000000000867361737988403547205962240695953369140625</v>
      </c>
    </row>
    <row r="62" spans="2:3" x14ac:dyDescent="0.15">
      <c r="B62">
        <v>-61</v>
      </c>
      <c r="C62" t="str">
        <f t="shared" si="3"/>
        <v>0.0000000000000000004336808689942017736029811203479766845703125</v>
      </c>
    </row>
    <row r="63" spans="2:3" x14ac:dyDescent="0.15">
      <c r="B63">
        <v>-62</v>
      </c>
      <c r="C63" t="str">
        <f t="shared" si="3"/>
        <v>0.00000000000000000021684043449710088680149056017398834228515625</v>
      </c>
    </row>
    <row r="64" spans="2:3" x14ac:dyDescent="0.15">
      <c r="B64">
        <v>-63</v>
      </c>
      <c r="C64" t="str">
        <f t="shared" si="3"/>
        <v>0.000000000000000000108420217248550443400745280086994171142578125</v>
      </c>
    </row>
    <row r="65" spans="2:3" x14ac:dyDescent="0.15">
      <c r="B65">
        <v>-64</v>
      </c>
      <c r="C65" t="str">
        <f t="shared" si="3"/>
        <v>0.0000000000000000000542101086242752217003726400434970855712890625</v>
      </c>
    </row>
    <row r="66" spans="2:3" x14ac:dyDescent="0.15">
      <c r="B66">
        <v>-65</v>
      </c>
      <c r="C66" t="str">
        <f t="shared" si="3"/>
        <v>0.00000000000000000002710505431213761085018632002174854278564453125</v>
      </c>
    </row>
    <row r="67" spans="2:3" x14ac:dyDescent="0.15">
      <c r="B67">
        <v>-66</v>
      </c>
      <c r="C67" t="str">
        <f t="shared" si="3"/>
        <v>0.000000000000000000013552527156068805425093160010874271392822265625</v>
      </c>
    </row>
    <row r="68" spans="2:3" x14ac:dyDescent="0.15">
      <c r="B68">
        <v>-67</v>
      </c>
      <c r="C68" t="str">
        <f t="shared" si="3"/>
        <v>0.0000000000000000000067762635780344027125465800054371356964111328125</v>
      </c>
    </row>
    <row r="69" spans="2:3" x14ac:dyDescent="0.15">
      <c r="B69">
        <v>-68</v>
      </c>
      <c r="C69" t="str">
        <f t="shared" si="3"/>
        <v>0.00000000000000000000338813178901720135627329000271856784820556640625</v>
      </c>
    </row>
    <row r="70" spans="2:3" x14ac:dyDescent="0.15">
      <c r="B70">
        <v>-69</v>
      </c>
      <c r="C70" t="str">
        <f t="shared" si="3"/>
        <v>0.000000000000000000001694065894508600678136645001359283924102783203125</v>
      </c>
    </row>
    <row r="71" spans="2:3" x14ac:dyDescent="0.15">
      <c r="B71">
        <v>-70</v>
      </c>
      <c r="C71" t="str">
        <f t="shared" si="3"/>
        <v>0.0000000000000000000008470329472543003390683225006796419620513916015625</v>
      </c>
    </row>
    <row r="72" spans="2:3" x14ac:dyDescent="0.15">
      <c r="B72">
        <v>-71</v>
      </c>
      <c r="C72" t="str">
        <f t="shared" si="3"/>
        <v>0.00000000000000000000042351647362715016953416125033982098102569580078125</v>
      </c>
    </row>
    <row r="73" spans="2:3" x14ac:dyDescent="0.15">
      <c r="B73">
        <v>-72</v>
      </c>
      <c r="C73" t="str">
        <f t="shared" si="3"/>
        <v>0.000000000000000000000211758236813575084767080625169910490512847900390625</v>
      </c>
    </row>
    <row r="74" spans="2:3" x14ac:dyDescent="0.15">
      <c r="B74">
        <v>-73</v>
      </c>
      <c r="C74" t="str">
        <f t="shared" si="3"/>
        <v>0.0000000000000000000001058791184067875423835403125849552452564239501953125</v>
      </c>
    </row>
    <row r="75" spans="2:3" x14ac:dyDescent="0.15">
      <c r="B75">
        <v>-74</v>
      </c>
      <c r="C75" t="str">
        <f t="shared" si="3"/>
        <v>0.00000000000000000000005293955920339377119177015629247762262821197509765625</v>
      </c>
    </row>
    <row r="76" spans="2:3" x14ac:dyDescent="0.15">
      <c r="B76">
        <v>-75</v>
      </c>
      <c r="C76" t="str">
        <f t="shared" si="3"/>
        <v>0.000000000000000000000026469779601696885595885078146238811314105987548828125</v>
      </c>
    </row>
    <row r="77" spans="2:3" x14ac:dyDescent="0.15">
      <c r="B77">
        <v>-76</v>
      </c>
      <c r="C77" t="str">
        <f t="shared" si="3"/>
        <v>0.0000000000000000000000132348898008484427979425390731194056570529937744140625</v>
      </c>
    </row>
    <row r="78" spans="2:3" x14ac:dyDescent="0.15">
      <c r="B78">
        <v>-77</v>
      </c>
      <c r="C78" t="str">
        <f t="shared" si="3"/>
        <v>0.00000000000000000000000661744490042422139897126953655970282852649688720703125</v>
      </c>
    </row>
    <row r="79" spans="2:3" x14ac:dyDescent="0.15">
      <c r="B79">
        <v>-78</v>
      </c>
      <c r="C79" t="str">
        <f t="shared" si="3"/>
        <v>0.000000000000000000000003308722450212110699485634768279851414263248443603515625</v>
      </c>
    </row>
    <row r="80" spans="2:3" x14ac:dyDescent="0.15">
      <c r="B80">
        <v>-79</v>
      </c>
      <c r="C80" t="str">
        <f t="shared" si="3"/>
        <v>0.0000000000000000000000016543612251060553497428173841399257071316242218017578125</v>
      </c>
    </row>
    <row r="81" spans="2:3" x14ac:dyDescent="0.15">
      <c r="B81">
        <v>-80</v>
      </c>
      <c r="C81" t="str">
        <f t="shared" si="3"/>
        <v>0.00000000000000000000000082718061255302767487140869206996285356581211090087890625</v>
      </c>
    </row>
    <row r="82" spans="2:3" x14ac:dyDescent="0.15">
      <c r="B82">
        <v>-81</v>
      </c>
      <c r="C82" t="str">
        <f t="shared" si="3"/>
        <v>0.000000000000000000000000413590306276513837435704346034981426782906055450439453125</v>
      </c>
    </row>
    <row r="83" spans="2:3" x14ac:dyDescent="0.15">
      <c r="B83">
        <v>-82</v>
      </c>
      <c r="C83" t="str">
        <f t="shared" si="3"/>
        <v>0.0000000000000000000000002067951531382569187178521730174907133914530277252197265625</v>
      </c>
    </row>
    <row r="84" spans="2:3" x14ac:dyDescent="0.15">
      <c r="B84">
        <v>-83</v>
      </c>
      <c r="C84" t="str">
        <f t="shared" si="3"/>
        <v>0.00000000000000000000000010339757656912845935892608650874535669572651386260986328125</v>
      </c>
    </row>
    <row r="85" spans="2:3" x14ac:dyDescent="0.15">
      <c r="B85">
        <v>-84</v>
      </c>
      <c r="C85" t="str">
        <f t="shared" si="3"/>
        <v>0.000000000000000000000000051698788284564229679463043254372678347863256931304931640625</v>
      </c>
    </row>
    <row r="86" spans="2:3" x14ac:dyDescent="0.15">
      <c r="B86">
        <v>-85</v>
      </c>
      <c r="C86" t="str">
        <f t="shared" ref="C86:C149" si="4">divideNPntByOneDig(C85,"2")</f>
        <v>0.0000000000000000000000000258493941422821148397315216271863391739316284656524658203125</v>
      </c>
    </row>
    <row r="87" spans="2:3" x14ac:dyDescent="0.15">
      <c r="B87">
        <v>-86</v>
      </c>
      <c r="C87" t="str">
        <f t="shared" si="4"/>
        <v>0.00000000000000000000000001292469707114105741986576081359316958696581423282623291015625</v>
      </c>
    </row>
    <row r="88" spans="2:3" x14ac:dyDescent="0.15">
      <c r="B88">
        <v>-87</v>
      </c>
      <c r="C88" t="str">
        <f t="shared" si="4"/>
        <v>0.000000000000000000000000006462348535570528709932880406796584793482907116413116455078125</v>
      </c>
    </row>
    <row r="89" spans="2:3" x14ac:dyDescent="0.15">
      <c r="B89">
        <v>-88</v>
      </c>
      <c r="C89" t="str">
        <f t="shared" si="4"/>
        <v>0.0000000000000000000000000032311742677852643549664402033982923967414535582065582275390625</v>
      </c>
    </row>
    <row r="90" spans="2:3" x14ac:dyDescent="0.15">
      <c r="B90">
        <v>-89</v>
      </c>
      <c r="C90" t="str">
        <f t="shared" si="4"/>
        <v>0.00000000000000000000000000161558713389263217748322010169914619837072677910327911376953125</v>
      </c>
    </row>
    <row r="91" spans="2:3" x14ac:dyDescent="0.15">
      <c r="B91">
        <v>-90</v>
      </c>
      <c r="C91" t="str">
        <f t="shared" si="4"/>
        <v>0.000000000000000000000000000807793566946316088741610050849573099185363389551639556884765625</v>
      </c>
    </row>
    <row r="92" spans="2:3" x14ac:dyDescent="0.15">
      <c r="B92">
        <v>-91</v>
      </c>
      <c r="C92" t="str">
        <f t="shared" si="4"/>
        <v>0.0000000000000000000000000004038967834731580443708050254247865495926816947758197784423828125</v>
      </c>
    </row>
    <row r="93" spans="2:3" x14ac:dyDescent="0.15">
      <c r="B93">
        <v>-92</v>
      </c>
      <c r="C93" t="str">
        <f t="shared" si="4"/>
        <v>0.00000000000000000000000000020194839173657902218540251271239327479634084738790988922119140625</v>
      </c>
    </row>
    <row r="94" spans="2:3" x14ac:dyDescent="0.15">
      <c r="B94">
        <v>-93</v>
      </c>
      <c r="C94" t="str">
        <f t="shared" si="4"/>
        <v>0.000000000000000000000000000100974195868289511092701256356196637398170423693954944610595703125</v>
      </c>
    </row>
    <row r="95" spans="2:3" x14ac:dyDescent="0.15">
      <c r="B95">
        <v>-94</v>
      </c>
      <c r="C95" t="str">
        <f t="shared" si="4"/>
        <v>0.0000000000000000000000000000504870979341447555463506281780983186990852118469774723052978515625</v>
      </c>
    </row>
    <row r="96" spans="2:3" x14ac:dyDescent="0.15">
      <c r="B96">
        <v>-95</v>
      </c>
      <c r="C96" t="str">
        <f t="shared" si="4"/>
        <v>0.00000000000000000000000000002524354896707237777317531408904915934954260592348873615264892578125</v>
      </c>
    </row>
    <row r="97" spans="2:3" x14ac:dyDescent="0.15">
      <c r="B97">
        <v>-96</v>
      </c>
      <c r="C97" t="str">
        <f t="shared" si="4"/>
        <v>0.000000000000000000000000000012621774483536188886587657044524579674771302961744368076324462890625</v>
      </c>
    </row>
    <row r="98" spans="2:3" x14ac:dyDescent="0.15">
      <c r="B98">
        <v>-97</v>
      </c>
      <c r="C98" t="str">
        <f t="shared" si="4"/>
        <v>0.0000000000000000000000000000063108872417680944432938285222622898373856514808721840381622314453125</v>
      </c>
    </row>
    <row r="99" spans="2:3" x14ac:dyDescent="0.15">
      <c r="B99">
        <v>-98</v>
      </c>
      <c r="C99" t="str">
        <f t="shared" si="4"/>
        <v>0.00000000000000000000000000000315544362088404722164691426113114491869282574043609201908111572265625</v>
      </c>
    </row>
    <row r="100" spans="2:3" x14ac:dyDescent="0.15">
      <c r="B100">
        <v>-99</v>
      </c>
      <c r="C100" t="str">
        <f t="shared" si="4"/>
        <v>0.000000000000000000000000000001577721810442023610823457130565572459346412870218046009540557861328125</v>
      </c>
    </row>
    <row r="101" spans="2:3" x14ac:dyDescent="0.15">
      <c r="B101">
        <v>-100</v>
      </c>
      <c r="C101" t="str">
        <f t="shared" si="4"/>
        <v>0.0000000000000000000000000000007888609052210118054117285652827862296732064351090230047702789306640625</v>
      </c>
    </row>
    <row r="102" spans="2:3" x14ac:dyDescent="0.15">
      <c r="B102">
        <v>-101</v>
      </c>
      <c r="C102" t="str">
        <f t="shared" si="4"/>
        <v>0.00000000000000000000000000000039443045261050590270586428264139311483660321755451150238513946533203125</v>
      </c>
    </row>
    <row r="103" spans="2:3" x14ac:dyDescent="0.15">
      <c r="B103">
        <v>-102</v>
      </c>
      <c r="C103" t="str">
        <f t="shared" si="4"/>
        <v>0.000000000000000000000000000000197215226305252951352932141320696557418301608777255751192569732666015625</v>
      </c>
    </row>
    <row r="104" spans="2:3" x14ac:dyDescent="0.15">
      <c r="B104">
        <v>-103</v>
      </c>
      <c r="C104" t="str">
        <f t="shared" si="4"/>
        <v>0.0000000000000000000000000000000986076131526264756764660706603482787091508043886278755962848663330078125</v>
      </c>
    </row>
    <row r="105" spans="2:3" x14ac:dyDescent="0.15">
      <c r="B105">
        <v>-104</v>
      </c>
      <c r="C105" t="str">
        <f t="shared" si="4"/>
        <v>0.00000000000000000000000000000004930380657631323783823303533017413935457540219431393779814243316650390625</v>
      </c>
    </row>
    <row r="106" spans="2:3" x14ac:dyDescent="0.15">
      <c r="B106">
        <v>-105</v>
      </c>
      <c r="C106" t="str">
        <f t="shared" si="4"/>
        <v>0.000000000000000000000000000000024651903288156618919116517665087069677287701097156968899071216583251953125</v>
      </c>
    </row>
    <row r="107" spans="2:3" x14ac:dyDescent="0.15">
      <c r="B107">
        <v>-106</v>
      </c>
      <c r="C107" t="str">
        <f t="shared" si="4"/>
        <v>0.0000000000000000000000000000000123259516440783094595582588325435348386438505485784844495356082916259765625</v>
      </c>
    </row>
    <row r="108" spans="2:3" x14ac:dyDescent="0.15">
      <c r="B108">
        <v>-107</v>
      </c>
      <c r="C108" t="str">
        <f t="shared" si="4"/>
        <v>0.00000000000000000000000000000000616297582203915472977912941627176741932192527428924222476780414581298828125</v>
      </c>
    </row>
    <row r="109" spans="2:3" x14ac:dyDescent="0.15">
      <c r="B109">
        <v>-108</v>
      </c>
      <c r="C109" t="str">
        <f t="shared" si="4"/>
        <v>0.000000000000000000000000000000003081487911019577364889564708135883709660962637144621112383902072906494140625</v>
      </c>
    </row>
    <row r="110" spans="2:3" x14ac:dyDescent="0.15">
      <c r="B110">
        <v>-109</v>
      </c>
      <c r="C110" t="str">
        <f t="shared" si="4"/>
        <v>0.0000000000000000000000000000000015407439555097886824447823540679418548304813185723105561919510364532470703125</v>
      </c>
    </row>
    <row r="111" spans="2:3" x14ac:dyDescent="0.15">
      <c r="B111">
        <v>-110</v>
      </c>
      <c r="C111" t="str">
        <f t="shared" si="4"/>
        <v>0.00000000000000000000000000000000077037197775489434122239117703397092741524065928615527809597551822662353515625</v>
      </c>
    </row>
    <row r="112" spans="2:3" x14ac:dyDescent="0.15">
      <c r="B112">
        <v>-111</v>
      </c>
      <c r="C112" t="str">
        <f t="shared" si="4"/>
        <v>0.000000000000000000000000000000000385185988877447170611195588516985463707620329643077639047987759113311767578125</v>
      </c>
    </row>
    <row r="113" spans="2:3" x14ac:dyDescent="0.15">
      <c r="B113">
        <v>-112</v>
      </c>
      <c r="C113" t="str">
        <f t="shared" si="4"/>
        <v>0.0000000000000000000000000000000001925929944387235853055977942584927318538101648215388195239938795566558837890625</v>
      </c>
    </row>
    <row r="114" spans="2:3" x14ac:dyDescent="0.15">
      <c r="B114">
        <v>-113</v>
      </c>
      <c r="C114" t="str">
        <f t="shared" si="4"/>
        <v>0.00000000000000000000000000000000009629649721936179265279889712924636592690508241076940976199693977832794189453125</v>
      </c>
    </row>
    <row r="115" spans="2:3" x14ac:dyDescent="0.15">
      <c r="B115">
        <v>-114</v>
      </c>
      <c r="C115" t="str">
        <f t="shared" si="4"/>
        <v>0.000000000000000000000000000000000048148248609680896326399448564623182963452541205384704880998469889163970947265625</v>
      </c>
    </row>
    <row r="116" spans="2:3" x14ac:dyDescent="0.15">
      <c r="B116">
        <v>-115</v>
      </c>
      <c r="C116" t="str">
        <f t="shared" si="4"/>
        <v>0.0000000000000000000000000000000000240741243048404481631997242823115914817262706026923524404992349445819854736328125</v>
      </c>
    </row>
    <row r="117" spans="2:3" x14ac:dyDescent="0.15">
      <c r="B117">
        <v>-116</v>
      </c>
      <c r="C117" t="str">
        <f t="shared" si="4"/>
        <v>0.00000000000000000000000000000000001203706215242022408159986214115579574086313530134617622024961747229099273681640625</v>
      </c>
    </row>
    <row r="118" spans="2:3" x14ac:dyDescent="0.15">
      <c r="B118">
        <v>-117</v>
      </c>
      <c r="C118" t="str">
        <f t="shared" si="4"/>
        <v>0.000000000000000000000000000000000006018531076210112040799931070577897870431567650673088110124808736145496368408203125</v>
      </c>
    </row>
    <row r="119" spans="2:3" x14ac:dyDescent="0.15">
      <c r="B119">
        <v>-118</v>
      </c>
      <c r="C119" t="str">
        <f t="shared" si="4"/>
        <v>0.0000000000000000000000000000000000030092655381050560203999655352889489352157838253365440550624043680727481842041015625</v>
      </c>
    </row>
    <row r="120" spans="2:3" x14ac:dyDescent="0.15">
      <c r="B120">
        <v>-119</v>
      </c>
      <c r="C120" t="str">
        <f t="shared" si="4"/>
        <v>0.00000000000000000000000000000000000150463276905252801019998276764447446760789191266827202753120218403637409210205078125</v>
      </c>
    </row>
    <row r="121" spans="2:3" x14ac:dyDescent="0.15">
      <c r="B121">
        <v>-120</v>
      </c>
      <c r="C121" t="str">
        <f t="shared" si="4"/>
        <v>0.000000000000000000000000000000000000752316384526264005099991383822237233803945956334136013765601092018187046051025390625</v>
      </c>
    </row>
    <row r="122" spans="2:3" x14ac:dyDescent="0.15">
      <c r="B122">
        <v>-121</v>
      </c>
      <c r="C122" t="str">
        <f t="shared" si="4"/>
        <v>0.0000000000000000000000000000000000003761581922631320025499956919111186169019729781670680068828005460090935230255126953125</v>
      </c>
    </row>
    <row r="123" spans="2:3" x14ac:dyDescent="0.15">
      <c r="B123">
        <v>-122</v>
      </c>
      <c r="C123" t="str">
        <f t="shared" si="4"/>
        <v>0.00000000000000000000000000000000000018807909613156600127499784595555930845098648908353400344140027300454676151275634765625</v>
      </c>
    </row>
    <row r="124" spans="2:3" x14ac:dyDescent="0.15">
      <c r="B124">
        <v>-123</v>
      </c>
      <c r="C124" t="str">
        <f t="shared" si="4"/>
        <v>0.000000000000000000000000000000000000094039548065783000637498922977779654225493244541767001720700136502273380756378173828125</v>
      </c>
    </row>
    <row r="125" spans="2:3" x14ac:dyDescent="0.15">
      <c r="B125">
        <v>-124</v>
      </c>
      <c r="C125" t="str">
        <f t="shared" si="4"/>
        <v>0.0000000000000000000000000000000000000470197740328915003187494614888898271127466222708835008603500682511366903781890869140625</v>
      </c>
    </row>
    <row r="126" spans="2:3" x14ac:dyDescent="0.15">
      <c r="B126">
        <v>-125</v>
      </c>
      <c r="C126" t="str">
        <f t="shared" si="4"/>
        <v>0.00000000000000000000000000000000000002350988701644575015937473074444491355637331113544175043017503412556834518909454345703125</v>
      </c>
    </row>
    <row r="127" spans="2:3" x14ac:dyDescent="0.15">
      <c r="B127">
        <v>-126</v>
      </c>
      <c r="C127" t="str">
        <f t="shared" si="4"/>
        <v>0.000000000000000000000000000000000000011754943508222875079687365372222456778186655567720875215087517062784172594547271728515625</v>
      </c>
    </row>
    <row r="128" spans="2:3" x14ac:dyDescent="0.15">
      <c r="B128">
        <v>-127</v>
      </c>
      <c r="C128" t="str">
        <f t="shared" si="4"/>
        <v>0.0000000000000000000000000000000000000058774717541114375398436826861112283890933277838604376075437585313920862972736358642578125</v>
      </c>
    </row>
    <row r="129" spans="2:3" x14ac:dyDescent="0.15">
      <c r="B129">
        <v>-128</v>
      </c>
      <c r="C129" t="str">
        <f t="shared" si="4"/>
        <v>0.00000000000000000000000000000000000000293873587705571876992184134305561419454666389193021880377187926569604314863681793212890625</v>
      </c>
    </row>
    <row r="130" spans="2:3" x14ac:dyDescent="0.15">
      <c r="B130">
        <v>-129</v>
      </c>
      <c r="C130" t="str">
        <f t="shared" si="4"/>
        <v>0.000000000000000000000000000000000000001469367938527859384960920671527807097273331945965109401885939632848021574318408966064453125</v>
      </c>
    </row>
    <row r="131" spans="2:3" x14ac:dyDescent="0.15">
      <c r="B131">
        <v>-130</v>
      </c>
      <c r="C131" t="str">
        <f t="shared" si="4"/>
        <v>0.0000000000000000000000000000000000000007346839692639296924804603357639035486366659729825547009429698164240107871592044830322265625</v>
      </c>
    </row>
    <row r="132" spans="2:3" x14ac:dyDescent="0.15">
      <c r="B132">
        <v>-131</v>
      </c>
      <c r="C132" t="str">
        <f t="shared" si="4"/>
        <v>0.00000000000000000000000000000000000000036734198463196484624023016788195177431833298649127735047148490821200539357960224151611328125</v>
      </c>
    </row>
    <row r="133" spans="2:3" x14ac:dyDescent="0.15">
      <c r="B133">
        <v>-132</v>
      </c>
      <c r="C133" t="str">
        <f t="shared" si="4"/>
        <v>0.000000000000000000000000000000000000000183670992315982423120115083940975887159166493245638675235742454106002696789801120758056640625</v>
      </c>
    </row>
    <row r="134" spans="2:3" x14ac:dyDescent="0.15">
      <c r="B134">
        <v>-133</v>
      </c>
      <c r="C134" t="str">
        <f t="shared" si="4"/>
        <v>0.0000000000000000000000000000000000000000918354961579912115600575419704879435795832466228193376178712270530013483949005603790283203125</v>
      </c>
    </row>
    <row r="135" spans="2:3" x14ac:dyDescent="0.15">
      <c r="B135">
        <v>-134</v>
      </c>
      <c r="C135" t="str">
        <f t="shared" si="4"/>
        <v>0.00000000000000000000000000000000000000004591774807899560578002877098524397178979162331140966880893561352650067419745028018951416015625</v>
      </c>
    </row>
    <row r="136" spans="2:3" x14ac:dyDescent="0.15">
      <c r="B136">
        <v>-135</v>
      </c>
      <c r="C136" t="str">
        <f t="shared" si="4"/>
        <v>0.000000000000000000000000000000000000000022958874039497802890014385492621985894895811655704834404467806763250337098725140094757080078125</v>
      </c>
    </row>
    <row r="137" spans="2:3" x14ac:dyDescent="0.15">
      <c r="B137">
        <v>-136</v>
      </c>
      <c r="C137" t="str">
        <f t="shared" si="4"/>
        <v>0.0000000000000000000000000000000000000000114794370197489014450071927463109929474479058278524172022339033816251685493625700473785400390625</v>
      </c>
    </row>
    <row r="138" spans="2:3" x14ac:dyDescent="0.15">
      <c r="B138">
        <v>-137</v>
      </c>
      <c r="C138" t="str">
        <f t="shared" si="4"/>
        <v>0.00000000000000000000000000000000000000000573971850987445072250359637315549647372395291392620860111695169081258427468128502368927001953125</v>
      </c>
    </row>
    <row r="139" spans="2:3" x14ac:dyDescent="0.15">
      <c r="B139">
        <v>-138</v>
      </c>
      <c r="C139" t="str">
        <f t="shared" si="4"/>
        <v>0.000000000000000000000000000000000000000002869859254937225361251798186577748236861976456963104300558475845406292137340642511844635009765625</v>
      </c>
    </row>
    <row r="140" spans="2:3" x14ac:dyDescent="0.15">
      <c r="B140">
        <v>-139</v>
      </c>
      <c r="C140" t="str">
        <f t="shared" si="4"/>
        <v>0.0000000000000000000000000000000000000000014349296274686126806258990932888741184309882284815521502792379227031460686703212559223175048828125</v>
      </c>
    </row>
    <row r="141" spans="2:3" x14ac:dyDescent="0.15">
      <c r="B141">
        <v>-140</v>
      </c>
      <c r="C141" t="str">
        <f t="shared" si="4"/>
        <v>0.00000000000000000000000000000000000000000071746481373430634031294954664443705921549411424077607513961896135157303433516062796115875244140625</v>
      </c>
    </row>
    <row r="142" spans="2:3" x14ac:dyDescent="0.15">
      <c r="B142">
        <v>-141</v>
      </c>
      <c r="C142" t="str">
        <f t="shared" si="4"/>
        <v>0.000000000000000000000000000000000000000000358732406867153170156474773322218529607747057120388037569809480675786517167580313980579376220703125</v>
      </c>
    </row>
    <row r="143" spans="2:3" x14ac:dyDescent="0.15">
      <c r="B143">
        <v>-142</v>
      </c>
      <c r="C143" t="str">
        <f t="shared" si="4"/>
        <v>0.0000000000000000000000000000000000000000001793662034335765850782373866611092648038735285601940187849047403378932585837901569902896881103515625</v>
      </c>
    </row>
    <row r="144" spans="2:3" x14ac:dyDescent="0.15">
      <c r="B144">
        <v>-143</v>
      </c>
      <c r="C144" t="str">
        <f t="shared" si="4"/>
        <v>0.00000000000000000000000000000000000000000008968310171678829253911869333055463240193676428009700939245237016894662929189507849514484405517578125</v>
      </c>
    </row>
    <row r="145" spans="2:3" x14ac:dyDescent="0.15">
      <c r="B145">
        <v>-144</v>
      </c>
      <c r="C145" t="str">
        <f t="shared" si="4"/>
        <v>0.000000000000000000000000000000000000000000044841550858394146269559346665277316200968382140048504696226185084473314645947539247572422027587890625</v>
      </c>
    </row>
    <row r="146" spans="2:3" x14ac:dyDescent="0.15">
      <c r="B146">
        <v>-145</v>
      </c>
      <c r="C146" t="str">
        <f t="shared" si="4"/>
        <v>0.0000000000000000000000000000000000000000000224207754291970731347796733326386581004841910700242523481130925422366573229737696237862110137939453125</v>
      </c>
    </row>
    <row r="147" spans="2:3" x14ac:dyDescent="0.15">
      <c r="B147">
        <v>-146</v>
      </c>
      <c r="C147" t="str">
        <f t="shared" si="4"/>
        <v>0.00000000000000000000000000000000000000000001121038771459853656738983666631932905024209553501212617405654627111832866148688481189310550689697265625</v>
      </c>
    </row>
    <row r="148" spans="2:3" x14ac:dyDescent="0.15">
      <c r="B148">
        <v>-147</v>
      </c>
      <c r="C148" t="str">
        <f t="shared" si="4"/>
        <v>0.000000000000000000000000000000000000000000005605193857299268283694918333159664525121047767506063087028273135559164330743442405946552753448486328125</v>
      </c>
    </row>
    <row r="149" spans="2:3" x14ac:dyDescent="0.15">
      <c r="B149">
        <v>-148</v>
      </c>
      <c r="C149" t="str">
        <f t="shared" si="4"/>
        <v>0.0000000000000000000000000000000000000000000028025969286496341418474591665798322625605238837530315435141365677795821653717212029732763767242431640625</v>
      </c>
    </row>
    <row r="150" spans="2:3" x14ac:dyDescent="0.15">
      <c r="B150">
        <v>-149</v>
      </c>
      <c r="C150" t="str">
        <f t="shared" ref="C150:C213" si="5">divideNPntByOneDig(C149,"2")</f>
        <v>0.00000000000000000000000000000000000000000000140129846432481707092372958328991613128026194187651577175706828388979108268586060148663818836212158203125</v>
      </c>
    </row>
    <row r="151" spans="2:3" x14ac:dyDescent="0.15">
      <c r="B151">
        <v>-150</v>
      </c>
      <c r="C151" t="str">
        <f t="shared" si="5"/>
        <v>0.000000000000000000000000000000000000000000000700649232162408535461864791644958065640130970938257885878534141944895541342930300743319094181060791015625</v>
      </c>
    </row>
    <row r="152" spans="2:3" x14ac:dyDescent="0.15">
      <c r="B152">
        <v>-151</v>
      </c>
      <c r="C152" t="str">
        <f t="shared" si="5"/>
        <v>0.0000000000000000000000000000000000000000000003503246160812042677309323958224790328200654854691289429392670709724477706714651503716595470905303955078125</v>
      </c>
    </row>
    <row r="153" spans="2:3" x14ac:dyDescent="0.15">
      <c r="B153">
        <v>-152</v>
      </c>
      <c r="C153" t="str">
        <f t="shared" si="5"/>
        <v>0.00000000000000000000000000000000000000000000017516230804060213386546619791123951641003274273456447146963353548622388533573257518582977354526519775390625</v>
      </c>
    </row>
    <row r="154" spans="2:3" x14ac:dyDescent="0.15">
      <c r="B154">
        <v>-153</v>
      </c>
      <c r="C154" t="str">
        <f t="shared" si="5"/>
        <v>0.000000000000000000000000000000000000000000000087581154020301066932733098955619758205016371367282235734816767743111942667866287592914886772632598876953125</v>
      </c>
    </row>
    <row r="155" spans="2:3" x14ac:dyDescent="0.15">
      <c r="B155">
        <v>-154</v>
      </c>
      <c r="C155" t="str">
        <f t="shared" si="5"/>
        <v>0.0000000000000000000000000000000000000000000000437905770101505334663665494778098791025081856836411178674083838715559713339331437964574433863162994384765625</v>
      </c>
    </row>
    <row r="156" spans="2:3" x14ac:dyDescent="0.15">
      <c r="B156">
        <v>-155</v>
      </c>
      <c r="C156" t="str">
        <f t="shared" si="5"/>
        <v>0.00000000000000000000000000000000000000000000002189528850507526673318327473890493955125409284182055893370419193577798566696657189822872169315814971923828125</v>
      </c>
    </row>
    <row r="157" spans="2:3" x14ac:dyDescent="0.15">
      <c r="B157">
        <v>-156</v>
      </c>
      <c r="C157" t="str">
        <f t="shared" si="5"/>
        <v>0.000000000000000000000000000000000000000000000010947644252537633366591637369452469775627046420910279466852095967888992833483285949114360846579074859619140625</v>
      </c>
    </row>
    <row r="158" spans="2:3" x14ac:dyDescent="0.15">
      <c r="B158">
        <v>-157</v>
      </c>
      <c r="C158" t="str">
        <f t="shared" si="5"/>
        <v>0.0000000000000000000000000000000000000000000000054738221262688166832958186847262348878135232104551397334260479839444964167416429745571804232895374298095703125</v>
      </c>
    </row>
    <row r="159" spans="2:3" x14ac:dyDescent="0.15">
      <c r="B159">
        <v>-158</v>
      </c>
      <c r="C159" t="str">
        <f t="shared" si="5"/>
        <v>0.00000000000000000000000000000000000000000000000273691106313440834164790934236311744390676160522756986671302399197224820837082148727859021164476871490478515625</v>
      </c>
    </row>
    <row r="160" spans="2:3" x14ac:dyDescent="0.15">
      <c r="B160">
        <v>-159</v>
      </c>
      <c r="C160" t="str">
        <f t="shared" si="5"/>
        <v>0.000000000000000000000000000000000000000000000001368455531567204170823954671181558721953380802613784933356511995986124104185410743639295105822384357452392578125</v>
      </c>
    </row>
    <row r="161" spans="2:3" x14ac:dyDescent="0.15">
      <c r="B161">
        <v>-160</v>
      </c>
      <c r="C161" t="str">
        <f t="shared" si="5"/>
        <v>0.0000000000000000000000000000000000000000000000006842277657836020854119773355907793609766904013068924666782559979930620520927053718196475529111921787261962890625</v>
      </c>
    </row>
    <row r="162" spans="2:3" x14ac:dyDescent="0.15">
      <c r="B162">
        <v>-161</v>
      </c>
      <c r="C162" t="str">
        <f t="shared" si="5"/>
        <v>0.00000000000000000000000000000000000000000000000034211388289180104270598866779538968048834520065344623333912799899653102604635268590982377645559608936309814453125</v>
      </c>
    </row>
    <row r="163" spans="2:3" x14ac:dyDescent="0.15">
      <c r="B163">
        <v>-162</v>
      </c>
      <c r="C163" t="str">
        <f t="shared" si="5"/>
        <v>0.000000000000000000000000000000000000000000000000171056941445900521352994333897694840244172600326723116669563999498265513023176342954911888227798044681549072265625</v>
      </c>
    </row>
    <row r="164" spans="2:3" x14ac:dyDescent="0.15">
      <c r="B164">
        <v>-163</v>
      </c>
      <c r="C164" t="str">
        <f t="shared" si="5"/>
        <v>0.0000000000000000000000000000000000000000000000000855284707229502606764971669488474201220863001633615583347819997491327565115881714774559441138990223407745361328125</v>
      </c>
    </row>
    <row r="165" spans="2:3" x14ac:dyDescent="0.15">
      <c r="B165">
        <v>-164</v>
      </c>
      <c r="C165" t="str">
        <f t="shared" si="5"/>
        <v>0.00000000000000000000000000000000000000000000000004276423536147513033824858347442371006104315008168077916739099987456637825579408573872797205694951117038726806640625</v>
      </c>
    </row>
    <row r="166" spans="2:3" x14ac:dyDescent="0.15">
      <c r="B166">
        <v>-165</v>
      </c>
      <c r="C166" t="str">
        <f t="shared" si="5"/>
        <v>0.000000000000000000000000000000000000000000000000021382117680737565169124291737211855030521575040840389583695499937283189127897042869363986028474755585193634033203125</v>
      </c>
    </row>
    <row r="167" spans="2:3" x14ac:dyDescent="0.15">
      <c r="B167">
        <v>-166</v>
      </c>
      <c r="C167" t="str">
        <f t="shared" si="5"/>
        <v>0.0000000000000000000000000000000000000000000000000106910588403687825845621458686059275152607875204201947918477499686415945639485214346819930142373777925968170166015625</v>
      </c>
    </row>
    <row r="168" spans="2:3" x14ac:dyDescent="0.15">
      <c r="B168">
        <v>-167</v>
      </c>
      <c r="C168" t="str">
        <f t="shared" si="5"/>
        <v>0.00000000000000000000000000000000000000000000000000534552942018439129228107293430296375763039376021009739592387498432079728197426071734099650711868889629840850830078125</v>
      </c>
    </row>
    <row r="169" spans="2:3" x14ac:dyDescent="0.15">
      <c r="B169">
        <v>-168</v>
      </c>
      <c r="C169" t="str">
        <f t="shared" si="5"/>
        <v>0.000000000000000000000000000000000000000000000000002672764710092195646140536467151481878815196880105048697961937492160398640987130358670498253559344448149204254150390625</v>
      </c>
    </row>
    <row r="170" spans="2:3" x14ac:dyDescent="0.15">
      <c r="B170">
        <v>-169</v>
      </c>
      <c r="C170" t="str">
        <f t="shared" si="5"/>
        <v>0.0000000000000000000000000000000000000000000000000013363823550460978230702682335757409394075984400525243489809687460801993204935651793352491267796722240746021270751953125</v>
      </c>
    </row>
    <row r="171" spans="2:3" x14ac:dyDescent="0.15">
      <c r="B171">
        <v>-170</v>
      </c>
      <c r="C171" t="str">
        <f t="shared" si="5"/>
        <v>0.00000000000000000000000000000000000000000000000000066819117752304891153513411678787046970379922002626217449048437304009966024678258966762456338983611203730106353759765625</v>
      </c>
    </row>
    <row r="172" spans="2:3" x14ac:dyDescent="0.15">
      <c r="B172">
        <v>-171</v>
      </c>
      <c r="C172" t="str">
        <f t="shared" si="5"/>
        <v>0.000000000000000000000000000000000000000000000000000334095588761524455767567058393935234851899610013131087245242186520049830123391294833812281694918056018650531768798828125</v>
      </c>
    </row>
    <row r="173" spans="2:3" x14ac:dyDescent="0.15">
      <c r="B173">
        <v>-172</v>
      </c>
      <c r="C173" t="str">
        <f t="shared" si="5"/>
        <v>0.0000000000000000000000000000000000000000000000000001670477943807622278837835291969676174259498050065655436226210932600249150616956474169061408474590280093252658843994140625</v>
      </c>
    </row>
    <row r="174" spans="2:3" x14ac:dyDescent="0.15">
      <c r="B174">
        <v>-173</v>
      </c>
      <c r="C174" t="str">
        <f t="shared" si="5"/>
        <v>0.00000000000000000000000000000000000000000000000000008352389719038111394189176459848380871297490250328277181131054663001245753084782370845307042372951400466263294219970703125</v>
      </c>
    </row>
    <row r="175" spans="2:3" x14ac:dyDescent="0.15">
      <c r="B175">
        <v>-174</v>
      </c>
      <c r="C175" t="str">
        <f t="shared" si="5"/>
        <v>0.000000000000000000000000000000000000000000000000000041761948595190556970945882299241904356487451251641385905655273315006228765423911854226535211864757002331316471099853515625</v>
      </c>
    </row>
    <row r="176" spans="2:3" x14ac:dyDescent="0.15">
      <c r="B176">
        <v>-175</v>
      </c>
      <c r="C176" t="str">
        <f t="shared" si="5"/>
        <v>0.0000000000000000000000000000000000000000000000000000208809742975952784854729411496209521782437256258206929528276366575031143827119559271132676059323785011656582355499267578125</v>
      </c>
    </row>
    <row r="177" spans="2:3" x14ac:dyDescent="0.15">
      <c r="B177">
        <v>-176</v>
      </c>
      <c r="C177" t="str">
        <f t="shared" si="5"/>
        <v>0.00000000000000000000000000000000000000000000000000001044048714879763924273647057481047608912186281291034647641381832875155719135597796355663380296618925058282911777496337890625</v>
      </c>
    </row>
    <row r="178" spans="2:3" x14ac:dyDescent="0.15">
      <c r="B178">
        <v>-177</v>
      </c>
      <c r="C178" t="str">
        <f t="shared" si="5"/>
        <v>0.000000000000000000000000000000000000000000000000000005220243574398819621368235287405238044560931406455173238206909164375778595677988981778316901483094625291414558887481689453125</v>
      </c>
    </row>
    <row r="179" spans="2:3" x14ac:dyDescent="0.15">
      <c r="B179">
        <v>-178</v>
      </c>
      <c r="C179" t="str">
        <f t="shared" si="5"/>
        <v>0.0000000000000000000000000000000000000000000000000000026101217871994098106841176437026190222804657032275866191034545821878892978389944908891584507415473126457072794437408447265625</v>
      </c>
    </row>
    <row r="180" spans="2:3" x14ac:dyDescent="0.15">
      <c r="B180">
        <v>-179</v>
      </c>
      <c r="C180" t="str">
        <f t="shared" si="5"/>
        <v>0.00000000000000000000000000000000000000000000000000000130506089359970490534205882185130951114023285161379330955172729109394464891949724544457922537077365632285363972187042236328125</v>
      </c>
    </row>
    <row r="181" spans="2:3" x14ac:dyDescent="0.15">
      <c r="B181">
        <v>-180</v>
      </c>
      <c r="C181" t="str">
        <f t="shared" si="5"/>
        <v>0.000000000000000000000000000000000000000000000000000000652530446799852452671029410925654755570116425806896654775863645546972324459748622722289612685386828161426819860935211181640625</v>
      </c>
    </row>
    <row r="182" spans="2:3" x14ac:dyDescent="0.15">
      <c r="B182">
        <v>-181</v>
      </c>
      <c r="C182" t="str">
        <f t="shared" si="5"/>
        <v>0.0000000000000000000000000000000000000000000000000000003262652233999262263355147054628273777850582129034483273879318227734861622298743113611448063426934140807134099304676055908203125</v>
      </c>
    </row>
    <row r="183" spans="2:3" x14ac:dyDescent="0.15">
      <c r="B183">
        <v>-182</v>
      </c>
      <c r="C183" t="str">
        <f t="shared" si="5"/>
        <v>0.00000000000000000000000000000000000000000000000000000016313261169996311316775735273141368889252910645172416369396591138674308111493715568057240317134670704035670496523380279541015625</v>
      </c>
    </row>
    <row r="184" spans="2:3" x14ac:dyDescent="0.15">
      <c r="B184">
        <v>-183</v>
      </c>
      <c r="C184" t="str">
        <f t="shared" si="5"/>
        <v>0.000000000000000000000000000000000000000000000000000000081566305849981556583878676365706844446264553225862081846982955693371540557468577840286201585673353520178352482616901397705078125</v>
      </c>
    </row>
    <row r="185" spans="2:3" x14ac:dyDescent="0.15">
      <c r="B185">
        <v>-184</v>
      </c>
      <c r="C185" t="str">
        <f t="shared" si="5"/>
        <v>0.0000000000000000000000000000000000000000000000000000000407831529249907782919393381828534222231322766129310409234914778466857702787342889201431007928366767600891762413084506988525390625</v>
      </c>
    </row>
    <row r="186" spans="2:3" x14ac:dyDescent="0.15">
      <c r="B186">
        <v>-185</v>
      </c>
      <c r="C186" t="str">
        <f t="shared" si="5"/>
        <v>0.00000000000000000000000000000000000000000000000000000002039157646249538914596966909142671111156613830646552046174573892334288513936714446007155039641833838004458812065422534942626953125</v>
      </c>
    </row>
    <row r="187" spans="2:3" x14ac:dyDescent="0.15">
      <c r="B187">
        <v>-186</v>
      </c>
      <c r="C187" t="str">
        <f t="shared" si="5"/>
        <v>0.000000000000000000000000000000000000000000000000000000010195788231247694572984834545713355555783069153232760230872869461671442569683572230035775198209169190022294060327112674713134765625</v>
      </c>
    </row>
    <row r="188" spans="2:3" x14ac:dyDescent="0.15">
      <c r="B188">
        <v>-187</v>
      </c>
      <c r="C188" t="str">
        <f t="shared" si="5"/>
        <v>0.0000000000000000000000000000000000000000000000000000000050978941156238472864924172728566777778915345766163801154364347308357212848417861150178875991045845950111470301635563373565673828125</v>
      </c>
    </row>
    <row r="189" spans="2:3" x14ac:dyDescent="0.15">
      <c r="B189">
        <v>-188</v>
      </c>
      <c r="C189" t="str">
        <f t="shared" si="5"/>
        <v>0.00000000000000000000000000000000000000000000000000000000254894705781192364324620863642833888894576728830819005771821736541786064242089305750894379955229229750557351508177816867828369140625</v>
      </c>
    </row>
    <row r="190" spans="2:3" x14ac:dyDescent="0.15">
      <c r="B190">
        <v>-189</v>
      </c>
      <c r="C190" t="str">
        <f t="shared" si="5"/>
        <v>0.000000000000000000000000000000000000000000000000000000001274473528905961821623104318214169444472883644154095028859108682708930321210446528754471899776146148752786757540889084339141845703125</v>
      </c>
    </row>
    <row r="191" spans="2:3" x14ac:dyDescent="0.15">
      <c r="B191">
        <v>-190</v>
      </c>
      <c r="C191" t="str">
        <f t="shared" si="5"/>
        <v>0.0000000000000000000000000000000000000000000000000000000006372367644529809108115521591070847222364418220770475144295543413544651606052232643772359498880730743763933787704445421695709228515625</v>
      </c>
    </row>
    <row r="192" spans="2:3" x14ac:dyDescent="0.15">
      <c r="B192">
        <v>-191</v>
      </c>
      <c r="C192" t="str">
        <f t="shared" si="5"/>
        <v>0.00000000000000000000000000000000000000000000000000000000031861838222649045540577607955354236111822091103852375721477717067723258030261163218861797494403653718819668938522227108478546142578125</v>
      </c>
    </row>
    <row r="193" spans="2:3" x14ac:dyDescent="0.15">
      <c r="B193">
        <v>-192</v>
      </c>
      <c r="C193" t="str">
        <f t="shared" si="5"/>
        <v>0.000000000000000000000000000000000000000000000000000000000159309191113245227702888039776771180559110455519261878607388585338616290151305816094308987472018268594098344692611135542392730712890625</v>
      </c>
    </row>
    <row r="194" spans="2:3" x14ac:dyDescent="0.15">
      <c r="B194">
        <v>-193</v>
      </c>
      <c r="C194" t="str">
        <f t="shared" si="5"/>
        <v>0.0000000000000000000000000000000000000000000000000000000000796545955566226138514440198883855902795552277596309393036942926693081450756529080471544937360091342970491723463055677711963653564453125</v>
      </c>
    </row>
    <row r="195" spans="2:3" x14ac:dyDescent="0.15">
      <c r="B195">
        <v>-194</v>
      </c>
      <c r="C195" t="str">
        <f t="shared" si="5"/>
        <v>0.00000000000000000000000000000000000000000000000000000000003982729777831130692572200994419279513977761387981546965184714633465407253782645402357724686800456714852458617315278388559818267822265625</v>
      </c>
    </row>
    <row r="196" spans="2:3" x14ac:dyDescent="0.15">
      <c r="B196">
        <v>-195</v>
      </c>
      <c r="C196" t="str">
        <f t="shared" si="5"/>
        <v>0.000000000000000000000000000000000000000000000000000000000019913648889155653462861004972096397569888806939907734825923573167327036268913227011788623434002283574262293086576391942799091339111328125</v>
      </c>
    </row>
    <row r="197" spans="2:3" x14ac:dyDescent="0.15">
      <c r="B197">
        <v>-196</v>
      </c>
      <c r="C197" t="str">
        <f t="shared" si="5"/>
        <v>0.0000000000000000000000000000000000000000000000000000000000099568244445778267314305024860481987849444034699538674129617865836635181344566135058943117170011417871311465432881959713995456695556640625</v>
      </c>
    </row>
    <row r="198" spans="2:3" x14ac:dyDescent="0.15">
      <c r="B198">
        <v>-197</v>
      </c>
      <c r="C198" t="str">
        <f t="shared" si="5"/>
        <v>0.00000000000000000000000000000000000000000000000000000000000497841222228891336571525124302409939247220173497693370648089329183175906722830675294715585850057089356557327164409798569977283477783203125</v>
      </c>
    </row>
    <row r="199" spans="2:3" x14ac:dyDescent="0.15">
      <c r="B199">
        <v>-198</v>
      </c>
      <c r="C199" t="str">
        <f t="shared" si="5"/>
        <v>0.000000000000000000000000000000000000000000000000000000000002489206111144456682857625621512049696236100867488466853240446645915879533614153376473577929250285446782786635822048992849886417388916015625</v>
      </c>
    </row>
    <row r="200" spans="2:3" x14ac:dyDescent="0.15">
      <c r="B200">
        <v>-199</v>
      </c>
      <c r="C200" t="str">
        <f t="shared" si="5"/>
        <v>0.0000000000000000000000000000000000000000000000000000000000012446030555722283414288128107560248481180504337442334266202233229579397668070766882367889646251427233913933179110244964249432086944580078125</v>
      </c>
    </row>
    <row r="201" spans="2:3" x14ac:dyDescent="0.15">
      <c r="B201">
        <v>-200</v>
      </c>
      <c r="C201" t="str">
        <f t="shared" si="5"/>
        <v>0.00000000000000000000000000000000000000000000000000000000000062230152778611417071440640537801242405902521687211671331011166147896988340353834411839448231257136169569665895551224821247160434722900390625</v>
      </c>
    </row>
    <row r="202" spans="2:3" x14ac:dyDescent="0.15">
      <c r="B202">
        <v>-201</v>
      </c>
      <c r="C202" t="str">
        <f t="shared" si="5"/>
        <v>0.000000000000000000000000000000000000000000000000000000000000311150763893057085357203202689006212029512608436058356655055830739484941701769172059197241156285680847848329477756124106235802173614501953125</v>
      </c>
    </row>
    <row r="203" spans="2:3" x14ac:dyDescent="0.15">
      <c r="B203">
        <v>-202</v>
      </c>
      <c r="C203" t="str">
        <f t="shared" si="5"/>
        <v>0.0000000000000000000000000000000000000000000000000000000000001555753819465285426786016013445031060147563042180291783275279153697424708508845860295986205781428404239241647388780620531179010868072509765625</v>
      </c>
    </row>
    <row r="204" spans="2:3" x14ac:dyDescent="0.15">
      <c r="B204">
        <v>-203</v>
      </c>
      <c r="C204" t="str">
        <f t="shared" si="5"/>
        <v>0.00000000000000000000000000000000000000000000000000000000000007778769097326427133930080067225155300737815210901458916376395768487123542544229301479931028907142021196208236943903102655895054340362548828125</v>
      </c>
    </row>
    <row r="205" spans="2:3" x14ac:dyDescent="0.15">
      <c r="B205">
        <v>-204</v>
      </c>
      <c r="C205" t="str">
        <f t="shared" si="5"/>
        <v>0.000000000000000000000000000000000000000000000000000000000000038893845486632135669650400336125776503689076054507294581881978842435617712721146507399655144535710105981041184719515513279475271701812744140625</v>
      </c>
    </row>
    <row r="206" spans="2:3" x14ac:dyDescent="0.15">
      <c r="B206">
        <v>-205</v>
      </c>
      <c r="C206" t="str">
        <f t="shared" si="5"/>
        <v>0.0000000000000000000000000000000000000000000000000000000000000194469227433160678348252001680628882518445380272536472909409894212178088563605732536998275722678550529905205923597577566397376358509063720703125</v>
      </c>
    </row>
    <row r="207" spans="2:3" x14ac:dyDescent="0.15">
      <c r="B207">
        <v>-206</v>
      </c>
      <c r="C207" t="str">
        <f t="shared" si="5"/>
        <v>0.00000000000000000000000000000000000000000000000000000000000000972346137165803391741260008403144412592226901362682364547049471060890442818028662684991378613392752649526029617987887831986881792545318603515625</v>
      </c>
    </row>
    <row r="208" spans="2:3" x14ac:dyDescent="0.15">
      <c r="B208">
        <v>-207</v>
      </c>
      <c r="C208" t="str">
        <f t="shared" si="5"/>
        <v>0.000000000000000000000000000000000000000000000000000000000000004861730685829016958706300042015722062961134506813411822735247355304452214090143313424956893066963763247630148089939439159934408962726593017578125</v>
      </c>
    </row>
    <row r="209" spans="2:3" x14ac:dyDescent="0.15">
      <c r="B209">
        <v>-208</v>
      </c>
      <c r="C209" t="str">
        <f t="shared" si="5"/>
        <v>0.0000000000000000000000000000000000000000000000000000000000000024308653429145084793531500210078610314805672534067059113676236776522261070450716567124784465334818816238150740449697195799672044813632965087890625</v>
      </c>
    </row>
    <row r="210" spans="2:3" x14ac:dyDescent="0.15">
      <c r="B210">
        <v>-209</v>
      </c>
      <c r="C210" t="str">
        <f t="shared" si="5"/>
        <v>0.00000000000000000000000000000000000000000000000000000000000000121543267145725423967657501050393051574028362670335295568381183882611305352253582835623922326674094081190753702248485978998360224068164825439453125</v>
      </c>
    </row>
    <row r="211" spans="2:3" x14ac:dyDescent="0.15">
      <c r="B211">
        <v>-210</v>
      </c>
      <c r="C211" t="str">
        <f t="shared" si="5"/>
        <v>0.000000000000000000000000000000000000000000000000000000000000000607716335728627119838287505251965257870141813351676477841905919413056526761267914178119611633370470405953768511242429894991801120340824127197265625</v>
      </c>
    </row>
    <row r="212" spans="2:3" x14ac:dyDescent="0.15">
      <c r="B212">
        <v>-211</v>
      </c>
      <c r="C212" t="str">
        <f t="shared" si="5"/>
        <v>0.0000000000000000000000000000000000000000000000000000000000000003038581678643135599191437526259826289350709066758382389209529597065282633806339570890598058166852352029768842556212149474959005601704120635986328125</v>
      </c>
    </row>
    <row r="213" spans="2:3" x14ac:dyDescent="0.15">
      <c r="B213">
        <v>-212</v>
      </c>
      <c r="C213" t="str">
        <f t="shared" si="5"/>
        <v>0.00000000000000000000000000000000000000000000000000000000000000015192908393215677995957187631299131446753545333791911946047647985326413169031697854452990290834261760148844212781060747374795028008520603179931640625</v>
      </c>
    </row>
    <row r="214" spans="2:3" x14ac:dyDescent="0.15">
      <c r="B214">
        <v>-213</v>
      </c>
      <c r="C214" t="str">
        <f t="shared" ref="C214:C269" si="6">divideNPntByOneDig(C213,"2")</f>
        <v>0.000000000000000000000000000000000000000000000000000000000000000075964541966078389979785938156495657233767726668959559730238239926632065845158489272264951454171308800744221063905303736873975140042603015899658203125</v>
      </c>
    </row>
    <row r="215" spans="2:3" x14ac:dyDescent="0.15">
      <c r="B215">
        <v>-214</v>
      </c>
      <c r="C215" t="str">
        <f t="shared" si="6"/>
        <v>0.0000000000000000000000000000000000000000000000000000000000000000379822709830391949898929690782478286168838633344797798651191199633160329225792446361324757270856544003721105319526518684369875700213015079498291015625</v>
      </c>
    </row>
    <row r="216" spans="2:3" x14ac:dyDescent="0.15">
      <c r="B216">
        <v>-215</v>
      </c>
      <c r="C216" t="str">
        <f t="shared" si="6"/>
        <v>0.00000000000000000000000000000000000000000000000000000000000000001899113549151959749494648453912391430844193166723988993255955998165801646128962231806623786354282720018605526597632593421849378501065075397491455078125</v>
      </c>
    </row>
    <row r="217" spans="2:3" x14ac:dyDescent="0.15">
      <c r="B217">
        <v>-216</v>
      </c>
      <c r="C217" t="str">
        <f t="shared" si="6"/>
        <v>0.000000000000000000000000000000000000000000000000000000000000000009495567745759798747473242269561957154220965833619944966279779990829008230644811159033118931771413600093027632988162967109246892505325376987457275390625</v>
      </c>
    </row>
    <row r="218" spans="2:3" x14ac:dyDescent="0.15">
      <c r="B218">
        <v>-217</v>
      </c>
      <c r="C218" t="str">
        <f t="shared" si="6"/>
        <v>0.0000000000000000000000000000000000000000000000000000000000000000047477838728798993737366211347809785771104829168099724831398899954145041153224055795165594658857068000465138164940814835546234462526626884937286376953125</v>
      </c>
    </row>
    <row r="219" spans="2:3" x14ac:dyDescent="0.15">
      <c r="B219">
        <v>-218</v>
      </c>
      <c r="C219" t="str">
        <f t="shared" si="6"/>
        <v>0.00000000000000000000000000000000000000000000000000000000000000000237389193643994968686831056739048928855524145840498624156994499770725205766120278975827973294285340002325690824704074177731172312633134424686431884765625</v>
      </c>
    </row>
    <row r="220" spans="2:3" x14ac:dyDescent="0.15">
      <c r="B220">
        <v>-219</v>
      </c>
      <c r="C220" t="str">
        <f t="shared" si="6"/>
        <v>0.000000000000000000000000000000000000000000000000000000000000000001186945968219974843434155283695244644277620729202493120784972498853626028830601394879139866471426700011628454123520370888655861563165672123432159423828125</v>
      </c>
    </row>
    <row r="221" spans="2:3" x14ac:dyDescent="0.15">
      <c r="B221">
        <v>-220</v>
      </c>
      <c r="C221" t="str">
        <f t="shared" si="6"/>
        <v>0.0000000000000000000000000000000000000000000000000000000000000000005934729841099874217170776418476223221388103646012465603924862494268130144153006974395699332357133500058142270617601854443279307815828360617160797119140625</v>
      </c>
    </row>
    <row r="222" spans="2:3" x14ac:dyDescent="0.15">
      <c r="B222">
        <v>-221</v>
      </c>
      <c r="C222" t="str">
        <f t="shared" si="6"/>
        <v>0.00000000000000000000000000000000000000000000000000000000000000000029673649205499371085853882092381116106940518230062328019624312471340650720765034871978496661785667500290711353088009272216396539079141803085803985595703125</v>
      </c>
    </row>
    <row r="223" spans="2:3" x14ac:dyDescent="0.15">
      <c r="B223">
        <v>-222</v>
      </c>
      <c r="C223" t="str">
        <f t="shared" si="6"/>
        <v>0.000000000000000000000000000000000000000000000000000000000000000000148368246027496855429269410461905580534702591150311640098121562356703253603825174359892483308928337501453556765440046361081982695395709015429019927978515625</v>
      </c>
    </row>
    <row r="224" spans="2:3" x14ac:dyDescent="0.15">
      <c r="B224">
        <v>-223</v>
      </c>
      <c r="C224" t="str">
        <f t="shared" si="6"/>
        <v>0.0000000000000000000000000000000000000000000000000000000000000000000741841230137484277146347052309527902673512955751558200490607811783516268019125871799462416544641687507267783827200231805409913476978545077145099639892578125</v>
      </c>
    </row>
    <row r="225" spans="2:3" x14ac:dyDescent="0.15">
      <c r="B225">
        <v>-224</v>
      </c>
      <c r="C225" t="str">
        <f t="shared" si="6"/>
        <v>0.00000000000000000000000000000000000000000000000000000000000000000003709206150687421385731735261547639513367564778757791002453039058917581340095629358997312082723208437536338919136001159027049567384892725385725498199462890625</v>
      </c>
    </row>
    <row r="226" spans="2:3" x14ac:dyDescent="0.15">
      <c r="B226">
        <v>-225</v>
      </c>
      <c r="C226" t="str">
        <f t="shared" si="6"/>
        <v>0.000000000000000000000000000000000000000000000000000000000000000000018546030753437106928658676307738197566837823893788955012265195294587906700478146794986560413616042187681694595680005795135247836924463626928627490997314453125</v>
      </c>
    </row>
    <row r="227" spans="2:3" x14ac:dyDescent="0.15">
      <c r="B227">
        <v>-226</v>
      </c>
      <c r="C227" t="str">
        <f t="shared" si="6"/>
        <v>0.0000000000000000000000000000000000000000000000000000000000000000000092730153767185534643293381538690987834189119468944775061325976472939533502390733974932802068080210938408472978400028975676239184622318134643137454986572265625</v>
      </c>
    </row>
    <row r="228" spans="2:3" x14ac:dyDescent="0.15">
      <c r="B228">
        <v>-227</v>
      </c>
      <c r="C228" t="str">
        <f t="shared" si="6"/>
        <v>0.00000000000000000000000000000000000000000000000000000000000000000000463650768835927673216466907693454939170945597344723875306629882364697667511953669874664010340401054692042364892000144878381195923111590673215687274932861328125</v>
      </c>
    </row>
    <row r="229" spans="2:3" x14ac:dyDescent="0.15">
      <c r="B229">
        <v>-228</v>
      </c>
      <c r="C229" t="str">
        <f t="shared" si="6"/>
        <v>0.000000000000000000000000000000000000000000000000000000000000000000002318253844179638366082334538467274695854727986723619376533149411823488337559768349373320051702005273460211824460000724391905979615557953366078436374664306640625</v>
      </c>
    </row>
    <row r="230" spans="2:3" x14ac:dyDescent="0.15">
      <c r="B230">
        <v>-229</v>
      </c>
      <c r="C230" t="str">
        <f t="shared" si="6"/>
        <v>0.0000000000000000000000000000000000000000000000000000000000000000000011591269220898191830411672692336373479273639933618096882665747059117441687798841746866600258510026367301059122300003621959529898077789766830392181873321533203125</v>
      </c>
    </row>
    <row r="231" spans="2:3" x14ac:dyDescent="0.15">
      <c r="B231">
        <v>-230</v>
      </c>
      <c r="C231" t="str">
        <f t="shared" si="6"/>
        <v>0.00000000000000000000000000000000000000000000000000000000000000000000057956346104490959152058363461681867396368199668090484413328735295587208438994208734333001292550131836505295611500018109797649490388948834151960909366607666015625</v>
      </c>
    </row>
    <row r="232" spans="2:3" x14ac:dyDescent="0.15">
      <c r="B232">
        <v>-231</v>
      </c>
      <c r="C232" t="str">
        <f t="shared" si="6"/>
        <v>0.000000000000000000000000000000000000000000000000000000000000000000000289781730522454795760291817308409336981840998340452422066643676477936042194971043671665006462750659182526478057500090548988247451944744170759804546833038330078125</v>
      </c>
    </row>
    <row r="233" spans="2:3" x14ac:dyDescent="0.15">
      <c r="B233">
        <v>-232</v>
      </c>
      <c r="C233" t="str">
        <f t="shared" si="6"/>
        <v>0.0000000000000000000000000000000000000000000000000000000000000000000001448908652612273978801459086542046684909204991702262110333218382389680210974855218358325032313753295912632390287500452744941237259723720853799022734165191650390625</v>
      </c>
    </row>
    <row r="234" spans="2:3" x14ac:dyDescent="0.15">
      <c r="B234">
        <v>-233</v>
      </c>
      <c r="C234" t="str">
        <f t="shared" si="6"/>
        <v>0.00000000000000000000000000000000000000000000000000000000000000000000007244543263061369894007295432710233424546024958511310551666091911948401054874276091791625161568766479563161951437502263724706186298618604268995113670825958251953125</v>
      </c>
    </row>
    <row r="235" spans="2:3" x14ac:dyDescent="0.15">
      <c r="B235">
        <v>-234</v>
      </c>
      <c r="C235" t="str">
        <f t="shared" si="6"/>
        <v>0.000000000000000000000000000000000000000000000000000000000000000000000036222716315306849470036477163551167122730124792556552758330459559742005274371380458958125807843832397815809757187511318623530931493093021344975568354129791259765625</v>
      </c>
    </row>
    <row r="236" spans="2:3" x14ac:dyDescent="0.15">
      <c r="B236">
        <v>-235</v>
      </c>
      <c r="C236" t="str">
        <f t="shared" si="6"/>
        <v>0.0000000000000000000000000000000000000000000000000000000000000000000000181113581576534247350182385817755835613650623962782763791652297798710026371856902294790629039219161989079048785937556593117654657465465106724877841770648956298828125</v>
      </c>
    </row>
    <row r="237" spans="2:3" x14ac:dyDescent="0.15">
      <c r="B237">
        <v>-236</v>
      </c>
      <c r="C237" t="str">
        <f t="shared" si="6"/>
        <v>0.00000000000000000000000000000000000000000000000000000000000000000000000905567907882671236750911929088779178068253119813913818958261488993550131859284511473953145196095809945395243929687782965588273287327325533624389208853244781494140625</v>
      </c>
    </row>
    <row r="238" spans="2:3" x14ac:dyDescent="0.15">
      <c r="B238">
        <v>-237</v>
      </c>
      <c r="C238" t="str">
        <f t="shared" si="6"/>
        <v>0.000000000000000000000000000000000000000000000000000000000000000000000004527839539413356183754559645443895890341265599069569094791307444967750659296422557369765725980479049726976219648438914827941366436636627668121946044266223907470703125</v>
      </c>
    </row>
    <row r="239" spans="2:3" x14ac:dyDescent="0.15">
      <c r="B239">
        <v>-238</v>
      </c>
      <c r="C239" t="str">
        <f t="shared" si="6"/>
        <v>0.0000000000000000000000000000000000000000000000000000000000000000000000022639197697066780918772798227219479451706327995347845473956537224838753296482112786848828629902395248634881098242194574139706832183183138340609730221331119537353515625</v>
      </c>
    </row>
    <row r="240" spans="2:3" x14ac:dyDescent="0.15">
      <c r="B240">
        <v>-239</v>
      </c>
      <c r="C240" t="str">
        <f t="shared" si="6"/>
        <v>0.00000000000000000000000000000000000000000000000000000000000000000000000113195988485333904593863991136097397258531639976739227369782686124193766482410563934244143149511976243174405491210972870698534160915915691703048651106655597686767578125</v>
      </c>
    </row>
    <row r="241" spans="2:3" x14ac:dyDescent="0.15">
      <c r="B241">
        <v>-240</v>
      </c>
      <c r="C241" t="str">
        <f t="shared" si="6"/>
        <v>0.000000000000000000000000000000000000000000000000000000000000000000000000565979942426669522969319955680486986292658199883696136848913430620968832412052819671220715747559881215872027456054864353492670804579578458515243255533277988433837890625</v>
      </c>
    </row>
    <row r="242" spans="2:3" x14ac:dyDescent="0.15">
      <c r="B242">
        <v>-241</v>
      </c>
      <c r="C242" t="str">
        <f t="shared" si="6"/>
        <v>0.0000000000000000000000000000000000000000000000000000000000000000000000002829899712133347614846599778402434931463290999418480684244567153104844162060264098356103578737799406079360137280274321767463354022897892292576216277666389942169189453125</v>
      </c>
    </row>
    <row r="243" spans="2:3" x14ac:dyDescent="0.15">
      <c r="B243">
        <v>-242</v>
      </c>
      <c r="C243" t="str">
        <f t="shared" si="6"/>
        <v>0.00000000000000000000000000000000000000000000000000000000000000000000000014149498560666738074232998892012174657316454997092403421222835765524220810301320491780517893688997030396800686401371608837316770114489461462881081388331949710845947265625</v>
      </c>
    </row>
    <row r="244" spans="2:3" x14ac:dyDescent="0.15">
      <c r="B244">
        <v>-243</v>
      </c>
      <c r="C244" t="str">
        <f t="shared" si="6"/>
        <v>0.000000000000000000000000000000000000000000000000000000000000000000000000070747492803333690371164994460060873286582274985462017106114178827621104051506602458902589468444985151984003432006858044186583850572447307314405406941659748554229736328125</v>
      </c>
    </row>
    <row r="245" spans="2:3" x14ac:dyDescent="0.15">
      <c r="B245">
        <v>-244</v>
      </c>
      <c r="C245" t="str">
        <f t="shared" si="6"/>
        <v>0.0000000000000000000000000000000000000000000000000000000000000000000000000353737464016668451855824972300304366432911374927310085530570894138105520257533012294512947342224925759920017160034290220932919252862236536572027034708298742771148681640625</v>
      </c>
    </row>
    <row r="246" spans="2:3" x14ac:dyDescent="0.15">
      <c r="B246">
        <v>-245</v>
      </c>
      <c r="C246" t="str">
        <f t="shared" si="6"/>
        <v>0.00000000000000000000000000000000000000000000000000000000000000000000000001768687320083342259279124861501521832164556874636550427652854470690527601287665061472564736711124628799600085800171451104664596264311182682860135173541493713855743408203125</v>
      </c>
    </row>
    <row r="247" spans="2:3" x14ac:dyDescent="0.15">
      <c r="B247">
        <v>-246</v>
      </c>
      <c r="C247" t="str">
        <f t="shared" si="6"/>
        <v>0.000000000000000000000000000000000000000000000000000000000000000000000000008843436600416711296395624307507609160822784373182752138264272353452638006438325307362823683555623143998000429000857255523322981321555913414300675867707468569278717041015625</v>
      </c>
    </row>
    <row r="248" spans="2:3" x14ac:dyDescent="0.15">
      <c r="B248">
        <v>-247</v>
      </c>
      <c r="C248" t="str">
        <f t="shared" si="6"/>
        <v>0.0000000000000000000000000000000000000000000000000000000000000000000000000044217183002083556481978121537538045804113921865913760691321361767263190032191626536814118417778115719990002145004286277616614906607779567071503379338537342846393585205078125</v>
      </c>
    </row>
    <row r="249" spans="2:3" x14ac:dyDescent="0.15">
      <c r="B249">
        <v>-248</v>
      </c>
      <c r="C249" t="str">
        <f t="shared" si="6"/>
        <v>0.00000000000000000000000000000000000000000000000000000000000000000000000000221085915010417782409890607687690229020569609329568803456606808836315950160958132684070592088890578599950010725021431388083074533038897835357516896692686714231967926025390625</v>
      </c>
    </row>
    <row r="250" spans="2:3" x14ac:dyDescent="0.15">
      <c r="B250">
        <v>-249</v>
      </c>
      <c r="C250" t="str">
        <f t="shared" si="6"/>
        <v>0.000000000000000000000000000000000000000000000000000000000000000000000000001105429575052088912049453038438451145102848046647844017283034044181579750804790663420352960444452892999750053625107156940415372665194489176787584483463433571159839630126953125</v>
      </c>
    </row>
    <row r="251" spans="2:3" x14ac:dyDescent="0.15">
      <c r="B251">
        <v>-250</v>
      </c>
      <c r="C251" t="str">
        <f t="shared" si="6"/>
        <v>0.0000000000000000000000000000000000000000000000000000000000000000000000000005527147875260444560247265192192255725514240233239220086415170220907898754023953317101764802222264464998750268125535784702076863325972445883937922417317167855799198150634765625</v>
      </c>
    </row>
    <row r="252" spans="2:3" x14ac:dyDescent="0.15">
      <c r="B252">
        <v>-251</v>
      </c>
      <c r="C252" t="str">
        <f t="shared" si="6"/>
        <v>0.00000000000000000000000000000000000000000000000000000000000000000000000000027635739376302222801236325960961278627571201166196100432075851104539493770119766585508824011111322324993751340627678923510384316629862229419689612086585839278995990753173828125</v>
      </c>
    </row>
    <row r="253" spans="2:3" x14ac:dyDescent="0.15">
      <c r="B253">
        <v>-252</v>
      </c>
      <c r="C253" t="str">
        <f t="shared" si="6"/>
        <v>0.000000000000000000000000000000000000000000000000000000000000000000000000000138178696881511114006181629804806393137856005830980502160379255522697468850598832927544120055556611624968756703138394617551921583149311147098448060432929196394979953765869140625</v>
      </c>
    </row>
    <row r="254" spans="2:3" x14ac:dyDescent="0.15">
      <c r="B254">
        <v>-253</v>
      </c>
      <c r="C254" t="str">
        <f t="shared" si="6"/>
        <v>0.0000000000000000000000000000000000000000000000000000000000000000000000000000690893484407555570030908149024031965689280029154902510801896277613487344252994164637720600277783058124843783515691973087759607915746555735492240302164645981974899768829345703125</v>
      </c>
    </row>
    <row r="255" spans="2:3" x14ac:dyDescent="0.15">
      <c r="B255">
        <v>-254</v>
      </c>
      <c r="C255" t="str">
        <f t="shared" si="6"/>
        <v>0.00000000000000000000000000000000000000000000000000000000000000000000000000003454467422037777850154540745120159828446400145774512554009481388067436721264970823188603001388915290624218917578459865438798039578732778677461201510823229909874498844146728515625</v>
      </c>
    </row>
    <row r="256" spans="2:3" x14ac:dyDescent="0.15">
      <c r="B256">
        <v>-255</v>
      </c>
      <c r="C256" t="str">
        <f t="shared" si="6"/>
        <v>0.000000000000000000000000000000000000000000000000000000000000000000000000000017272337110188889250772703725600799142232000728872562770047406940337183606324854115943015006944576453121094587892299327193990197893663893387306007554116149549372494220733642578125</v>
      </c>
    </row>
    <row r="257" spans="2:3" x14ac:dyDescent="0.15">
      <c r="B257">
        <v>-256</v>
      </c>
      <c r="C257" t="str">
        <f t="shared" si="6"/>
        <v>0.0000000000000000000000000000000000000000000000000000000000000000000000000000086361685550944446253863518628003995711160003644362813850237034701685918031624270579715075034722882265605472939461496635969950989468319466936530037770580747746862471103668212890625</v>
      </c>
    </row>
    <row r="258" spans="2:3" x14ac:dyDescent="0.15">
      <c r="B258">
        <v>-257</v>
      </c>
      <c r="C258" t="str">
        <f t="shared" si="6"/>
        <v>0.00000000000000000000000000000000000000000000000000000000000000000000000000000431808427754722231269317593140019978555800018221814069251185173508429590158121352898575375173614411328027364697307483179849754947341597334682650188852903738734312355518341064453125</v>
      </c>
    </row>
    <row r="259" spans="2:3" x14ac:dyDescent="0.15">
      <c r="B259">
        <v>-258</v>
      </c>
      <c r="C259" t="str">
        <f t="shared" si="6"/>
        <v>0.000000000000000000000000000000000000000000000000000000000000000000000000000002159042138773611156346587965700099892779000091109070346255925867542147950790606764492876875868072056640136823486537415899248774736707986673413250944264518693671561777591705322265625</v>
      </c>
    </row>
    <row r="260" spans="2:3" x14ac:dyDescent="0.15">
      <c r="B260">
        <v>-259</v>
      </c>
      <c r="C260" t="str">
        <f t="shared" si="6"/>
        <v>0.0000000000000000000000000000000000000000000000000000000000000000000000000000010795210693868055781732939828500499463895000455545351731279629337710739753953033822464384379340360283200684117432687079496243873683539933367066254721322593468357808887958526611328125</v>
      </c>
    </row>
    <row r="261" spans="2:3" x14ac:dyDescent="0.15">
      <c r="B261">
        <v>-260</v>
      </c>
      <c r="C261" t="str">
        <f t="shared" si="6"/>
        <v>0.00000000000000000000000000000000000000000000000000000000000000000000000000000053976053469340278908664699142502497319475002277726758656398146688553698769765169112321921896701801416003420587163435397481219368417699666835331273606612967341789044439792633056640625</v>
      </c>
    </row>
    <row r="262" spans="2:3" x14ac:dyDescent="0.15">
      <c r="B262">
        <v>-261</v>
      </c>
      <c r="C262" t="str">
        <f t="shared" si="6"/>
        <v>0.000000000000000000000000000000000000000000000000000000000000000000000000000000269880267346701394543323495712512486597375011388633793281990733442768493848825845561609609483509007080017102935817176987406096842088498334176656368033064836708945222198963165283203125</v>
      </c>
    </row>
    <row r="263" spans="2:3" x14ac:dyDescent="0.15">
      <c r="B263">
        <v>-262</v>
      </c>
      <c r="C263" t="str">
        <f t="shared" si="6"/>
        <v>0.0000000000000000000000000000000000000000000000000000000000000000000000000000001349401336733506972716617478562562432986875056943168966409953667213842469244129227808048047417545035400085514679085884937030484210442491670883281840165324183544726110994815826416015625</v>
      </c>
    </row>
    <row r="264" spans="2:3" x14ac:dyDescent="0.15">
      <c r="B264">
        <v>-263</v>
      </c>
      <c r="C264" t="str">
        <f t="shared" si="6"/>
        <v>0.00000000000000000000000000000000000000000000000000000000000000000000000000000006747006683667534863583087392812812164934375284715844832049768336069212346220646139040240237087725177000427573395429424685152421052212458354416409200826620917723630554974079132080078125</v>
      </c>
    </row>
    <row r="265" spans="2:3" x14ac:dyDescent="0.15">
      <c r="B265">
        <v>-264</v>
      </c>
      <c r="C265" t="str">
        <f t="shared" si="6"/>
        <v>0.000000000000000000000000000000000000000000000000000000000000000000000000000000033735033418337674317915436964064060824671876423579224160248841680346061731103230695201201185438625885002137866977147123425762105261062291772082046004133104588618152774870395660400390625</v>
      </c>
    </row>
    <row r="266" spans="2:3" x14ac:dyDescent="0.15">
      <c r="B266">
        <v>-265</v>
      </c>
      <c r="C266" t="str">
        <f t="shared" si="6"/>
        <v>0.0000000000000000000000000000000000000000000000000000000000000000000000000000000168675167091688371589577184820320304123359382117896120801244208401730308655516153476006005927193129425010689334885735617128810526305311458860410230020665522943090763874351978302001953125</v>
      </c>
    </row>
    <row r="267" spans="2:3" x14ac:dyDescent="0.15">
      <c r="B267">
        <v>-266</v>
      </c>
      <c r="C267" t="str">
        <f t="shared" si="6"/>
        <v>0.00000000000000000000000000000000000000000000000000000000000000000000000000000000843375835458441857947885924101601520616796910589480604006221042008651543277580767380030029635965647125053446674428678085644052631526557294302051150103327614715453819371759891510009765625</v>
      </c>
    </row>
    <row r="268" spans="2:3" x14ac:dyDescent="0.15">
      <c r="B268">
        <v>-267</v>
      </c>
      <c r="C268" t="str">
        <f t="shared" si="6"/>
        <v>0.000000000000000000000000000000000000000000000000000000000000000000000000000000004216879177292209289739429620508007603083984552947403020031105210043257716387903836900150148179828235625267233372143390428220263157632786471510255750516638073577269096858799457550048828125</v>
      </c>
    </row>
    <row r="269" spans="2:3" x14ac:dyDescent="0.15">
      <c r="B269">
        <v>-268</v>
      </c>
      <c r="C269" t="str">
        <f t="shared" si="6"/>
        <v>0.0000000000000000000000000000000000000000000000000000000000000000000000000000000021084395886461046448697148102540038015419922764737015100155526050216288581939519184500750740899141178126336166860716952141101315788163932357551278752583190367886345484293997287750244140625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InternalHex</vt:lpstr>
      <vt:lpstr>NumericString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2018-05-12T05:20:26Z</dcterms:modified>
</cp:coreProperties>
</file>