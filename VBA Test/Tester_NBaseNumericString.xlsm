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226" codeName="{EC734049-C954-9101-EBF6-4418645C62D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ken\Desktop\DLL-InternalHex\VBA Test\"/>
    </mc:Choice>
  </mc:AlternateContent>
  <xr:revisionPtr revIDLastSave="0" documentId="10_ncr:8100000_{5AFE58A0-F56A-4507-8568-2EB9A1DFF91D}" xr6:coauthVersionLast="32" xr6:coauthVersionMax="32" xr10:uidLastSave="{00000000-0000-0000-0000-000000000000}"/>
  <bookViews>
    <workbookView xWindow="0" yWindow="17100" windowWidth="18645" windowHeight="9570" xr2:uid="{00000000-000D-0000-FFFF-FFFF00000000}"/>
  </bookViews>
  <sheets>
    <sheet name="Sheet1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123" i="1" l="1"/>
  <c r="I123" i="1"/>
  <c r="Q116" i="1"/>
  <c r="Q115" i="1"/>
  <c r="I115" i="1"/>
  <c r="Q125" i="1"/>
  <c r="Q124" i="1"/>
  <c r="Q114" i="1"/>
  <c r="Q122" i="1"/>
  <c r="Q119" i="1"/>
  <c r="Q121" i="1"/>
  <c r="Q117" i="1"/>
  <c r="Q120" i="1"/>
  <c r="Q118" i="1"/>
  <c r="I114" i="1"/>
  <c r="I125" i="1"/>
  <c r="I124" i="1"/>
  <c r="I122" i="1"/>
  <c r="I121" i="1"/>
  <c r="I120" i="1"/>
  <c r="I119" i="1"/>
  <c r="I116" i="1"/>
  <c r="I118" i="1"/>
  <c r="I117" i="1"/>
  <c r="Q111" i="1"/>
  <c r="Q112" i="1"/>
  <c r="Q110" i="1"/>
  <c r="Q109" i="1"/>
  <c r="Q113" i="1"/>
  <c r="I112" i="1"/>
  <c r="I111" i="1"/>
  <c r="I110" i="1"/>
  <c r="I113" i="1"/>
  <c r="I109" i="1"/>
  <c r="Q106" i="1"/>
  <c r="Q108" i="1"/>
  <c r="Q107" i="1"/>
  <c r="I108" i="1"/>
  <c r="I107" i="1"/>
  <c r="I106" i="1"/>
  <c r="Q105" i="1"/>
  <c r="Q505" i="1"/>
  <c r="S417" i="1"/>
  <c r="J493" i="1"/>
  <c r="Q215" i="1"/>
  <c r="L193" i="1"/>
  <c r="Q572" i="1"/>
  <c r="S126" i="1"/>
  <c r="Q128" i="1"/>
  <c r="T191" i="1"/>
  <c r="Q386" i="1"/>
  <c r="R315" i="1"/>
  <c r="I5" i="1"/>
  <c r="I193" i="1"/>
  <c r="J128" i="1"/>
  <c r="I339" i="1"/>
  <c r="Q96" i="1"/>
  <c r="K136" i="1"/>
  <c r="I203" i="1"/>
  <c r="Q7" i="1"/>
  <c r="I261" i="1"/>
  <c r="I196" i="1"/>
  <c r="L175" i="1"/>
  <c r="L147" i="1"/>
  <c r="R289" i="1"/>
  <c r="I559" i="1"/>
  <c r="Q420" i="1"/>
  <c r="I241" i="1"/>
  <c r="R491" i="1"/>
  <c r="J430" i="1"/>
  <c r="Q227" i="1"/>
  <c r="S443" i="1"/>
  <c r="I99" i="1"/>
  <c r="I136" i="1"/>
  <c r="K145" i="1"/>
  <c r="I22" i="1"/>
  <c r="I376" i="1"/>
  <c r="I422" i="1"/>
  <c r="S461" i="1"/>
  <c r="K155" i="1"/>
  <c r="I336" i="1"/>
  <c r="S454" i="1"/>
  <c r="I259" i="1"/>
  <c r="L203" i="1"/>
  <c r="Q126" i="1"/>
  <c r="I630" i="1"/>
  <c r="S510" i="1"/>
  <c r="I220" i="1"/>
  <c r="I89" i="1"/>
  <c r="Q646" i="1"/>
  <c r="I403" i="1"/>
  <c r="I32" i="1"/>
  <c r="Q52" i="1"/>
  <c r="R469" i="1"/>
  <c r="K475" i="1"/>
  <c r="K154" i="1"/>
  <c r="I528" i="1"/>
  <c r="R131" i="1"/>
  <c r="I610" i="1"/>
  <c r="S148" i="1"/>
  <c r="I370" i="1"/>
  <c r="S456" i="1"/>
  <c r="T204" i="1"/>
  <c r="Q507" i="1"/>
  <c r="Q82" i="1"/>
  <c r="S147" i="1"/>
  <c r="K533" i="1"/>
  <c r="I165" i="1"/>
  <c r="I287" i="1"/>
  <c r="J499" i="1"/>
  <c r="R524" i="1"/>
  <c r="S127" i="1"/>
  <c r="R484" i="1"/>
  <c r="S448" i="1"/>
  <c r="K492" i="1"/>
  <c r="T138" i="1"/>
  <c r="Q18" i="1"/>
  <c r="Q183" i="1"/>
  <c r="Q443" i="1"/>
  <c r="Q581" i="1"/>
  <c r="Q76" i="1"/>
  <c r="I27" i="1"/>
  <c r="Q201" i="1"/>
  <c r="J150" i="1"/>
  <c r="Q322" i="1"/>
  <c r="I279" i="1"/>
  <c r="I10" i="1"/>
  <c r="S184" i="1"/>
  <c r="K425" i="1"/>
  <c r="K185" i="1"/>
  <c r="Q240" i="1"/>
  <c r="R433" i="1"/>
  <c r="S459" i="1"/>
  <c r="S193" i="1"/>
  <c r="T160" i="1"/>
  <c r="R505" i="1"/>
  <c r="I76" i="1"/>
  <c r="Q161" i="1"/>
  <c r="Q391" i="1"/>
  <c r="R138" i="1"/>
  <c r="I419" i="1"/>
  <c r="K532" i="1"/>
  <c r="Q493" i="1"/>
  <c r="L185" i="1"/>
  <c r="S497" i="1"/>
  <c r="I580" i="1"/>
  <c r="I183" i="1"/>
  <c r="T174" i="1"/>
  <c r="K195" i="1"/>
  <c r="Q562" i="1"/>
  <c r="I387" i="1"/>
  <c r="I104" i="1"/>
  <c r="R475" i="1"/>
  <c r="I378" i="1"/>
  <c r="K496" i="1"/>
  <c r="I480" i="1"/>
  <c r="Q104" i="1"/>
  <c r="J173" i="1"/>
  <c r="S180" i="1"/>
  <c r="J295" i="1"/>
  <c r="R467" i="1"/>
  <c r="Q632" i="1"/>
  <c r="R534" i="1"/>
  <c r="S146" i="1"/>
  <c r="L134" i="1"/>
  <c r="I469" i="1"/>
  <c r="K167" i="1"/>
  <c r="Q422" i="1"/>
  <c r="K189" i="1"/>
  <c r="J473" i="1"/>
  <c r="Q549" i="1"/>
  <c r="Q451" i="1"/>
  <c r="I103" i="1"/>
  <c r="Q347" i="1"/>
  <c r="I323" i="1"/>
  <c r="K206" i="1"/>
  <c r="I357" i="1"/>
  <c r="R133" i="1"/>
  <c r="R147" i="1"/>
  <c r="I59" i="1"/>
  <c r="R165" i="1"/>
  <c r="K440" i="1"/>
  <c r="S128" i="1"/>
  <c r="Q382" i="1"/>
  <c r="I21" i="1"/>
  <c r="Q622" i="1"/>
  <c r="J330" i="1"/>
  <c r="K431" i="1"/>
  <c r="I92" i="1"/>
  <c r="I264" i="1"/>
  <c r="R261" i="1"/>
  <c r="Q600" i="1"/>
  <c r="J182" i="1"/>
  <c r="K448" i="1"/>
  <c r="R526" i="1"/>
  <c r="K505" i="1"/>
  <c r="T146" i="1"/>
  <c r="J144" i="1"/>
  <c r="K143" i="1"/>
  <c r="J273" i="1"/>
  <c r="Q164" i="1"/>
  <c r="I453" i="1"/>
  <c r="I162" i="1"/>
  <c r="I386" i="1"/>
  <c r="Q86" i="1"/>
  <c r="Q204" i="1"/>
  <c r="Q28" i="1"/>
  <c r="Q405" i="1"/>
  <c r="Q154" i="1"/>
  <c r="I200" i="1"/>
  <c r="R264" i="1"/>
  <c r="S453" i="1"/>
  <c r="Q361" i="1"/>
  <c r="I277" i="1"/>
  <c r="Q211" i="1"/>
  <c r="I300" i="1"/>
  <c r="S431" i="1"/>
  <c r="L165" i="1"/>
  <c r="Q336" i="1"/>
  <c r="Q623" i="1"/>
  <c r="Q78" i="1"/>
  <c r="J299" i="1"/>
  <c r="S516" i="1"/>
  <c r="K181" i="1"/>
  <c r="I137" i="1"/>
  <c r="Q496" i="1"/>
  <c r="I28" i="1"/>
  <c r="S181" i="1"/>
  <c r="Q355" i="1"/>
  <c r="R477" i="1"/>
  <c r="J502" i="1"/>
  <c r="J463" i="1"/>
  <c r="Q479" i="1"/>
  <c r="T139" i="1"/>
  <c r="S533" i="1"/>
  <c r="I245" i="1"/>
  <c r="I58" i="1"/>
  <c r="Q50" i="1"/>
  <c r="Q351" i="1"/>
  <c r="J179" i="1"/>
  <c r="K428" i="1"/>
  <c r="Q169" i="1"/>
  <c r="I340" i="1"/>
  <c r="L188" i="1"/>
  <c r="T187" i="1"/>
  <c r="Q566" i="1"/>
  <c r="Q264" i="1"/>
  <c r="I589" i="1"/>
  <c r="L189" i="1"/>
  <c r="R476" i="1"/>
  <c r="Q518" i="1"/>
  <c r="Q102" i="1"/>
  <c r="I24" i="1"/>
  <c r="I148" i="1"/>
  <c r="K187" i="1"/>
  <c r="S517" i="1"/>
  <c r="I504" i="1"/>
  <c r="R483" i="1"/>
  <c r="I597" i="1"/>
  <c r="I262" i="1"/>
  <c r="Q306" i="1"/>
  <c r="I326" i="1"/>
  <c r="K468" i="1"/>
  <c r="R208" i="1"/>
  <c r="I17" i="1"/>
  <c r="R205" i="1"/>
  <c r="R451" i="1"/>
  <c r="J175" i="1"/>
  <c r="Q460" i="1"/>
  <c r="K151" i="1"/>
  <c r="I606" i="1"/>
  <c r="I493" i="1"/>
  <c r="Q593" i="1"/>
  <c r="T189" i="1"/>
  <c r="I96" i="1"/>
  <c r="I550" i="1"/>
  <c r="R270" i="1"/>
  <c r="L168" i="1"/>
  <c r="I556" i="1"/>
  <c r="I150" i="1"/>
  <c r="R322" i="1"/>
  <c r="I634" i="1"/>
  <c r="I191" i="1"/>
  <c r="I500" i="1"/>
  <c r="Q319" i="1"/>
  <c r="R278" i="1"/>
  <c r="J277" i="1"/>
  <c r="L196" i="1"/>
  <c r="J425" i="1"/>
  <c r="Q585" i="1"/>
  <c r="I91" i="1"/>
  <c r="S186" i="1"/>
  <c r="Q491" i="1"/>
  <c r="I268" i="1"/>
  <c r="R200" i="1"/>
  <c r="I275" i="1"/>
  <c r="S462" i="1"/>
  <c r="J525" i="1"/>
  <c r="Q594" i="1"/>
  <c r="Q9" i="1"/>
  <c r="S519" i="1"/>
  <c r="J293" i="1"/>
  <c r="L148" i="1"/>
  <c r="I284" i="1"/>
  <c r="I523" i="1"/>
  <c r="I575" i="1"/>
  <c r="I90" i="1"/>
  <c r="R310" i="1"/>
  <c r="S175" i="1"/>
  <c r="I640" i="1"/>
  <c r="Q412" i="1"/>
  <c r="I126" i="1"/>
  <c r="I55" i="1"/>
  <c r="J439" i="1"/>
  <c r="S442" i="1"/>
  <c r="I209" i="1"/>
  <c r="Q199" i="1"/>
  <c r="Q346" i="1"/>
  <c r="J435" i="1"/>
  <c r="I166" i="1"/>
  <c r="I602" i="1"/>
  <c r="I427" i="1"/>
  <c r="I81" i="1"/>
  <c r="J162" i="1"/>
  <c r="I258" i="1"/>
  <c r="R266" i="1"/>
  <c r="Q54" i="1"/>
  <c r="I582" i="1"/>
  <c r="T190" i="1"/>
  <c r="Q520" i="1"/>
  <c r="Q12" i="1"/>
  <c r="R156" i="1"/>
  <c r="I253" i="1"/>
  <c r="T161" i="1"/>
  <c r="Q364" i="1"/>
  <c r="K459" i="1"/>
  <c r="Q394" i="1"/>
  <c r="K197" i="1"/>
  <c r="I75" i="1"/>
  <c r="Q19" i="1"/>
  <c r="K150" i="1"/>
  <c r="K500" i="1"/>
  <c r="R185" i="1"/>
  <c r="S441" i="1"/>
  <c r="K153" i="1"/>
  <c r="Q470" i="1"/>
  <c r="K485" i="1"/>
  <c r="Q534" i="1"/>
  <c r="J511" i="1"/>
  <c r="R284" i="1"/>
  <c r="I412" i="1"/>
  <c r="I274" i="1"/>
  <c r="I444" i="1"/>
  <c r="Q95" i="1"/>
  <c r="I140" i="1"/>
  <c r="K441" i="1"/>
  <c r="Q43" i="1"/>
  <c r="I399" i="1"/>
  <c r="Q561" i="1"/>
  <c r="I186" i="1"/>
  <c r="S136" i="1"/>
  <c r="J492" i="1"/>
  <c r="Q42" i="1"/>
  <c r="J205" i="1"/>
  <c r="R295" i="1"/>
  <c r="I15" i="1"/>
  <c r="Q417" i="1"/>
  <c r="S505" i="1"/>
  <c r="I153" i="1"/>
  <c r="Q98" i="1"/>
  <c r="J189" i="1"/>
  <c r="Q489" i="1"/>
  <c r="I231" i="1"/>
  <c r="J190" i="1"/>
  <c r="I552" i="1"/>
  <c r="Q51" i="1"/>
  <c r="J156" i="1"/>
  <c r="R162" i="1"/>
  <c r="R417" i="1"/>
  <c r="I240" i="1"/>
  <c r="R198" i="1"/>
  <c r="R194" i="1"/>
  <c r="K452" i="1"/>
  <c r="Q175" i="1"/>
  <c r="K447" i="1"/>
  <c r="R283" i="1"/>
  <c r="I226" i="1"/>
  <c r="I197" i="1"/>
  <c r="J458" i="1"/>
  <c r="J262" i="1"/>
  <c r="J296" i="1"/>
  <c r="K507" i="1"/>
  <c r="Q91" i="1"/>
  <c r="R508" i="1"/>
  <c r="I463" i="1"/>
  <c r="K144" i="1"/>
  <c r="J149" i="1"/>
  <c r="Q501" i="1"/>
  <c r="I384" i="1"/>
  <c r="I194" i="1"/>
  <c r="R192" i="1"/>
  <c r="Q414" i="1"/>
  <c r="I50" i="1"/>
  <c r="S523" i="1"/>
  <c r="I20" i="1"/>
  <c r="T140" i="1"/>
  <c r="Q519" i="1"/>
  <c r="Q129" i="1"/>
  <c r="Q87" i="1"/>
  <c r="J494" i="1"/>
  <c r="I168" i="1"/>
  <c r="Q624" i="1"/>
  <c r="Q56" i="1"/>
  <c r="I217" i="1"/>
  <c r="Q280" i="1"/>
  <c r="I641" i="1"/>
  <c r="I285" i="1"/>
  <c r="I304" i="1"/>
  <c r="J510" i="1"/>
  <c r="I195" i="1"/>
  <c r="T182" i="1"/>
  <c r="J512" i="1"/>
  <c r="K137" i="1"/>
  <c r="K160" i="1"/>
  <c r="Q83" i="1"/>
  <c r="K509" i="1"/>
  <c r="Q641" i="1"/>
  <c r="R175" i="1"/>
  <c r="K164" i="1"/>
  <c r="I333" i="1"/>
  <c r="S199" i="1"/>
  <c r="Q424" i="1"/>
  <c r="R455" i="1"/>
  <c r="Q404" i="1"/>
  <c r="I154" i="1"/>
  <c r="I283" i="1"/>
  <c r="R437" i="1"/>
  <c r="S161" i="1"/>
  <c r="S501" i="1"/>
  <c r="Q334" i="1"/>
  <c r="I77" i="1"/>
  <c r="T168" i="1"/>
  <c r="I13" i="1"/>
  <c r="R281" i="1"/>
  <c r="Q353" i="1"/>
  <c r="R458" i="1"/>
  <c r="K201" i="1"/>
  <c r="Q577" i="1"/>
  <c r="K527" i="1"/>
  <c r="S423" i="1"/>
  <c r="I405" i="1"/>
  <c r="T151" i="1"/>
  <c r="Q472" i="1"/>
  <c r="S476" i="1"/>
  <c r="Q542" i="1"/>
  <c r="Q103" i="1"/>
  <c r="K141" i="1"/>
  <c r="Q10" i="1"/>
  <c r="Q49" i="1"/>
  <c r="R260" i="1"/>
  <c r="I263" i="1"/>
  <c r="I346" i="1"/>
  <c r="T127" i="1"/>
  <c r="K504" i="1"/>
  <c r="I584" i="1"/>
  <c r="Q613" i="1"/>
  <c r="Q231" i="1"/>
  <c r="Q149" i="1"/>
  <c r="S209" i="1"/>
  <c r="J507" i="1"/>
  <c r="T147" i="1"/>
  <c r="I97" i="1"/>
  <c r="J176" i="1"/>
  <c r="J284" i="1"/>
  <c r="I30" i="1"/>
  <c r="R164" i="1"/>
  <c r="R303" i="1"/>
  <c r="I190" i="1"/>
  <c r="Q143" i="1"/>
  <c r="K173" i="1"/>
  <c r="I569" i="1"/>
  <c r="S174" i="1"/>
  <c r="J303" i="1"/>
  <c r="Q620" i="1"/>
  <c r="T170" i="1"/>
  <c r="T192" i="1"/>
  <c r="T175" i="1"/>
  <c r="I100" i="1"/>
  <c r="I225" i="1"/>
  <c r="R206" i="1"/>
  <c r="T186" i="1"/>
  <c r="R203" i="1"/>
  <c r="R494" i="1"/>
  <c r="I330" i="1"/>
  <c r="S137" i="1"/>
  <c r="I255" i="1"/>
  <c r="I383" i="1"/>
  <c r="K488" i="1"/>
  <c r="T130" i="1"/>
  <c r="Q24" i="1"/>
  <c r="Q630" i="1"/>
  <c r="I272" i="1"/>
  <c r="R313" i="1"/>
  <c r="Q402" i="1"/>
  <c r="R319" i="1"/>
  <c r="Q219" i="1"/>
  <c r="I199" i="1"/>
  <c r="Q200" i="1"/>
  <c r="I620" i="1"/>
  <c r="R502" i="1"/>
  <c r="K445" i="1"/>
  <c r="J423" i="1"/>
  <c r="Q504" i="1"/>
  <c r="K171" i="1"/>
  <c r="R499" i="1"/>
  <c r="Q223" i="1"/>
  <c r="Q153" i="1"/>
  <c r="Q485" i="1"/>
  <c r="T134" i="1"/>
  <c r="Q88" i="1"/>
  <c r="Q181" i="1"/>
  <c r="Q498" i="1"/>
  <c r="K484" i="1"/>
  <c r="I361" i="1"/>
  <c r="Q605" i="1"/>
  <c r="J504" i="1"/>
  <c r="I265" i="1"/>
  <c r="I131" i="1"/>
  <c r="I501" i="1"/>
  <c r="J429" i="1"/>
  <c r="J266" i="1"/>
  <c r="K523" i="1"/>
  <c r="J475" i="1"/>
  <c r="R456" i="1"/>
  <c r="S524" i="1"/>
  <c r="Q80" i="1"/>
  <c r="J286" i="1"/>
  <c r="I23" i="1"/>
  <c r="S138" i="1"/>
  <c r="Q253" i="1"/>
  <c r="R145" i="1"/>
  <c r="I588" i="1"/>
  <c r="R178" i="1"/>
  <c r="I646" i="1"/>
  <c r="I366" i="1"/>
  <c r="Q46" i="1"/>
  <c r="I254" i="1"/>
  <c r="L206" i="1"/>
  <c r="I418" i="1"/>
  <c r="J534" i="1"/>
  <c r="Q357" i="1"/>
  <c r="I84" i="1"/>
  <c r="I25" i="1"/>
  <c r="L187" i="1"/>
  <c r="R130" i="1"/>
  <c r="J201" i="1"/>
  <c r="S179" i="1"/>
  <c r="Q41" i="1"/>
  <c r="Q601" i="1"/>
  <c r="I417" i="1"/>
  <c r="S201" i="1"/>
  <c r="J433" i="1"/>
  <c r="J470" i="1"/>
  <c r="J441" i="1"/>
  <c r="T208" i="1"/>
  <c r="I623" i="1"/>
  <c r="Q100" i="1"/>
  <c r="K476" i="1"/>
  <c r="I411" i="1"/>
  <c r="I19" i="1"/>
  <c r="I53" i="1"/>
  <c r="I54" i="1"/>
  <c r="L179" i="1"/>
  <c r="T141" i="1"/>
  <c r="I303" i="1"/>
  <c r="I531" i="1"/>
  <c r="Q349" i="1"/>
  <c r="L174" i="1"/>
  <c r="R160" i="1"/>
  <c r="R302" i="1"/>
  <c r="Q288" i="1"/>
  <c r="I174" i="1"/>
  <c r="I101" i="1"/>
  <c r="J195" i="1"/>
  <c r="L127" i="1"/>
  <c r="T150" i="1"/>
  <c r="J522" i="1"/>
  <c r="I141" i="1"/>
  <c r="J460" i="1"/>
  <c r="K133" i="1"/>
  <c r="J191" i="1"/>
  <c r="R473" i="1"/>
  <c r="R169" i="1"/>
  <c r="I583" i="1"/>
  <c r="R509" i="1"/>
  <c r="L194" i="1"/>
  <c r="R321" i="1"/>
  <c r="Q540" i="1"/>
  <c r="I98" i="1"/>
  <c r="I536" i="1"/>
  <c r="Q546" i="1"/>
  <c r="L177" i="1"/>
  <c r="R421" i="1"/>
  <c r="I158" i="1"/>
  <c r="Q635" i="1"/>
  <c r="I221" i="1"/>
  <c r="I594" i="1"/>
  <c r="Q482" i="1"/>
  <c r="Q603" i="1"/>
  <c r="I621" i="1"/>
  <c r="K194" i="1"/>
  <c r="Q510" i="1"/>
  <c r="I595" i="1"/>
  <c r="L156" i="1"/>
  <c r="I93" i="1"/>
  <c r="K127" i="1"/>
  <c r="Q348" i="1"/>
  <c r="J287" i="1"/>
  <c r="K204" i="1"/>
  <c r="Q190" i="1"/>
  <c r="Q627" i="1"/>
  <c r="S208" i="1"/>
  <c r="Q428" i="1"/>
  <c r="Q171" i="1"/>
  <c r="Q293" i="1"/>
  <c r="Q398" i="1"/>
  <c r="I388" i="1"/>
  <c r="Q327" i="1"/>
  <c r="K419" i="1"/>
  <c r="S141" i="1"/>
  <c r="Q182" i="1"/>
  <c r="Q146" i="1"/>
  <c r="K203" i="1"/>
  <c r="K513" i="1"/>
  <c r="Q419" i="1"/>
  <c r="Q84" i="1"/>
  <c r="S177" i="1"/>
  <c r="J269" i="1"/>
  <c r="Q258" i="1"/>
  <c r="Q235" i="1"/>
  <c r="Q178" i="1"/>
  <c r="L192" i="1"/>
  <c r="I224" i="1"/>
  <c r="R209" i="1"/>
  <c r="I178" i="1"/>
  <c r="I593" i="1"/>
  <c r="Q434" i="1"/>
  <c r="Q429" i="1"/>
  <c r="S451" i="1"/>
  <c r="Q272" i="1"/>
  <c r="Q555" i="1"/>
  <c r="I82" i="1"/>
  <c r="J138" i="1"/>
  <c r="I392" i="1"/>
  <c r="Q446" i="1"/>
  <c r="I574" i="1"/>
  <c r="Q557" i="1"/>
  <c r="Q221" i="1"/>
  <c r="I145" i="1"/>
  <c r="Q222" i="1"/>
  <c r="S530" i="1"/>
  <c r="T135" i="1"/>
  <c r="K464" i="1"/>
  <c r="R443" i="1"/>
  <c r="J209" i="1"/>
  <c r="S509" i="1"/>
  <c r="I243" i="1"/>
  <c r="I79" i="1"/>
  <c r="Q597" i="1"/>
  <c r="I372" i="1"/>
  <c r="Q194" i="1"/>
  <c r="S468" i="1"/>
  <c r="R493" i="1"/>
  <c r="S178" i="1"/>
  <c r="S143" i="1"/>
  <c r="I579" i="1"/>
  <c r="J509" i="1"/>
  <c r="T145" i="1"/>
  <c r="I455" i="1"/>
  <c r="R449" i="1"/>
  <c r="I219" i="1"/>
  <c r="Q321" i="1"/>
  <c r="I105" i="1"/>
  <c r="S428" i="1"/>
  <c r="I205" i="1"/>
  <c r="I144" i="1"/>
  <c r="I8" i="1"/>
  <c r="R189" i="1"/>
  <c r="I324" i="1"/>
  <c r="S183" i="1"/>
  <c r="Q647" i="1"/>
  <c r="S197" i="1"/>
  <c r="Q633" i="1"/>
  <c r="J282" i="1"/>
  <c r="Q570" i="1"/>
  <c r="K193" i="1"/>
  <c r="Q365" i="1"/>
  <c r="Q609" i="1"/>
  <c r="I102" i="1"/>
  <c r="S460" i="1"/>
  <c r="I138" i="1"/>
  <c r="J420" i="1"/>
  <c r="I489" i="1"/>
  <c r="L137" i="1"/>
  <c r="S420" i="1"/>
  <c r="S191" i="1"/>
  <c r="Q145" i="1"/>
  <c r="K469" i="1"/>
  <c r="T206" i="1"/>
  <c r="I426" i="1"/>
  <c r="S483" i="1"/>
  <c r="J290" i="1"/>
  <c r="I473" i="1"/>
  <c r="T205" i="1"/>
  <c r="Q92" i="1"/>
  <c r="Q48" i="1"/>
  <c r="K199" i="1"/>
  <c r="Q538" i="1"/>
  <c r="L150" i="1"/>
  <c r="I509" i="1"/>
  <c r="Q166" i="1"/>
  <c r="Q259" i="1"/>
  <c r="J143" i="1"/>
  <c r="R183" i="1"/>
  <c r="I161" i="1"/>
  <c r="I438" i="1"/>
  <c r="R136" i="1"/>
  <c r="S514" i="1"/>
  <c r="R434" i="1"/>
  <c r="I351" i="1"/>
  <c r="Q89" i="1"/>
  <c r="R425" i="1"/>
  <c r="I173" i="1"/>
  <c r="S432" i="1"/>
  <c r="S421" i="1"/>
  <c r="R445" i="1"/>
  <c r="I502" i="1"/>
  <c r="I353" i="1"/>
  <c r="S135" i="1"/>
  <c r="R323" i="1"/>
  <c r="S192" i="1"/>
  <c r="I317" i="1"/>
  <c r="I239" i="1"/>
  <c r="I249" i="1"/>
  <c r="Q607" i="1"/>
  <c r="S472" i="1"/>
  <c r="L178" i="1"/>
  <c r="S164" i="1"/>
  <c r="I309" i="1"/>
  <c r="R444" i="1"/>
  <c r="K457" i="1"/>
  <c r="L161" i="1"/>
  <c r="I270" i="1"/>
  <c r="I85" i="1"/>
  <c r="T198" i="1"/>
  <c r="K174" i="1"/>
  <c r="Q471" i="1"/>
  <c r="R179" i="1"/>
  <c r="S188" i="1"/>
  <c r="Q544" i="1"/>
  <c r="I236" i="1"/>
  <c r="Q295" i="1"/>
  <c r="T137" i="1"/>
  <c r="Q341" i="1"/>
  <c r="L198" i="1"/>
  <c r="I143" i="1"/>
  <c r="I429" i="1"/>
  <c r="R464" i="1"/>
  <c r="Q324" i="1"/>
  <c r="Q77" i="1"/>
  <c r="I237" i="1"/>
  <c r="K208" i="1"/>
  <c r="R428" i="1"/>
  <c r="Q179" i="1"/>
  <c r="Q142" i="1"/>
  <c r="K506" i="1"/>
  <c r="Q531" i="1"/>
  <c r="J477" i="1"/>
  <c r="T164" i="1"/>
  <c r="J136" i="1"/>
  <c r="K458" i="1"/>
  <c r="S522" i="1"/>
  <c r="I565" i="1"/>
  <c r="R301" i="1"/>
  <c r="Q97" i="1"/>
  <c r="I624" i="1"/>
  <c r="Q8" i="1"/>
  <c r="R128" i="1"/>
  <c r="S156" i="1"/>
  <c r="J501" i="1"/>
  <c r="I625" i="1"/>
  <c r="Q30" i="1"/>
  <c r="J131" i="1"/>
  <c r="I517" i="1"/>
  <c r="Q147" i="1"/>
  <c r="Q521" i="1"/>
  <c r="J324" i="1"/>
  <c r="R288" i="1"/>
  <c r="J519" i="1"/>
  <c r="L128" i="1"/>
  <c r="I95" i="1"/>
  <c r="R312" i="1"/>
  <c r="K534" i="1"/>
  <c r="Q550" i="1"/>
  <c r="J184" i="1"/>
  <c r="J280" i="1"/>
  <c r="R269" i="1"/>
  <c r="S133" i="1"/>
  <c r="L155" i="1"/>
  <c r="S465" i="1"/>
  <c r="I638" i="1"/>
  <c r="J500" i="1"/>
  <c r="I462" i="1"/>
  <c r="I282" i="1"/>
  <c r="I155" i="1"/>
  <c r="R280" i="1"/>
  <c r="Q93" i="1"/>
  <c r="R290" i="1"/>
  <c r="S203" i="1"/>
  <c r="S511" i="1"/>
  <c r="R427" i="1"/>
  <c r="I380" i="1"/>
  <c r="I432" i="1"/>
  <c r="I356" i="1"/>
  <c r="I452" i="1"/>
  <c r="Q345" i="1"/>
  <c r="I633" i="1"/>
  <c r="R277" i="1"/>
  <c r="R195" i="1"/>
  <c r="Q381" i="1"/>
  <c r="R454" i="1"/>
  <c r="T179" i="1"/>
  <c r="I88" i="1"/>
  <c r="R503" i="1"/>
  <c r="I41" i="1"/>
  <c r="I9" i="1"/>
  <c r="I202" i="1"/>
  <c r="Q532" i="1"/>
  <c r="I208" i="1"/>
  <c r="S520" i="1"/>
  <c r="Q342" i="1"/>
  <c r="I520" i="1"/>
  <c r="J185" i="1"/>
  <c r="R430" i="1"/>
  <c r="L166" i="1"/>
  <c r="Q435" i="1"/>
  <c r="R416" i="1"/>
  <c r="Q148" i="1"/>
  <c r="Q81" i="1"/>
  <c r="R307" i="1"/>
  <c r="I393" i="1"/>
  <c r="L138" i="1"/>
  <c r="T177" i="1"/>
  <c r="I362" i="1"/>
  <c r="J468" i="1"/>
  <c r="Q457" i="1"/>
  <c r="S145" i="1"/>
  <c r="I464" i="1"/>
  <c r="J197" i="1"/>
  <c r="J271" i="1"/>
  <c r="S455" i="1"/>
  <c r="S419" i="1"/>
  <c r="I544" i="1"/>
  <c r="J480" i="1"/>
  <c r="J520" i="1"/>
  <c r="I534" i="1"/>
  <c r="J134" i="1"/>
  <c r="R507" i="1"/>
  <c r="K175" i="1"/>
  <c r="J325" i="1"/>
  <c r="I576" i="1"/>
  <c r="Q79" i="1"/>
  <c r="J260" i="1"/>
  <c r="S205" i="1"/>
  <c r="S207" i="1"/>
  <c r="S130" i="1"/>
  <c r="R318" i="1"/>
  <c r="Q545" i="1"/>
  <c r="Q135" i="1"/>
  <c r="T180" i="1"/>
  <c r="R163" i="1"/>
  <c r="Q459" i="1"/>
  <c r="R329" i="1"/>
  <c r="Q453" i="1"/>
  <c r="J535" i="1"/>
  <c r="K535" i="1"/>
  <c r="Q101" i="1"/>
  <c r="S152" i="1"/>
  <c r="Q637" i="1"/>
  <c r="L184" i="1"/>
  <c r="T178" i="1"/>
  <c r="I181" i="1"/>
  <c r="I649" i="1"/>
  <c r="T166" i="1"/>
  <c r="S464" i="1"/>
  <c r="Q273" i="1"/>
  <c r="Q461" i="1"/>
  <c r="I12" i="1"/>
  <c r="Q494" i="1"/>
  <c r="Q141" i="1"/>
  <c r="I327" i="1"/>
  <c r="J267" i="1"/>
  <c r="Q99" i="1"/>
  <c r="J207" i="1"/>
  <c r="J467" i="1"/>
  <c r="J140" i="1"/>
  <c r="Q4" i="1"/>
  <c r="R155" i="1"/>
  <c r="Q604" i="1"/>
  <c r="Q127" i="1"/>
  <c r="I325" i="1"/>
  <c r="R324" i="1"/>
  <c r="I414" i="1"/>
  <c r="R496" i="1"/>
  <c r="R207" i="1"/>
  <c r="Q316" i="1"/>
  <c r="I402" i="1"/>
  <c r="Q168" i="1"/>
  <c r="Q94" i="1"/>
  <c r="J161" i="1"/>
  <c r="T195" i="1"/>
  <c r="Q163" i="1"/>
  <c r="Q384" i="1"/>
  <c r="R530" i="1"/>
  <c r="I169" i="1"/>
  <c r="I295" i="1"/>
  <c r="L149" i="1"/>
  <c r="L160" i="1"/>
  <c r="Q335" i="1"/>
  <c r="S430" i="1"/>
  <c r="K515" i="1"/>
  <c r="K487" i="1"/>
  <c r="Q436" i="1"/>
  <c r="Q363" i="1"/>
  <c r="I87" i="1"/>
  <c r="Q462" i="1"/>
  <c r="Q47" i="1"/>
  <c r="I52" i="1"/>
  <c r="Q16" i="1"/>
  <c r="R482" i="1"/>
  <c r="I482" i="1"/>
  <c r="J459" i="1"/>
  <c r="Q281" i="1"/>
  <c r="S153" i="1"/>
  <c r="I413" i="1"/>
  <c r="Q383" i="1"/>
  <c r="Q243" i="1"/>
  <c r="I133" i="1"/>
  <c r="S488" i="1"/>
  <c r="Q431" i="1"/>
  <c r="I86" i="1"/>
  <c r="Q15" i="1"/>
  <c r="K502" i="1"/>
  <c r="S132" i="1"/>
  <c r="R285" i="1"/>
  <c r="T203" i="1"/>
  <c r="R299" i="1"/>
  <c r="K198" i="1"/>
  <c r="J265" i="1"/>
  <c r="K126" i="1"/>
  <c r="Q206" i="1"/>
  <c r="Q474" i="1"/>
  <c r="I466" i="1"/>
  <c r="T196" i="1"/>
  <c r="K486" i="1"/>
  <c r="K460" i="1"/>
  <c r="I80" i="1"/>
  <c r="I180" i="1"/>
  <c r="S503" i="1"/>
  <c r="R137" i="1"/>
  <c r="Q137" i="1"/>
  <c r="I184" i="1"/>
  <c r="J146" i="1"/>
  <c r="R317" i="1"/>
  <c r="L159" i="1"/>
  <c r="I540" i="1"/>
  <c r="R532" i="1"/>
  <c r="Q558" i="1"/>
  <c r="I187" i="1"/>
  <c r="I440" i="1"/>
  <c r="R487" i="1"/>
  <c r="Q271" i="1"/>
  <c r="R191" i="1"/>
  <c r="Q602" i="1"/>
  <c r="I549" i="1"/>
  <c r="I177" i="1"/>
  <c r="L190" i="1"/>
  <c r="R282" i="1"/>
  <c r="Q463" i="1"/>
  <c r="S435" i="1"/>
  <c r="Q551" i="1"/>
  <c r="I337" i="1"/>
  <c r="I406" i="1"/>
  <c r="J466" i="1"/>
  <c r="I248" i="1"/>
  <c r="K521" i="1"/>
  <c r="S439" i="1"/>
  <c r="J419" i="1"/>
  <c r="J426" i="1"/>
  <c r="Q403" i="1"/>
  <c r="Q329" i="1"/>
  <c r="Q499" i="1"/>
  <c r="R461" i="1"/>
  <c r="I94" i="1"/>
  <c r="I527" i="1"/>
  <c r="K149" i="1"/>
  <c r="J516" i="1"/>
  <c r="Q225" i="1"/>
  <c r="I420" i="1"/>
  <c r="J417" i="1"/>
  <c r="K472" i="1"/>
  <c r="J206" i="1"/>
  <c r="J471" i="1"/>
  <c r="Q579" i="1"/>
  <c r="I335" i="1"/>
  <c r="J486" i="1"/>
  <c r="S149" i="1"/>
  <c r="Q599" i="1"/>
  <c r="J285" i="1"/>
  <c r="J514" i="1"/>
  <c r="Q152" i="1"/>
  <c r="I11" i="1"/>
  <c r="I535" i="1"/>
  <c r="R497" i="1"/>
  <c r="R435" i="1"/>
  <c r="J513" i="1"/>
  <c r="Q193" i="1"/>
  <c r="J203" i="1"/>
  <c r="K498" i="1"/>
  <c r="R474" i="1"/>
  <c r="Q186" i="1"/>
  <c r="S134" i="1"/>
  <c r="Q53" i="1"/>
  <c r="S170" i="1"/>
  <c r="L183" i="1"/>
  <c r="S151" i="1"/>
  <c r="S481" i="1"/>
  <c r="K455" i="1"/>
  <c r="T184" i="1"/>
  <c r="J422" i="1"/>
  <c r="Q289" i="1"/>
  <c r="I152" i="1"/>
  <c r="I627" i="1"/>
  <c r="S485" i="1"/>
  <c r="R472" i="1"/>
  <c r="I56" i="1"/>
  <c r="Q159" i="1"/>
  <c r="Q568" i="1"/>
  <c r="K522" i="1"/>
  <c r="I4" i="1"/>
  <c r="R157" i="1"/>
  <c r="Q438" i="1"/>
  <c r="K426" i="1"/>
  <c r="I146" i="1"/>
  <c r="I615" i="1"/>
  <c r="J474" i="1"/>
  <c r="Q523" i="1"/>
  <c r="J200" i="1"/>
  <c r="I459" i="1"/>
  <c r="K182" i="1"/>
  <c r="K446" i="1"/>
  <c r="Q368" i="1"/>
  <c r="Q643" i="1"/>
  <c r="Q608" i="1"/>
  <c r="R422" i="1"/>
  <c r="I286" i="1"/>
  <c r="L154" i="1"/>
  <c r="Q282" i="1"/>
  <c r="R490" i="1"/>
  <c r="J139" i="1"/>
  <c r="R275" i="1"/>
  <c r="R492" i="1"/>
  <c r="J153" i="1"/>
  <c r="R291" i="1"/>
  <c r="L209" i="1"/>
  <c r="J437" i="1"/>
  <c r="S155" i="1"/>
  <c r="J193" i="1"/>
  <c r="S187" i="1"/>
  <c r="J526" i="1"/>
  <c r="I608" i="1"/>
  <c r="Q511" i="1"/>
  <c r="I170" i="1"/>
  <c r="R488" i="1"/>
  <c r="Q278" i="1"/>
  <c r="Q380" i="1"/>
  <c r="T201" i="1"/>
  <c r="I524" i="1"/>
  <c r="R286" i="1"/>
  <c r="J322" i="1"/>
  <c r="Q456" i="1"/>
  <c r="Q567" i="1"/>
  <c r="Q606" i="1"/>
  <c r="K418" i="1"/>
  <c r="Q26" i="1"/>
  <c r="I57" i="1"/>
  <c r="Q300" i="1"/>
  <c r="K423" i="1"/>
  <c r="S531" i="1"/>
  <c r="Q69" i="1"/>
  <c r="J152" i="1"/>
  <c r="K519" i="1"/>
  <c r="I289" i="1"/>
  <c r="I6" i="1"/>
  <c r="Q515" i="1"/>
  <c r="L169" i="1"/>
  <c r="Q247" i="1"/>
  <c r="K482" i="1"/>
  <c r="J178" i="1"/>
  <c r="J306" i="1"/>
  <c r="Q614" i="1"/>
  <c r="J157" i="1"/>
  <c r="R142" i="1"/>
  <c r="Q216" i="1"/>
  <c r="I478" i="1"/>
  <c r="Q529" i="1"/>
  <c r="I37" i="1"/>
  <c r="Q452" i="1"/>
  <c r="L172" i="1"/>
  <c r="I198" i="1"/>
  <c r="Q411" i="1"/>
  <c r="I345" i="1"/>
  <c r="Q488" i="1"/>
  <c r="Q90" i="1"/>
  <c r="K489" i="1"/>
  <c r="T207" i="1"/>
  <c r="I468" i="1"/>
  <c r="I538" i="1"/>
  <c r="Q375" i="1"/>
  <c r="R327" i="1"/>
  <c r="Q626" i="1"/>
  <c r="Q376" i="1"/>
  <c r="R462" i="1"/>
  <c r="R180" i="1"/>
  <c r="Q34" i="1"/>
  <c r="Q6" i="1"/>
  <c r="S493" i="1"/>
  <c r="I130" i="1"/>
  <c r="K450" i="1"/>
  <c r="I128" i="1"/>
  <c r="Q130" i="1"/>
  <c r="S167" i="1"/>
  <c r="J181" i="1"/>
  <c r="Q263" i="1"/>
  <c r="I450" i="1"/>
  <c r="Q256" i="1"/>
  <c r="Q359" i="1"/>
  <c r="R293" i="1"/>
  <c r="I250" i="1"/>
  <c r="J170" i="1"/>
  <c r="J272" i="1"/>
  <c r="S140" i="1"/>
  <c r="Q427" i="1"/>
  <c r="J159" i="1"/>
  <c r="S500" i="1"/>
  <c r="S206" i="1"/>
  <c r="Q587" i="1"/>
  <c r="J311" i="1"/>
  <c r="Q151" i="1"/>
  <c r="I618" i="1"/>
  <c r="Q13" i="1"/>
  <c r="R513" i="1"/>
  <c r="I251" i="1"/>
  <c r="R182" i="1"/>
  <c r="R127" i="1"/>
  <c r="I605" i="1"/>
  <c r="Q502" i="1"/>
  <c r="I147" i="1"/>
  <c r="Q358" i="1"/>
  <c r="Q552" i="1"/>
  <c r="T209" i="1"/>
  <c r="R320" i="1"/>
  <c r="S172" i="1"/>
  <c r="Q237" i="1"/>
  <c r="R204" i="1"/>
  <c r="J436" i="1"/>
  <c r="I604" i="1"/>
  <c r="I135" i="1"/>
  <c r="I364" i="1"/>
  <c r="S165" i="1"/>
  <c r="I553" i="1"/>
  <c r="I238" i="1"/>
  <c r="S470" i="1"/>
  <c r="R419" i="1"/>
  <c r="R439" i="1"/>
  <c r="Q138" i="1"/>
  <c r="R174" i="1"/>
  <c r="K530" i="1"/>
  <c r="Q477" i="1"/>
  <c r="Q476" i="1"/>
  <c r="I156" i="1"/>
  <c r="J416" i="1"/>
  <c r="I269" i="1"/>
  <c r="I470" i="1"/>
  <c r="Q560" i="1"/>
  <c r="Q503" i="1"/>
  <c r="R438" i="1"/>
  <c r="Q292" i="1"/>
  <c r="R316" i="1"/>
  <c r="K501" i="1"/>
  <c r="I394" i="1"/>
  <c r="J204" i="1"/>
  <c r="I189" i="1"/>
  <c r="I421" i="1"/>
  <c r="I609" i="1"/>
  <c r="S202" i="1"/>
  <c r="J527" i="1"/>
  <c r="Q64" i="1"/>
  <c r="I266" i="1"/>
  <c r="Q367" i="1"/>
  <c r="Q362" i="1"/>
  <c r="T156" i="1"/>
  <c r="R172" i="1"/>
  <c r="Q390" i="1"/>
  <c r="Q203" i="1"/>
  <c r="Q481" i="1"/>
  <c r="K128" i="1"/>
  <c r="L176" i="1"/>
  <c r="S426" i="1"/>
  <c r="J508" i="1"/>
  <c r="Q559" i="1"/>
  <c r="Q228" i="1"/>
  <c r="T149" i="1"/>
  <c r="I256" i="1"/>
  <c r="K159" i="1"/>
  <c r="J135" i="1"/>
  <c r="K438" i="1"/>
  <c r="I51" i="1"/>
  <c r="Q205" i="1"/>
  <c r="K490" i="1"/>
  <c r="I230" i="1"/>
  <c r="T193" i="1"/>
  <c r="K177" i="1"/>
  <c r="K416" i="1"/>
  <c r="R186" i="1"/>
  <c r="Q294" i="1"/>
  <c r="L139" i="1"/>
  <c r="R504" i="1"/>
  <c r="J208" i="1"/>
  <c r="Q535" i="1"/>
  <c r="I293" i="1"/>
  <c r="I318" i="1"/>
  <c r="Q55" i="1"/>
  <c r="L207" i="1"/>
  <c r="K205" i="1"/>
  <c r="R151" i="1"/>
  <c r="I260" i="1"/>
  <c r="I441" i="1"/>
  <c r="Q20" i="1"/>
  <c r="Q25" i="1"/>
  <c r="S491" i="1"/>
  <c r="R450" i="1"/>
  <c r="S528" i="1"/>
  <c r="I564" i="1"/>
  <c r="Q285" i="1"/>
  <c r="S508" i="1"/>
  <c r="S159" i="1"/>
  <c r="K510" i="1"/>
  <c r="K479" i="1"/>
  <c r="I164" i="1"/>
  <c r="R171" i="1"/>
  <c r="I223" i="1"/>
  <c r="R420" i="1"/>
  <c r="S142" i="1"/>
  <c r="R500" i="1"/>
  <c r="Q352" i="1"/>
  <c r="J445" i="1"/>
  <c r="S467" i="1"/>
  <c r="I319" i="1"/>
  <c r="K191" i="1"/>
  <c r="L167" i="1"/>
  <c r="L191" i="1"/>
  <c r="S525" i="1"/>
  <c r="Q233" i="1"/>
  <c r="J168" i="1"/>
  <c r="K524" i="1"/>
  <c r="R511" i="1"/>
  <c r="K461" i="1"/>
  <c r="J489" i="1"/>
  <c r="S440" i="1"/>
  <c r="K152" i="1"/>
  <c r="K494" i="1"/>
  <c r="Q473" i="1"/>
  <c r="R522" i="1"/>
  <c r="Q478" i="1"/>
  <c r="I546" i="1"/>
  <c r="I498" i="1"/>
  <c r="S492" i="1"/>
  <c r="I390" i="1"/>
  <c r="L136" i="1"/>
  <c r="J517" i="1"/>
  <c r="R304" i="1"/>
  <c r="K429" i="1"/>
  <c r="T188" i="1"/>
  <c r="L199" i="1"/>
  <c r="J482" i="1"/>
  <c r="R510" i="1"/>
  <c r="I160" i="1"/>
  <c r="R470" i="1"/>
  <c r="J304" i="1"/>
  <c r="K517" i="1"/>
  <c r="Q209" i="1"/>
  <c r="Q239" i="1"/>
  <c r="Q588" i="1"/>
  <c r="J496" i="1"/>
  <c r="J314" i="1"/>
  <c r="I539" i="1"/>
  <c r="T158" i="1"/>
  <c r="S139" i="1"/>
  <c r="I334" i="1"/>
  <c r="Q250" i="1"/>
  <c r="I71" i="1"/>
  <c r="J316" i="1"/>
  <c r="S478" i="1"/>
  <c r="Q592" i="1"/>
  <c r="Q458" i="1"/>
  <c r="Q27" i="1"/>
  <c r="J532" i="1"/>
  <c r="I280" i="1"/>
  <c r="R141" i="1"/>
  <c r="I211" i="1"/>
  <c r="I290" i="1"/>
  <c r="I69" i="1"/>
  <c r="I281" i="1"/>
  <c r="R158" i="1"/>
  <c r="K130" i="1"/>
  <c r="I542" i="1"/>
  <c r="T185" i="1"/>
  <c r="I185" i="1"/>
  <c r="I497" i="1"/>
  <c r="S469" i="1"/>
  <c r="Q590" i="1"/>
  <c r="J505" i="1"/>
  <c r="L140" i="1"/>
  <c r="J180" i="1"/>
  <c r="J174" i="1"/>
  <c r="I314" i="1"/>
  <c r="I586" i="1"/>
  <c r="I234" i="1"/>
  <c r="Q162" i="1"/>
  <c r="J476" i="1"/>
  <c r="Q252" i="1"/>
  <c r="I515" i="1"/>
  <c r="I510" i="1"/>
  <c r="Q393" i="1"/>
  <c r="Q323" i="1"/>
  <c r="J446" i="1"/>
  <c r="I374" i="1"/>
  <c r="J462" i="1"/>
  <c r="R519" i="1"/>
  <c r="Q317" i="1"/>
  <c r="R166" i="1"/>
  <c r="T181" i="1"/>
  <c r="S171" i="1"/>
  <c r="R279" i="1"/>
  <c r="Q315" i="1"/>
  <c r="I321" i="1"/>
  <c r="I600" i="1"/>
  <c r="R132" i="1"/>
  <c r="Q513" i="1"/>
  <c r="Q514" i="1"/>
  <c r="I257" i="1"/>
  <c r="Q212" i="1"/>
  <c r="T148" i="1"/>
  <c r="Q246" i="1"/>
  <c r="I454" i="1"/>
  <c r="L205" i="1"/>
  <c r="Q486" i="1"/>
  <c r="R184" i="1"/>
  <c r="J166" i="1"/>
  <c r="I151" i="1"/>
  <c r="J302" i="1"/>
  <c r="S176" i="1"/>
  <c r="I313" i="1"/>
  <c r="Q267" i="1"/>
  <c r="K512" i="1"/>
  <c r="I479" i="1"/>
  <c r="Q173" i="1"/>
  <c r="S425" i="1"/>
  <c r="K433" i="1"/>
  <c r="R202" i="1"/>
  <c r="R495" i="1"/>
  <c r="Q354" i="1"/>
  <c r="I332" i="1"/>
  <c r="I533" i="1"/>
  <c r="K497" i="1"/>
  <c r="Q426" i="1"/>
  <c r="Q238" i="1"/>
  <c r="K520" i="1"/>
  <c r="Q554" i="1"/>
  <c r="Q195" i="1"/>
  <c r="R126" i="1"/>
  <c r="R447" i="1"/>
  <c r="L132" i="1"/>
  <c r="I494" i="1"/>
  <c r="Q617" i="1"/>
  <c r="Q598" i="1"/>
  <c r="K427" i="1"/>
  <c r="I511" i="1"/>
  <c r="L130" i="1"/>
  <c r="I129" i="1"/>
  <c r="K436" i="1"/>
  <c r="I416" i="1"/>
  <c r="I297" i="1"/>
  <c r="J448" i="1"/>
  <c r="S157" i="1"/>
  <c r="I496" i="1"/>
  <c r="S486" i="1"/>
  <c r="I563" i="1"/>
  <c r="I216" i="1"/>
  <c r="J472" i="1"/>
  <c r="Q185" i="1"/>
  <c r="T142" i="1"/>
  <c r="J495" i="1"/>
  <c r="Q533" i="1"/>
  <c r="R287" i="1"/>
  <c r="I599" i="1"/>
  <c r="Q388" i="1"/>
  <c r="Q573" i="1"/>
  <c r="Q241" i="1"/>
  <c r="K434" i="1"/>
  <c r="K142" i="1"/>
  <c r="Q333" i="1"/>
  <c r="Q196" i="1"/>
  <c r="Q389" i="1"/>
  <c r="J151" i="1"/>
  <c r="I578" i="1"/>
  <c r="Q36" i="1"/>
  <c r="R296" i="1"/>
  <c r="I310" i="1"/>
  <c r="Q139" i="1"/>
  <c r="Q413" i="1"/>
  <c r="J297" i="1"/>
  <c r="S436" i="1"/>
  <c r="I430" i="1"/>
  <c r="Q71" i="1"/>
  <c r="Q308" i="1"/>
  <c r="I354" i="1"/>
  <c r="Q524" i="1"/>
  <c r="Q303" i="1"/>
  <c r="I471" i="1"/>
  <c r="Q528" i="1"/>
  <c r="Q184" i="1"/>
  <c r="I331" i="1"/>
  <c r="I373" i="1"/>
  <c r="R305" i="1"/>
  <c r="Q65" i="1"/>
  <c r="Q564" i="1"/>
  <c r="J432" i="1"/>
  <c r="I451" i="1"/>
  <c r="L131" i="1"/>
  <c r="R529" i="1"/>
  <c r="Q44" i="1"/>
  <c r="R265" i="1"/>
  <c r="I577" i="1"/>
  <c r="I516" i="1"/>
  <c r="K465" i="1"/>
  <c r="I65" i="1"/>
  <c r="J276" i="1"/>
  <c r="R471" i="1"/>
  <c r="I619" i="1"/>
  <c r="S506" i="1"/>
  <c r="Q440" i="1"/>
  <c r="Q191" i="1"/>
  <c r="J487" i="1"/>
  <c r="T183" i="1"/>
  <c r="Q180" i="1"/>
  <c r="K170" i="1"/>
  <c r="I43" i="1"/>
  <c r="J279" i="1"/>
  <c r="J528" i="1"/>
  <c r="I477" i="1"/>
  <c r="J194" i="1"/>
  <c r="Q160" i="1"/>
  <c r="Q416" i="1"/>
  <c r="R446" i="1"/>
  <c r="Q437" i="1"/>
  <c r="S168" i="1"/>
  <c r="I218" i="1"/>
  <c r="I132" i="1"/>
  <c r="S527" i="1"/>
  <c r="I278" i="1"/>
  <c r="R272" i="1"/>
  <c r="Q192" i="1"/>
  <c r="K200" i="1"/>
  <c r="I486" i="1"/>
  <c r="L143" i="1"/>
  <c r="I626" i="1"/>
  <c r="S438" i="1"/>
  <c r="K528" i="1"/>
  <c r="K430" i="1"/>
  <c r="Q541" i="1"/>
  <c r="S495" i="1"/>
  <c r="L182" i="1"/>
  <c r="Q236" i="1"/>
  <c r="S529" i="1"/>
  <c r="S494" i="1"/>
  <c r="R146" i="1"/>
  <c r="T162" i="1"/>
  <c r="Q475" i="1"/>
  <c r="K196" i="1"/>
  <c r="I587" i="1"/>
  <c r="I299" i="1"/>
  <c r="R531" i="1"/>
  <c r="I267" i="1"/>
  <c r="Q525" i="1"/>
  <c r="J163" i="1"/>
  <c r="I503" i="1"/>
  <c r="L144" i="1"/>
  <c r="Q314" i="1"/>
  <c r="K454" i="1"/>
  <c r="I532" i="1"/>
  <c r="S196" i="1"/>
  <c r="I487" i="1"/>
  <c r="I212" i="1"/>
  <c r="R144" i="1"/>
  <c r="I611" i="1"/>
  <c r="Q490" i="1"/>
  <c r="Q625" i="1"/>
  <c r="I636" i="1"/>
  <c r="S534" i="1"/>
  <c r="K148" i="1"/>
  <c r="I547" i="1"/>
  <c r="Q547" i="1"/>
  <c r="S189" i="1"/>
  <c r="Q328" i="1"/>
  <c r="Q330" i="1"/>
  <c r="J155" i="1"/>
  <c r="Q580" i="1"/>
  <c r="J318" i="1"/>
  <c r="I172" i="1"/>
  <c r="T154" i="1"/>
  <c r="Q244" i="1"/>
  <c r="Q425" i="1"/>
  <c r="S144" i="1"/>
  <c r="I207" i="1"/>
  <c r="I16" i="1"/>
  <c r="Q537" i="1"/>
  <c r="J327" i="1"/>
  <c r="J268" i="1"/>
  <c r="K493" i="1"/>
  <c r="I513" i="1"/>
  <c r="Q492" i="1"/>
  <c r="J461" i="1"/>
  <c r="Q305" i="1"/>
  <c r="J291" i="1"/>
  <c r="T152" i="1"/>
  <c r="S477" i="1"/>
  <c r="R274" i="1"/>
  <c r="J490" i="1"/>
  <c r="Q155" i="1"/>
  <c r="Q586" i="1"/>
  <c r="J457" i="1"/>
  <c r="J320" i="1"/>
  <c r="Q512" i="1"/>
  <c r="J165" i="1"/>
  <c r="I305" i="1"/>
  <c r="L157" i="1"/>
  <c r="K463" i="1"/>
  <c r="J523" i="1"/>
  <c r="J488" i="1"/>
  <c r="Q301" i="1"/>
  <c r="I368" i="1"/>
  <c r="K202" i="1"/>
  <c r="S473" i="1"/>
  <c r="I428" i="1"/>
  <c r="I415" i="1"/>
  <c r="I567" i="1"/>
  <c r="Q582" i="1"/>
  <c r="R167" i="1"/>
  <c r="K162" i="1"/>
  <c r="Q157" i="1"/>
  <c r="T199" i="1"/>
  <c r="J141" i="1"/>
  <c r="I526" i="1"/>
  <c r="Q5" i="1"/>
  <c r="T136" i="1"/>
  <c r="Q371" i="1"/>
  <c r="Q574" i="1"/>
  <c r="K180" i="1"/>
  <c r="R129" i="1"/>
  <c r="J169" i="1"/>
  <c r="R150" i="1"/>
  <c r="I522" i="1"/>
  <c r="Q578" i="1"/>
  <c r="J305" i="1"/>
  <c r="Q242" i="1"/>
  <c r="J192" i="1"/>
  <c r="K179" i="1"/>
  <c r="L204" i="1"/>
  <c r="K478" i="1"/>
  <c r="K424" i="1"/>
  <c r="T132" i="1"/>
  <c r="S433" i="1"/>
  <c r="Q366" i="1"/>
  <c r="T202" i="1"/>
  <c r="Q40" i="1"/>
  <c r="R154" i="1"/>
  <c r="Q298" i="1"/>
  <c r="K135" i="1"/>
  <c r="Q487" i="1"/>
  <c r="K477" i="1"/>
  <c r="R149" i="1"/>
  <c r="J127" i="1"/>
  <c r="Q410" i="1"/>
  <c r="Q401" i="1"/>
  <c r="I475" i="1"/>
  <c r="Q23" i="1"/>
  <c r="I601" i="1"/>
  <c r="R325" i="1"/>
  <c r="Q257" i="1"/>
  <c r="I232" i="1"/>
  <c r="S475" i="1"/>
  <c r="J188" i="1"/>
  <c r="I644" i="1"/>
  <c r="Q218" i="1"/>
  <c r="I347" i="1"/>
  <c r="Q575" i="1"/>
  <c r="J317" i="1"/>
  <c r="R517" i="1"/>
  <c r="I26" i="1"/>
  <c r="J464" i="1"/>
  <c r="Q433" i="1"/>
  <c r="Q156" i="1"/>
  <c r="Q548" i="1"/>
  <c r="I276" i="1"/>
  <c r="J177" i="1"/>
  <c r="J530" i="1"/>
  <c r="I192" i="1"/>
  <c r="Q612" i="1"/>
  <c r="I425" i="1"/>
  <c r="I350" i="1"/>
  <c r="I543" i="1"/>
  <c r="R188" i="1"/>
  <c r="K466" i="1"/>
  <c r="Q170" i="1"/>
  <c r="Q210" i="1"/>
  <c r="Q255" i="1"/>
  <c r="J199" i="1"/>
  <c r="Q628" i="1"/>
  <c r="J321" i="1"/>
  <c r="I467" i="1"/>
  <c r="I375" i="1"/>
  <c r="I49" i="1"/>
  <c r="R181" i="1"/>
  <c r="Q266" i="1"/>
  <c r="I617" i="1"/>
  <c r="R170" i="1"/>
  <c r="Q495" i="1"/>
  <c r="J147" i="1"/>
  <c r="I472" i="1"/>
  <c r="J456" i="1"/>
  <c r="K178" i="1"/>
  <c r="Q439" i="1"/>
  <c r="I460" i="1"/>
  <c r="Q464" i="1"/>
  <c r="S422" i="1"/>
  <c r="Q132" i="1"/>
  <c r="Q59" i="1"/>
  <c r="J198" i="1"/>
  <c r="Q234" i="1"/>
  <c r="K499" i="1"/>
  <c r="Q296" i="1"/>
  <c r="S496" i="1"/>
  <c r="J485" i="1"/>
  <c r="Q279" i="1"/>
  <c r="R271" i="1"/>
  <c r="Q615" i="1"/>
  <c r="K131" i="1"/>
  <c r="K129" i="1"/>
  <c r="J455" i="1"/>
  <c r="I637" i="1"/>
  <c r="L180" i="1"/>
  <c r="I179" i="1"/>
  <c r="L162" i="1"/>
  <c r="Q634" i="1"/>
  <c r="I355" i="1"/>
  <c r="S444" i="1"/>
  <c r="I433" i="1"/>
  <c r="K491" i="1"/>
  <c r="R424" i="1"/>
  <c r="Q517" i="1"/>
  <c r="K183" i="1"/>
  <c r="Q158" i="1"/>
  <c r="K437" i="1"/>
  <c r="K169" i="1"/>
  <c r="I349" i="1"/>
  <c r="S474" i="1"/>
  <c r="K158" i="1"/>
  <c r="S424" i="1"/>
  <c r="Q224" i="1"/>
  <c r="I320" i="1"/>
  <c r="Q61" i="1"/>
  <c r="I292" i="1"/>
  <c r="Q596" i="1"/>
  <c r="S532" i="1"/>
  <c r="I252" i="1"/>
  <c r="S163" i="1"/>
  <c r="I222" i="1"/>
  <c r="Q297" i="1"/>
  <c r="R457" i="1"/>
  <c r="Q269" i="1"/>
  <c r="K443" i="1"/>
  <c r="R196" i="1"/>
  <c r="I229" i="1"/>
  <c r="Q21" i="1"/>
  <c r="I548" i="1"/>
  <c r="K473" i="1"/>
  <c r="I514" i="1"/>
  <c r="T165" i="1"/>
  <c r="Q187" i="1"/>
  <c r="I271" i="1"/>
  <c r="K140" i="1"/>
  <c r="Q631" i="1"/>
  <c r="J521" i="1"/>
  <c r="I315" i="1"/>
  <c r="S173" i="1"/>
  <c r="Q245" i="1"/>
  <c r="Q539" i="1"/>
  <c r="Q189" i="1"/>
  <c r="J187" i="1"/>
  <c r="J294" i="1"/>
  <c r="J444" i="1"/>
  <c r="Q311" i="1"/>
  <c r="J515" i="1"/>
  <c r="T144" i="1"/>
  <c r="Q276" i="1"/>
  <c r="I206" i="1"/>
  <c r="I48" i="1"/>
  <c r="J154" i="1"/>
  <c r="I562" i="1"/>
  <c r="T157" i="1"/>
  <c r="Q468" i="1"/>
  <c r="I591" i="1"/>
  <c r="Q638" i="1"/>
  <c r="I445" i="1"/>
  <c r="Q399" i="1"/>
  <c r="S182" i="1"/>
  <c r="J281" i="1"/>
  <c r="Q283" i="1"/>
  <c r="S463" i="1"/>
  <c r="T172" i="1"/>
  <c r="L163" i="1"/>
  <c r="Q177" i="1"/>
  <c r="R309" i="1"/>
  <c r="J289" i="1"/>
  <c r="I342" i="1"/>
  <c r="Q621" i="1"/>
  <c r="Q466" i="1"/>
  <c r="Q465" i="1"/>
  <c r="Q202" i="1"/>
  <c r="Q260" i="1"/>
  <c r="J518" i="1"/>
  <c r="I78" i="1"/>
  <c r="Q226" i="1"/>
  <c r="L208" i="1"/>
  <c r="I551" i="1"/>
  <c r="R423" i="1"/>
  <c r="Q444" i="1"/>
  <c r="J183" i="1"/>
  <c r="I328" i="1"/>
  <c r="S204" i="1"/>
  <c r="Q150" i="1"/>
  <c r="I442" i="1"/>
  <c r="R159" i="1"/>
  <c r="S498" i="1"/>
  <c r="I537" i="1"/>
  <c r="S169" i="1"/>
  <c r="Q275" i="1"/>
  <c r="I42" i="1"/>
  <c r="R330" i="1"/>
  <c r="I201" i="1"/>
  <c r="R528" i="1"/>
  <c r="Q337" i="1"/>
  <c r="J171" i="1"/>
  <c r="R135" i="1"/>
  <c r="R148" i="1"/>
  <c r="J427" i="1"/>
  <c r="I316" i="1"/>
  <c r="S160" i="1"/>
  <c r="S154" i="1"/>
  <c r="L129" i="1"/>
  <c r="I365" i="1"/>
  <c r="J315" i="1"/>
  <c r="I570" i="1"/>
  <c r="J130" i="1"/>
  <c r="J438" i="1"/>
  <c r="Q636" i="1"/>
  <c r="S429" i="1"/>
  <c r="Q188" i="1"/>
  <c r="I491" i="1"/>
  <c r="R268" i="1"/>
  <c r="R273" i="1"/>
  <c r="Q536" i="1"/>
  <c r="Q377" i="1"/>
  <c r="I483" i="1"/>
  <c r="I436" i="1"/>
  <c r="J196" i="1"/>
  <c r="Q302" i="1"/>
  <c r="S466" i="1"/>
  <c r="K470" i="1"/>
  <c r="J328" i="1"/>
  <c r="I446" i="1"/>
  <c r="T133" i="1"/>
  <c r="Q325" i="1"/>
  <c r="Q445" i="1"/>
  <c r="T163" i="1"/>
  <c r="R525" i="1"/>
  <c r="J434" i="1"/>
  <c r="L164" i="1"/>
  <c r="Q374" i="1"/>
  <c r="I437" i="1"/>
  <c r="S513" i="1"/>
  <c r="I456" i="1"/>
  <c r="S445" i="1"/>
  <c r="Q618" i="1"/>
  <c r="R173" i="1"/>
  <c r="R152" i="1"/>
  <c r="R478" i="1"/>
  <c r="S162" i="1"/>
  <c r="I643" i="1"/>
  <c r="Q167" i="1"/>
  <c r="I171" i="1"/>
  <c r="K518" i="1"/>
  <c r="I598" i="1"/>
  <c r="J451" i="1"/>
  <c r="S521" i="1"/>
  <c r="Q17" i="1"/>
  <c r="Q526" i="1"/>
  <c r="Q467" i="1"/>
  <c r="K462" i="1"/>
  <c r="K165" i="1"/>
  <c r="T173" i="1"/>
  <c r="Q58" i="1"/>
  <c r="Q136" i="1"/>
  <c r="R263" i="1"/>
  <c r="R479" i="1"/>
  <c r="I301" i="1"/>
  <c r="Q516" i="1"/>
  <c r="R523" i="1"/>
  <c r="R460" i="1"/>
  <c r="Q344" i="1"/>
  <c r="Q616" i="1"/>
  <c r="Q645" i="1"/>
  <c r="Q369" i="1"/>
  <c r="Q304" i="1"/>
  <c r="I505" i="1"/>
  <c r="I596" i="1"/>
  <c r="R521" i="1"/>
  <c r="I573" i="1"/>
  <c r="I341" i="1"/>
  <c r="Q85" i="1"/>
  <c r="I616" i="1"/>
  <c r="Q29" i="1"/>
  <c r="Q629" i="1"/>
  <c r="L195" i="1"/>
  <c r="L201" i="1"/>
  <c r="K516" i="1"/>
  <c r="I585" i="1"/>
  <c r="K188" i="1"/>
  <c r="I642" i="1"/>
  <c r="J503" i="1"/>
  <c r="I45" i="1"/>
  <c r="Q326" i="1"/>
  <c r="I83" i="1"/>
  <c r="R533" i="1"/>
  <c r="I35" i="1"/>
  <c r="J202" i="1"/>
  <c r="Q591" i="1"/>
  <c r="R143" i="1"/>
  <c r="Q290" i="1"/>
  <c r="R501" i="1"/>
  <c r="I474" i="1"/>
  <c r="K474" i="1"/>
  <c r="R468" i="1"/>
  <c r="I555" i="1"/>
  <c r="Q569" i="1"/>
  <c r="T126" i="1"/>
  <c r="I47" i="1"/>
  <c r="R139" i="1"/>
  <c r="Q261" i="1"/>
  <c r="K432" i="1"/>
  <c r="R426" i="1"/>
  <c r="S504" i="1"/>
  <c r="J145" i="1"/>
  <c r="I622" i="1"/>
  <c r="Q500" i="1"/>
  <c r="R459" i="1"/>
  <c r="N282" i="1"/>
  <c r="Q589" i="1"/>
  <c r="I592" i="1"/>
  <c r="I476" i="1"/>
  <c r="I435" i="1"/>
  <c r="I343" i="1"/>
  <c r="I518" i="1"/>
  <c r="K442" i="1"/>
  <c r="R485" i="1"/>
  <c r="L158" i="1"/>
  <c r="J133" i="1"/>
  <c r="J329" i="1"/>
  <c r="I628" i="1"/>
  <c r="I188" i="1"/>
  <c r="S484" i="1"/>
  <c r="J158" i="1"/>
  <c r="R199" i="1"/>
  <c r="S418" i="1"/>
  <c r="Q644" i="1"/>
  <c r="I307" i="1"/>
  <c r="Q144" i="1"/>
  <c r="Q309" i="1"/>
  <c r="K139" i="1"/>
  <c r="R452" i="1"/>
  <c r="R187" i="1"/>
  <c r="R440" i="1"/>
  <c r="J424" i="1"/>
  <c r="I377" i="1"/>
  <c r="K161" i="1"/>
  <c r="Q214" i="1"/>
  <c r="S452" i="1"/>
  <c r="I74" i="1"/>
  <c r="Q74" i="1"/>
  <c r="I507" i="1"/>
  <c r="I519" i="1"/>
  <c r="J292" i="1"/>
  <c r="K481" i="1"/>
  <c r="L145" i="1"/>
  <c r="Q373" i="1"/>
  <c r="Q338" i="1"/>
  <c r="I499" i="1"/>
  <c r="Q265" i="1"/>
  <c r="I38" i="1"/>
  <c r="L146" i="1"/>
  <c r="I182" i="1"/>
  <c r="S515" i="1"/>
  <c r="K480" i="1"/>
  <c r="I568" i="1"/>
  <c r="S131" i="1"/>
  <c r="I163" i="1"/>
  <c r="Q270" i="1"/>
  <c r="Q207" i="1"/>
  <c r="J264" i="1"/>
  <c r="I244" i="1"/>
  <c r="I423" i="1"/>
  <c r="T131" i="1"/>
  <c r="S166" i="1"/>
  <c r="Q530" i="1"/>
  <c r="Q312" i="1"/>
  <c r="Q172" i="1"/>
  <c r="R262" i="1"/>
  <c r="Q339" i="1"/>
  <c r="Q131" i="1"/>
  <c r="Q251" i="1"/>
  <c r="I631" i="1"/>
  <c r="L142" i="1"/>
  <c r="J310" i="1"/>
  <c r="I647" i="1"/>
  <c r="I247" i="1"/>
  <c r="I457" i="1"/>
  <c r="Q133" i="1"/>
  <c r="R177" i="1"/>
  <c r="I306" i="1"/>
  <c r="I360" i="1"/>
  <c r="Q595" i="1"/>
  <c r="K439" i="1"/>
  <c r="I389" i="1"/>
  <c r="Q22" i="1"/>
  <c r="I215" i="1"/>
  <c r="S195" i="1"/>
  <c r="Q543" i="1"/>
  <c r="J261" i="1"/>
  <c r="Q57" i="1"/>
  <c r="I40" i="1"/>
  <c r="Q480" i="1"/>
  <c r="L186" i="1"/>
  <c r="K207" i="1"/>
  <c r="Q299" i="1"/>
  <c r="Q62" i="1"/>
  <c r="I398" i="1"/>
  <c r="I545" i="1"/>
  <c r="I558" i="1"/>
  <c r="I291" i="1"/>
  <c r="K435" i="1"/>
  <c r="I139" i="1"/>
  <c r="R448" i="1"/>
  <c r="J172" i="1"/>
  <c r="S471" i="1"/>
  <c r="R153" i="1"/>
  <c r="R516" i="1"/>
  <c r="I458" i="1"/>
  <c r="S450" i="1"/>
  <c r="K156" i="1"/>
  <c r="R463" i="1"/>
  <c r="Q571" i="1"/>
  <c r="Q649" i="1"/>
  <c r="R294" i="1"/>
  <c r="Q37" i="1"/>
  <c r="J308" i="1"/>
  <c r="S434" i="1"/>
  <c r="I63" i="1"/>
  <c r="J307" i="1"/>
  <c r="J497" i="1"/>
  <c r="R176" i="1"/>
  <c r="J126" i="1"/>
  <c r="S499" i="1"/>
  <c r="L170" i="1"/>
  <c r="I401" i="1"/>
  <c r="S447" i="1"/>
  <c r="K157" i="1"/>
  <c r="R168" i="1"/>
  <c r="S158" i="1"/>
  <c r="Q506" i="1"/>
  <c r="K467" i="1"/>
  <c r="Q31" i="1"/>
  <c r="T128" i="1"/>
  <c r="J483" i="1"/>
  <c r="R535" i="1"/>
  <c r="I645" i="1"/>
  <c r="I443" i="1"/>
  <c r="J465" i="1"/>
  <c r="I488" i="1"/>
  <c r="S480" i="1"/>
  <c r="Q262" i="1"/>
  <c r="Q248" i="1"/>
  <c r="Q208" i="1"/>
  <c r="R314" i="1"/>
  <c r="Q307" i="1"/>
  <c r="I581" i="1"/>
  <c r="Q268" i="1"/>
  <c r="I210" i="1"/>
  <c r="J167" i="1"/>
  <c r="R486" i="1"/>
  <c r="J454" i="1"/>
  <c r="J298" i="1"/>
  <c r="J529" i="1"/>
  <c r="J129" i="1"/>
  <c r="J452" i="1"/>
  <c r="K184" i="1"/>
  <c r="S479" i="1"/>
  <c r="J533" i="1"/>
  <c r="I176" i="1"/>
  <c r="M282" i="1"/>
  <c r="J148" i="1"/>
  <c r="I613" i="1"/>
  <c r="Q584" i="1"/>
  <c r="K163" i="1"/>
  <c r="J275" i="1"/>
  <c r="K176" i="1"/>
  <c r="J440" i="1"/>
  <c r="T129" i="1"/>
  <c r="I541" i="1"/>
  <c r="L202" i="1"/>
  <c r="Q67" i="1"/>
  <c r="Q75" i="1"/>
  <c r="L126" i="1"/>
  <c r="K495" i="1"/>
  <c r="T153" i="1"/>
  <c r="R292" i="1"/>
  <c r="R512" i="1"/>
  <c r="K421" i="1"/>
  <c r="S449" i="1"/>
  <c r="J469" i="1"/>
  <c r="K138" i="1"/>
  <c r="I492" i="1"/>
  <c r="I490" i="1"/>
  <c r="Q611" i="1"/>
  <c r="I175" i="1"/>
  <c r="I68" i="1"/>
  <c r="Q176" i="1"/>
  <c r="Q509" i="1"/>
  <c r="Q310" i="1"/>
  <c r="K146" i="1"/>
  <c r="I7" i="1"/>
  <c r="K420" i="1"/>
  <c r="R298" i="1"/>
  <c r="L133" i="1"/>
  <c r="Q11" i="1"/>
  <c r="S489" i="1"/>
  <c r="J506" i="1"/>
  <c r="I60" i="1"/>
  <c r="Q469" i="1"/>
  <c r="L153" i="1"/>
  <c r="L171" i="1"/>
  <c r="J278" i="1"/>
  <c r="J491" i="1"/>
  <c r="Q619" i="1"/>
  <c r="J312" i="1"/>
  <c r="R197" i="1"/>
  <c r="I529" i="1"/>
  <c r="Q343" i="1"/>
  <c r="I311" i="1"/>
  <c r="Q497" i="1"/>
  <c r="Q60" i="1"/>
  <c r="J186" i="1"/>
  <c r="T167" i="1"/>
  <c r="S457" i="1"/>
  <c r="S458" i="1"/>
  <c r="L197" i="1"/>
  <c r="L141" i="1"/>
  <c r="Q313" i="1"/>
  <c r="J447" i="1"/>
  <c r="J319" i="1"/>
  <c r="I571" i="1"/>
  <c r="S150" i="1"/>
  <c r="I228" i="1"/>
  <c r="K456" i="1"/>
  <c r="Q63" i="1"/>
  <c r="T159" i="1"/>
  <c r="Q522" i="1"/>
  <c r="S190" i="1"/>
  <c r="J137" i="1"/>
  <c r="Q14" i="1"/>
  <c r="R193" i="1"/>
  <c r="R436" i="1"/>
  <c r="R441" i="1"/>
  <c r="I344" i="1"/>
  <c r="K526" i="1"/>
  <c r="I495" i="1"/>
  <c r="Q198" i="1"/>
  <c r="I72" i="1"/>
  <c r="Q583" i="1"/>
  <c r="Q66" i="1"/>
  <c r="K529" i="1"/>
  <c r="R527" i="1"/>
  <c r="L135" i="1"/>
  <c r="K417" i="1"/>
  <c r="I367" i="1"/>
  <c r="Q284" i="1"/>
  <c r="S507" i="1"/>
  <c r="J449" i="1"/>
  <c r="I14" i="1"/>
  <c r="I561" i="1"/>
  <c r="Q372" i="1"/>
  <c r="I34" i="1"/>
  <c r="S185" i="1"/>
  <c r="I134" i="1"/>
  <c r="I560" i="1"/>
  <c r="K209" i="1"/>
  <c r="S487" i="1"/>
  <c r="I142" i="1"/>
  <c r="Q442" i="1"/>
  <c r="I329" i="1"/>
  <c r="K168" i="1"/>
  <c r="K531" i="1"/>
  <c r="Q565" i="1"/>
  <c r="Q213" i="1"/>
  <c r="Q553" i="1"/>
  <c r="J309" i="1"/>
  <c r="R300" i="1"/>
  <c r="I431" i="1"/>
  <c r="S512" i="1"/>
  <c r="I273" i="1"/>
  <c r="Q232" i="1"/>
  <c r="R297" i="1"/>
  <c r="L200" i="1"/>
  <c r="Q387" i="1"/>
  <c r="I322" i="1"/>
  <c r="I73" i="1"/>
  <c r="J283" i="1"/>
  <c r="R190" i="1"/>
  <c r="R418" i="1"/>
  <c r="Q217" i="1"/>
  <c r="Q508" i="1"/>
  <c r="Q38" i="1"/>
  <c r="R481" i="1"/>
  <c r="I167" i="1"/>
  <c r="T143" i="1"/>
  <c r="T155" i="1"/>
  <c r="R328" i="1"/>
  <c r="I369" i="1"/>
  <c r="R276" i="1"/>
  <c r="I204" i="1"/>
  <c r="I632" i="1"/>
  <c r="Q230" i="1"/>
  <c r="Q320" i="1"/>
  <c r="I566" i="1"/>
  <c r="I159" i="1"/>
  <c r="J132" i="1"/>
  <c r="I62" i="1"/>
  <c r="I213" i="1"/>
  <c r="I149" i="1"/>
  <c r="I302" i="1"/>
  <c r="K449" i="1"/>
  <c r="J300" i="1"/>
  <c r="J524" i="1"/>
  <c r="I554" i="1"/>
  <c r="I67" i="1"/>
  <c r="R518" i="1"/>
  <c r="R489" i="1"/>
  <c r="S427" i="1"/>
  <c r="Q165" i="1"/>
  <c r="R520" i="1"/>
  <c r="K525" i="1"/>
  <c r="K453" i="1"/>
  <c r="R432" i="1"/>
  <c r="I612" i="1"/>
  <c r="I233" i="1"/>
  <c r="I506" i="1"/>
  <c r="I381" i="1"/>
  <c r="Q441" i="1"/>
  <c r="J442" i="1"/>
  <c r="R201" i="1"/>
  <c r="K444" i="1"/>
  <c r="I379" i="1"/>
  <c r="L173" i="1"/>
  <c r="Q642" i="1"/>
  <c r="I31" i="1"/>
  <c r="Q423" i="1"/>
  <c r="Q430" i="1"/>
  <c r="Q432" i="1"/>
  <c r="J498" i="1"/>
  <c r="I439" i="1"/>
  <c r="J323" i="1"/>
  <c r="I64" i="1"/>
  <c r="R498" i="1"/>
  <c r="K471" i="1"/>
  <c r="I424" i="1"/>
  <c r="I629" i="1"/>
  <c r="S198" i="1"/>
  <c r="T200" i="1"/>
  <c r="R161" i="1"/>
  <c r="Q449" i="1"/>
  <c r="I338" i="1"/>
  <c r="I512" i="1"/>
  <c r="Q563" i="1"/>
  <c r="Q229" i="1"/>
  <c r="I410" i="1"/>
  <c r="J431" i="1"/>
  <c r="Q286" i="1"/>
  <c r="J478" i="1"/>
  <c r="S416" i="1"/>
  <c r="J418" i="1"/>
  <c r="I572" i="1"/>
  <c r="Q340" i="1"/>
  <c r="Q35" i="1"/>
  <c r="Q484" i="1"/>
  <c r="J288" i="1"/>
  <c r="R429" i="1"/>
  <c r="I371" i="1"/>
  <c r="R465" i="1"/>
  <c r="Q332" i="1"/>
  <c r="I127" i="1"/>
  <c r="I607" i="1"/>
  <c r="J313" i="1"/>
  <c r="I525" i="1"/>
  <c r="Q70" i="1"/>
  <c r="Q648" i="1"/>
  <c r="I44" i="1"/>
  <c r="I449" i="1"/>
  <c r="I521" i="1"/>
  <c r="K186" i="1"/>
  <c r="I448" i="1"/>
  <c r="Q421" i="1"/>
  <c r="J443" i="1"/>
  <c r="T194" i="1"/>
  <c r="K190" i="1"/>
  <c r="K508" i="1"/>
  <c r="J484" i="1"/>
  <c r="Q134" i="1"/>
  <c r="R431" i="1"/>
  <c r="Q576" i="1"/>
  <c r="I391" i="1"/>
  <c r="K451" i="1"/>
  <c r="I363" i="1"/>
  <c r="I39" i="1"/>
  <c r="I298" i="1"/>
  <c r="Q140" i="1"/>
  <c r="I18" i="1"/>
  <c r="R140" i="1"/>
  <c r="Q254" i="1"/>
  <c r="Q454" i="1"/>
  <c r="I36" i="1"/>
  <c r="S518" i="1"/>
  <c r="R453" i="1"/>
  <c r="Q455" i="1"/>
  <c r="I635" i="1"/>
  <c r="J428" i="1"/>
  <c r="Q450" i="1"/>
  <c r="K503" i="1"/>
  <c r="I648" i="1"/>
  <c r="K132" i="1"/>
  <c r="J160" i="1"/>
  <c r="Q370" i="1"/>
  <c r="Q639" i="1"/>
  <c r="R515" i="1"/>
  <c r="Q249" i="1"/>
  <c r="M281" i="1"/>
  <c r="T169" i="1"/>
  <c r="Q274" i="1"/>
  <c r="I296" i="1"/>
  <c r="R267" i="1"/>
  <c r="Q610" i="1"/>
  <c r="R326" i="1"/>
  <c r="J450" i="1"/>
  <c r="J453" i="1"/>
  <c r="T171" i="1"/>
  <c r="Q33" i="1"/>
  <c r="Q73" i="1"/>
  <c r="I294" i="1"/>
  <c r="I603" i="1"/>
  <c r="R506" i="1"/>
  <c r="I485" i="1"/>
  <c r="K192" i="1"/>
  <c r="Q640" i="1"/>
  <c r="K172" i="1"/>
  <c r="I434" i="1"/>
  <c r="I530" i="1"/>
  <c r="I242" i="1"/>
  <c r="I461" i="1"/>
  <c r="Q378" i="1"/>
  <c r="I382" i="1"/>
  <c r="I400" i="1"/>
  <c r="Q400" i="1"/>
  <c r="I214" i="1"/>
  <c r="I639" i="1"/>
  <c r="J164" i="1"/>
  <c r="Q32" i="1"/>
  <c r="S502" i="1"/>
  <c r="Q447" i="1"/>
  <c r="S446" i="1"/>
  <c r="Q287" i="1"/>
  <c r="K134" i="1"/>
  <c r="J421" i="1"/>
  <c r="K422" i="1"/>
  <c r="S437" i="1"/>
  <c r="I312" i="1"/>
  <c r="L181" i="1"/>
  <c r="J479" i="1"/>
  <c r="Q483" i="1"/>
  <c r="Q197" i="1"/>
  <c r="K514" i="1"/>
  <c r="Q277" i="1"/>
  <c r="K166" i="1"/>
  <c r="K147" i="1"/>
  <c r="Q392" i="1"/>
  <c r="I590" i="1"/>
  <c r="K511" i="1"/>
  <c r="Q556" i="1"/>
  <c r="J301" i="1"/>
  <c r="J274" i="1"/>
  <c r="R466" i="1"/>
  <c r="Q527" i="1"/>
  <c r="Q350" i="1"/>
  <c r="J481" i="1"/>
  <c r="I484" i="1"/>
  <c r="I235" i="1"/>
  <c r="S129" i="1"/>
  <c r="R442" i="1"/>
  <c r="S526" i="1"/>
  <c r="J531" i="1"/>
  <c r="S194" i="1"/>
  <c r="S535" i="1"/>
  <c r="Q360" i="1"/>
  <c r="I33" i="1"/>
  <c r="R306" i="1"/>
  <c r="K483" i="1"/>
  <c r="I246" i="1"/>
  <c r="Q45" i="1"/>
  <c r="I614" i="1"/>
  <c r="Q418" i="1"/>
  <c r="R514" i="1"/>
  <c r="S490" i="1"/>
  <c r="Q448" i="1"/>
  <c r="I70" i="1"/>
  <c r="I352" i="1"/>
  <c r="J263" i="1"/>
  <c r="L151" i="1"/>
  <c r="T197" i="1"/>
  <c r="I227" i="1"/>
  <c r="I385" i="1"/>
  <c r="Q331" i="1"/>
  <c r="I358" i="1"/>
  <c r="I557" i="1"/>
  <c r="I29" i="1"/>
  <c r="Q174" i="1"/>
  <c r="Q72" i="1"/>
  <c r="T176" i="1"/>
  <c r="I348" i="1"/>
  <c r="Q356" i="1"/>
  <c r="Q68" i="1"/>
  <c r="I308" i="1"/>
  <c r="Q220" i="1"/>
  <c r="I61" i="1"/>
  <c r="Q379" i="1"/>
  <c r="I66" i="1"/>
  <c r="I157" i="1"/>
  <c r="I447" i="1"/>
  <c r="I404" i="1"/>
  <c r="I359" i="1"/>
  <c r="R308" i="1"/>
  <c r="R480" i="1"/>
  <c r="J142" i="1"/>
  <c r="I465" i="1"/>
  <c r="Q39" i="1"/>
  <c r="R311" i="1"/>
  <c r="I46" i="1"/>
  <c r="S200" i="1"/>
  <c r="Q385" i="1"/>
  <c r="I481" i="1"/>
  <c r="Q415" i="1"/>
  <c r="J326" i="1"/>
  <c r="Q406" i="1"/>
  <c r="M283" i="1"/>
  <c r="R134" i="1"/>
  <c r="J270" i="1"/>
  <c r="Q291" i="1"/>
  <c r="S482" i="1"/>
  <c r="Q318" i="1"/>
  <c r="L152" i="1"/>
  <c r="I288" i="1"/>
  <c r="I508" i="1"/>
  <c r="N283" i="1"/>
  <c r="N281" i="1"/>
  <c r="B1" i="1" l="1"/>
</calcChain>
</file>

<file path=xl/sharedStrings.xml><?xml version="1.0" encoding="utf-8"?>
<sst xmlns="http://schemas.openxmlformats.org/spreadsheetml/2006/main" count="2360" uniqueCount="857">
  <si>
    <t>input</t>
    <phoneticPr fontId="1"/>
  </si>
  <si>
    <t>output</t>
    <phoneticPr fontId="1"/>
  </si>
  <si>
    <t>テスト対象関数名</t>
    <rPh sb="3" eb="5">
      <t>タイショウ</t>
    </rPh>
    <rPh sb="5" eb="8">
      <t>カンスウメイ</t>
    </rPh>
    <phoneticPr fontId="1"/>
  </si>
  <si>
    <t>2進→2進</t>
    <rPh sb="1" eb="2">
      <t>シン</t>
    </rPh>
    <phoneticPr fontId="1"/>
  </si>
  <si>
    <t>2進→7進</t>
    <rPh sb="1" eb="2">
      <t>シン</t>
    </rPh>
    <phoneticPr fontId="1"/>
  </si>
  <si>
    <t>2進→16進</t>
    <rPh sb="1" eb="2">
      <t>シン</t>
    </rPh>
    <phoneticPr fontId="1"/>
  </si>
  <si>
    <t>7進→2進</t>
    <phoneticPr fontId="1"/>
  </si>
  <si>
    <t>7進→7進</t>
    <phoneticPr fontId="1"/>
  </si>
  <si>
    <t>7進→16進</t>
    <phoneticPr fontId="1"/>
  </si>
  <si>
    <t>16進→2進</t>
    <phoneticPr fontId="1"/>
  </si>
  <si>
    <t>16進→7進</t>
    <phoneticPr fontId="1"/>
  </si>
  <si>
    <t>16進→16進</t>
    <phoneticPr fontId="1"/>
  </si>
  <si>
    <t>期待値</t>
    <rPh sb="0" eb="2">
      <t>キタイ</t>
    </rPh>
    <rPh sb="2" eb="3">
      <t>チ</t>
    </rPh>
    <phoneticPr fontId="1"/>
  </si>
  <si>
    <t>判定</t>
    <rPh sb="0" eb="2">
      <t>ハンテイ</t>
    </rPh>
    <phoneticPr fontId="1"/>
  </si>
  <si>
    <t>0</t>
  </si>
  <si>
    <t>10</t>
  </si>
  <si>
    <t>10001</t>
  </si>
  <si>
    <t>23</t>
  </si>
  <si>
    <t>11</t>
  </si>
  <si>
    <t>総合判定</t>
    <rPh sb="0" eb="2">
      <t>ソウゴウ</t>
    </rPh>
    <rPh sb="2" eb="4">
      <t>ハンテイ</t>
    </rPh>
    <phoneticPr fontId="1"/>
  </si>
  <si>
    <t>66</t>
  </si>
  <si>
    <t>100</t>
  </si>
  <si>
    <t>FF</t>
  </si>
  <si>
    <t>toRadix ^ 2 - 1</t>
    <phoneticPr fontId="1"/>
  </si>
  <si>
    <t>toRadix ^ 2</t>
    <phoneticPr fontId="1"/>
  </si>
  <si>
    <t>toRadix + 1</t>
    <phoneticPr fontId="1"/>
  </si>
  <si>
    <t>FF</t>
    <phoneticPr fontId="1"/>
  </si>
  <si>
    <t>toRadix ^ 3 - 1</t>
    <phoneticPr fontId="1"/>
  </si>
  <si>
    <t>toRadix ^ 3</t>
    <phoneticPr fontId="1"/>
  </si>
  <si>
    <t>1000000000000</t>
    <phoneticPr fontId="1"/>
  </si>
  <si>
    <t>111111111111</t>
    <phoneticPr fontId="1"/>
  </si>
  <si>
    <t>111</t>
  </si>
  <si>
    <t>666</t>
  </si>
  <si>
    <t>FFF</t>
  </si>
  <si>
    <t>1000</t>
  </si>
  <si>
    <t>FFF</t>
    <phoneticPr fontId="1"/>
  </si>
  <si>
    <t>序数のオーバーフロー</t>
    <rPh sb="0" eb="2">
      <t>ジョスウ</t>
    </rPh>
    <phoneticPr fontId="1"/>
  </si>
  <si>
    <t>被除数のオーバーフロー</t>
    <rPh sb="0" eb="1">
      <t>ヒ</t>
    </rPh>
    <rPh sb="1" eb="3">
      <t>ジョスウ</t>
    </rPh>
    <phoneticPr fontId="1"/>
  </si>
  <si>
    <t>オーバーフローしない最大</t>
    <rPh sb="10" eb="11">
      <t>サイ</t>
    </rPh>
    <rPh sb="11" eb="12">
      <t>ダイ</t>
    </rPh>
    <phoneticPr fontId="1"/>
  </si>
  <si>
    <t>オーバフローする最小</t>
    <rPh sb="8" eb="10">
      <t>サイショウ</t>
    </rPh>
    <phoneticPr fontId="1"/>
  </si>
  <si>
    <t>1111111111111111111111111111111</t>
    <phoneticPr fontId="1"/>
  </si>
  <si>
    <t>10000000000000000000000000000000</t>
    <phoneticPr fontId="1"/>
  </si>
  <si>
    <t>0割チェック</t>
    <rPh sb="1" eb="2">
      <t>ワリ</t>
    </rPh>
    <phoneticPr fontId="1"/>
  </si>
  <si>
    <t>1割チェック</t>
    <rPh sb="1" eb="2">
      <t>ワリ</t>
    </rPh>
    <phoneticPr fontId="1"/>
  </si>
  <si>
    <t>1</t>
  </si>
  <si>
    <t/>
  </si>
  <si>
    <t>2進</t>
    <rPh sb="1" eb="2">
      <t>シン</t>
    </rPh>
    <phoneticPr fontId="1"/>
  </si>
  <si>
    <t>10進</t>
    <rPh sb="2" eb="3">
      <t>シン</t>
    </rPh>
    <phoneticPr fontId="1"/>
  </si>
  <si>
    <t>16進</t>
  </si>
  <si>
    <t>16進</t>
    <rPh sb="2" eb="3">
      <t>シン</t>
    </rPh>
    <phoneticPr fontId="1"/>
  </si>
  <si>
    <t>7FFFFFFF</t>
    <phoneticPr fontId="1"/>
  </si>
  <si>
    <t>(2,147,483,647(10))</t>
    <phoneticPr fontId="1"/>
  </si>
  <si>
    <t>(2,147,483,648(10))</t>
    <phoneticPr fontId="1"/>
  </si>
  <si>
    <t>(toRadixによる除算ループが</t>
    <phoneticPr fontId="1"/>
  </si>
  <si>
    <t xml:space="preserve"> 1回まわる時の最小限界)</t>
    <phoneticPr fontId="1"/>
  </si>
  <si>
    <t xml:space="preserve"> 1回まわる時の最大限界)</t>
    <phoneticPr fontId="1"/>
  </si>
  <si>
    <t xml:space="preserve"> 2回まわるの最小限界)</t>
    <phoneticPr fontId="1"/>
  </si>
  <si>
    <t xml:space="preserve"> 2回まわる時の最大限界)</t>
    <phoneticPr fontId="1"/>
  </si>
  <si>
    <t xml:space="preserve"> 3回まわるの最小限界)</t>
    <phoneticPr fontId="1"/>
  </si>
  <si>
    <t>divide</t>
    <phoneticPr fontId="1"/>
  </si>
  <si>
    <t>convIntPrtOfNPntToIntPrtOfNPnt</t>
    <phoneticPr fontId="1"/>
  </si>
  <si>
    <t>001111111111111111111111111111111</t>
    <phoneticPr fontId="1"/>
  </si>
  <si>
    <t>002147483647</t>
    <phoneticPr fontId="1"/>
  </si>
  <si>
    <t>007FFFFFFF</t>
    <phoneticPr fontId="1"/>
  </si>
  <si>
    <t>001000000000000000000000000000000000</t>
  </si>
  <si>
    <t>001000000000000000000000000000000000</t>
    <phoneticPr fontId="1"/>
  </si>
  <si>
    <t>00214748364800</t>
  </si>
  <si>
    <t>00214748364800</t>
    <phoneticPr fontId="1"/>
  </si>
  <si>
    <t>008000000000</t>
  </si>
  <si>
    <t>008000000000</t>
    <phoneticPr fontId="1"/>
  </si>
  <si>
    <t>00111111111111111111111111111111100</t>
    <phoneticPr fontId="1"/>
  </si>
  <si>
    <t>00214748364700</t>
    <phoneticPr fontId="1"/>
  </si>
  <si>
    <t>007FFFFFFF00</t>
    <phoneticPr fontId="1"/>
  </si>
  <si>
    <t>00000000000000000000000000000000100</t>
  </si>
  <si>
    <t>00000000000100</t>
  </si>
  <si>
    <t>000000000100</t>
  </si>
  <si>
    <t>小数点以下桁数指定</t>
    <rPh sb="0" eb="3">
      <t>ショウスウテン</t>
    </rPh>
    <rPh sb="3" eb="5">
      <t>イカ</t>
    </rPh>
    <rPh sb="5" eb="7">
      <t>ケタスウ</t>
    </rPh>
    <rPh sb="7" eb="9">
      <t>シテイ</t>
    </rPh>
    <phoneticPr fontId="1"/>
  </si>
  <si>
    <t>0桁</t>
    <rPh sb="1" eb="2">
      <t>ケタ</t>
    </rPh>
    <phoneticPr fontId="1"/>
  </si>
  <si>
    <t>011</t>
  </si>
  <si>
    <t>010</t>
  </si>
  <si>
    <t>0010</t>
  </si>
  <si>
    <t>3</t>
  </si>
  <si>
    <t>001</t>
  </si>
  <si>
    <t>5</t>
  </si>
  <si>
    <t>商 = 0</t>
    <rPh sb="0" eb="1">
      <t>ショウ</t>
    </rPh>
    <phoneticPr fontId="1"/>
  </si>
  <si>
    <t>商 = 1</t>
    <phoneticPr fontId="1"/>
  </si>
  <si>
    <t>剰余 = 0</t>
  </si>
  <si>
    <t>剰余 = 1</t>
  </si>
  <si>
    <t>商 = Radix - 1</t>
    <rPh sb="0" eb="1">
      <t>ショウ</t>
    </rPh>
    <phoneticPr fontId="1"/>
  </si>
  <si>
    <t>商 = Radix</t>
    <rPh sb="0" eb="1">
      <t>ショウ</t>
    </rPh>
    <phoneticPr fontId="1"/>
  </si>
  <si>
    <t>商 = Radix + 1</t>
    <rPh sb="0" eb="1">
      <t>ショウ</t>
    </rPh>
    <phoneticPr fontId="1"/>
  </si>
  <si>
    <t>商 = Radix ^ 2 - 1</t>
    <rPh sb="0" eb="1">
      <t>ショウ</t>
    </rPh>
    <phoneticPr fontId="1"/>
  </si>
  <si>
    <t>商 = Radix ^ 2</t>
    <rPh sb="0" eb="1">
      <t>ショウ</t>
    </rPh>
    <phoneticPr fontId="1"/>
  </si>
  <si>
    <t>商 = Radix ^ 2 + 1</t>
    <rPh sb="0" eb="1">
      <t>ショウ</t>
    </rPh>
    <phoneticPr fontId="1"/>
  </si>
  <si>
    <t>商 = Radix ^ 3 - 1</t>
    <rPh sb="0" eb="1">
      <t>ショウ</t>
    </rPh>
    <phoneticPr fontId="1"/>
  </si>
  <si>
    <t>商 = Radix ^ 3</t>
    <rPh sb="0" eb="1">
      <t>ショウ</t>
    </rPh>
    <phoneticPr fontId="1"/>
  </si>
  <si>
    <t>商 = Radix ^ 3 + 1</t>
    <rPh sb="0" eb="1">
      <t>ショウ</t>
    </rPh>
    <phoneticPr fontId="1"/>
  </si>
  <si>
    <t>剰余 = Radix - 1</t>
  </si>
  <si>
    <t>00</t>
  </si>
  <si>
    <t>F</t>
  </si>
  <si>
    <t>F</t>
    <phoneticPr fontId="1"/>
  </si>
  <si>
    <t>9</t>
  </si>
  <si>
    <t>被除数の桁数キープ</t>
    <phoneticPr fontId="1"/>
  </si>
  <si>
    <t>1111111111111111111111111111111</t>
    <phoneticPr fontId="1"/>
  </si>
  <si>
    <t>2147483647</t>
    <phoneticPr fontId="1"/>
  </si>
  <si>
    <t>1000000000000000000000000000000000</t>
    <phoneticPr fontId="1"/>
  </si>
  <si>
    <t>214748364800</t>
    <phoneticPr fontId="1"/>
  </si>
  <si>
    <t>8000000000</t>
    <phoneticPr fontId="1"/>
  </si>
  <si>
    <t>0000000000000000000000000000001</t>
  </si>
  <si>
    <t>0000000001</t>
  </si>
  <si>
    <t>00000001</t>
  </si>
  <si>
    <t>1</t>
    <phoneticPr fontId="1"/>
  </si>
  <si>
    <t>1</t>
    <phoneticPr fontId="1"/>
  </si>
  <si>
    <t>9</t>
    <phoneticPr fontId="1"/>
  </si>
  <si>
    <t>10</t>
    <phoneticPr fontId="1"/>
  </si>
  <si>
    <t>11</t>
    <phoneticPr fontId="1"/>
  </si>
  <si>
    <t>1</t>
    <phoneticPr fontId="1"/>
  </si>
  <si>
    <t>19</t>
    <phoneticPr fontId="1"/>
  </si>
  <si>
    <t>1F</t>
    <phoneticPr fontId="1"/>
  </si>
  <si>
    <t>01</t>
    <phoneticPr fontId="1"/>
  </si>
  <si>
    <t>01</t>
    <phoneticPr fontId="1"/>
  </si>
  <si>
    <t>0</t>
    <phoneticPr fontId="1"/>
  </si>
  <si>
    <t>0</t>
    <phoneticPr fontId="1"/>
  </si>
  <si>
    <t>90</t>
    <phoneticPr fontId="1"/>
  </si>
  <si>
    <t>F0</t>
    <phoneticPr fontId="1"/>
  </si>
  <si>
    <t>09</t>
    <phoneticPr fontId="1"/>
  </si>
  <si>
    <t>0F</t>
    <phoneticPr fontId="1"/>
  </si>
  <si>
    <t>91</t>
    <phoneticPr fontId="1"/>
  </si>
  <si>
    <t>F1</t>
    <phoneticPr fontId="1"/>
  </si>
  <si>
    <t>1</t>
    <phoneticPr fontId="1"/>
  </si>
  <si>
    <t>99</t>
    <phoneticPr fontId="1"/>
  </si>
  <si>
    <t>FF</t>
    <phoneticPr fontId="1"/>
  </si>
  <si>
    <t>9</t>
    <phoneticPr fontId="1"/>
  </si>
  <si>
    <t>F</t>
    <phoneticPr fontId="1"/>
  </si>
  <si>
    <t>0</t>
    <phoneticPr fontId="1"/>
  </si>
  <si>
    <t>0</t>
    <phoneticPr fontId="1"/>
  </si>
  <si>
    <t>100</t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</si>
  <si>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</si>
  <si>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</si>
  <si>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</si>
  <si>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</si>
  <si>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101</t>
    <phoneticPr fontId="1"/>
  </si>
  <si>
    <t>109</t>
    <phoneticPr fontId="1"/>
  </si>
  <si>
    <t>10F</t>
    <phoneticPr fontId="1"/>
  </si>
  <si>
    <t>101</t>
    <phoneticPr fontId="1"/>
  </si>
  <si>
    <t>0</t>
    <phoneticPr fontId="1"/>
  </si>
  <si>
    <t>0</t>
    <phoneticPr fontId="1"/>
  </si>
  <si>
    <t>0</t>
    <phoneticPr fontId="1"/>
  </si>
  <si>
    <t>110</t>
    <phoneticPr fontId="1"/>
  </si>
  <si>
    <t>011</t>
    <phoneticPr fontId="1"/>
  </si>
  <si>
    <t>111</t>
    <phoneticPr fontId="1"/>
  </si>
  <si>
    <t>119</t>
    <phoneticPr fontId="1"/>
  </si>
  <si>
    <t>11F</t>
    <phoneticPr fontId="1"/>
  </si>
  <si>
    <t>990</t>
    <phoneticPr fontId="1"/>
  </si>
  <si>
    <t>099</t>
  </si>
  <si>
    <t>099</t>
    <phoneticPr fontId="1"/>
  </si>
  <si>
    <t>0</t>
    <phoneticPr fontId="1"/>
  </si>
  <si>
    <t>0FF</t>
  </si>
  <si>
    <t>0FF</t>
    <phoneticPr fontId="1"/>
  </si>
  <si>
    <t>0</t>
    <phoneticPr fontId="1"/>
  </si>
  <si>
    <t>FF0</t>
    <phoneticPr fontId="1"/>
  </si>
  <si>
    <t>111</t>
    <phoneticPr fontId="1"/>
  </si>
  <si>
    <t>991</t>
    <phoneticPr fontId="1"/>
  </si>
  <si>
    <t>FF1</t>
    <phoneticPr fontId="1"/>
  </si>
  <si>
    <t>999</t>
    <phoneticPr fontId="1"/>
  </si>
  <si>
    <t>FFF</t>
    <phoneticPr fontId="1"/>
  </si>
  <si>
    <t>1000</t>
    <phoneticPr fontId="1"/>
  </si>
  <si>
    <t>0100</t>
  </si>
  <si>
    <t>1001</t>
    <phoneticPr fontId="1"/>
  </si>
  <si>
    <t>1009</t>
    <phoneticPr fontId="1"/>
  </si>
  <si>
    <t>100F</t>
    <phoneticPr fontId="1"/>
  </si>
  <si>
    <t>1010</t>
    <phoneticPr fontId="1"/>
  </si>
  <si>
    <t>0101</t>
  </si>
  <si>
    <t>1011</t>
  </si>
  <si>
    <t>1011</t>
    <phoneticPr fontId="1"/>
  </si>
  <si>
    <t>1019</t>
    <phoneticPr fontId="1"/>
  </si>
  <si>
    <t>101F</t>
    <phoneticPr fontId="1"/>
  </si>
  <si>
    <t>10000</t>
    <phoneticPr fontId="1"/>
  </si>
  <si>
    <t>01000</t>
  </si>
  <si>
    <t>10001</t>
    <phoneticPr fontId="1"/>
  </si>
  <si>
    <t>10009</t>
    <phoneticPr fontId="1"/>
  </si>
  <si>
    <t>1000F</t>
    <phoneticPr fontId="1"/>
  </si>
  <si>
    <t>1111</t>
    <phoneticPr fontId="1"/>
  </si>
  <si>
    <t>1110</t>
    <phoneticPr fontId="1"/>
  </si>
  <si>
    <t>1110</t>
    <phoneticPr fontId="1"/>
  </si>
  <si>
    <t>1119</t>
    <phoneticPr fontId="1"/>
  </si>
  <si>
    <t>1111</t>
    <phoneticPr fontId="1"/>
  </si>
  <si>
    <t>111F</t>
    <phoneticPr fontId="1"/>
  </si>
  <si>
    <t>0111</t>
  </si>
  <si>
    <t>10010</t>
    <phoneticPr fontId="1"/>
  </si>
  <si>
    <t>01001</t>
  </si>
  <si>
    <t>10011</t>
    <phoneticPr fontId="1"/>
  </si>
  <si>
    <t>10019</t>
    <phoneticPr fontId="1"/>
  </si>
  <si>
    <t>1001F</t>
    <phoneticPr fontId="1"/>
  </si>
  <si>
    <t>255桁</t>
    <rPh sb="3" eb="4">
      <t>ケタ</t>
    </rPh>
    <phoneticPr fontId="1"/>
  </si>
  <si>
    <t>1桁</t>
    <rPh sb="1" eb="2">
      <t>ケタ</t>
    </rPh>
    <phoneticPr fontId="1"/>
  </si>
  <si>
    <t>3</t>
    <phoneticPr fontId="1"/>
  </si>
  <si>
    <t>5</t>
    <phoneticPr fontId="1"/>
  </si>
  <si>
    <t>F</t>
    <phoneticPr fontId="1"/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</si>
  <si>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</t>
  </si>
  <si>
    <t>1</t>
    <phoneticPr fontId="1"/>
  </si>
  <si>
    <t>0333333333333333333333333333333333333333333333333333333333333333333333333333333333333333333333333333333333333333333333333333333333333333333333333333333333333333333333333333333333333333333333333333333333333333333333333333333333333333333333333333333333333333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</si>
  <si>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001010101010101010101010101010101010101010101010101010101010101010101010101010101010101010101010101010101010101010101010101010101010101010101010101010101010101010101010101010101010101010101010101010101010101010101010101010101010101010101010101010101010101010</t>
  </si>
  <si>
    <t>2進(256桁指定)</t>
    <rPh sb="1" eb="2">
      <t>シン</t>
    </rPh>
    <rPh sb="6" eb="7">
      <t>ケタ</t>
    </rPh>
    <rPh sb="7" eb="9">
      <t>シテイ</t>
    </rPh>
    <phoneticPr fontId="1"/>
  </si>
  <si>
    <t>2進(255桁指定)</t>
    <rPh sb="1" eb="2">
      <t>シン</t>
    </rPh>
    <rPh sb="6" eb="7">
      <t>ケタ</t>
    </rPh>
    <rPh sb="7" eb="9">
      <t>シテイ</t>
    </rPh>
    <phoneticPr fontId="1"/>
  </si>
  <si>
    <t>0555555555555555555555555555555555555555555555555555555555555555555555555555555555555555555555555555555555555555555555555555555555555555555555555555555555555555555555555555555555555555555555555555555555555555555555555555555555555555555555555555555555555555</t>
  </si>
  <si>
    <t>03</t>
  </si>
  <si>
    <t>05</t>
  </si>
  <si>
    <t>2進(1桁指定)</t>
    <rPh sb="1" eb="2">
      <t>シン</t>
    </rPh>
    <rPh sb="4" eb="5">
      <t>ケタ</t>
    </rPh>
    <rPh sb="5" eb="7">
      <t>シテイ</t>
    </rPh>
    <phoneticPr fontId="1"/>
  </si>
  <si>
    <t>2進(2桁指定)</t>
    <rPh sb="1" eb="2">
      <t>シン</t>
    </rPh>
    <rPh sb="4" eb="5">
      <t>ケタ</t>
    </rPh>
    <rPh sb="5" eb="7">
      <t>シテイ</t>
    </rPh>
    <phoneticPr fontId="1"/>
  </si>
  <si>
    <t>(-)桁</t>
    <rPh sb="3" eb="4">
      <t>ケタ</t>
    </rPh>
    <phoneticPr fontId="1"/>
  </si>
  <si>
    <t>観点</t>
    <rPh sb="0" eb="2">
      <t>カンテン</t>
    </rPh>
    <phoneticPr fontId="1"/>
  </si>
  <si>
    <t>add</t>
    <phoneticPr fontId="1"/>
  </si>
  <si>
    <t>桁数あわせ</t>
    <rPh sb="0" eb="2">
      <t>ケタスウ</t>
    </rPh>
    <phoneticPr fontId="1"/>
  </si>
  <si>
    <t>val1 = 1文字, val2 = 1文字</t>
    <rPh sb="8" eb="10">
      <t>モジ</t>
    </rPh>
    <phoneticPr fontId="1"/>
  </si>
  <si>
    <t>val1 = 1文字, val2 = 2文字</t>
    <rPh sb="8" eb="10">
      <t>モジ</t>
    </rPh>
    <phoneticPr fontId="1"/>
  </si>
  <si>
    <t>val1 = 2文字, val2 = 1文字</t>
    <rPh sb="8" eb="10">
      <t>モジ</t>
    </rPh>
    <phoneticPr fontId="1"/>
  </si>
  <si>
    <t>00</t>
    <phoneticPr fontId="1"/>
  </si>
  <si>
    <t>和算ループ回数</t>
    <rPh sb="0" eb="2">
      <t>ワザン</t>
    </rPh>
    <rPh sb="5" eb="7">
      <t>カイスウ</t>
    </rPh>
    <phoneticPr fontId="1"/>
  </si>
  <si>
    <t>ループ1回</t>
    <rPh sb="4" eb="5">
      <t>カイ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</si>
  <si>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</si>
  <si>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</si>
  <si>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</si>
  <si>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F</t>
    <phoneticPr fontId="1"/>
  </si>
  <si>
    <t>ループ2回</t>
    <rPh sb="4" eb="5">
      <t>カイ</t>
    </rPh>
    <phoneticPr fontId="1"/>
  </si>
  <si>
    <t>ループ3回</t>
    <rPh sb="4" eb="5">
      <t>カイ</t>
    </rPh>
    <phoneticPr fontId="1"/>
  </si>
  <si>
    <t>11</t>
    <phoneticPr fontId="1"/>
  </si>
  <si>
    <t>1</t>
    <phoneticPr fontId="1"/>
  </si>
  <si>
    <t>99</t>
  </si>
  <si>
    <t>99</t>
    <phoneticPr fontId="1"/>
  </si>
  <si>
    <t>1</t>
    <phoneticPr fontId="1"/>
  </si>
  <si>
    <t>FF</t>
    <phoneticPr fontId="1"/>
  </si>
  <si>
    <t>1</t>
    <phoneticPr fontId="1"/>
  </si>
  <si>
    <t>111</t>
    <phoneticPr fontId="1"/>
  </si>
  <si>
    <t>1</t>
    <phoneticPr fontId="1"/>
  </si>
  <si>
    <t>999</t>
    <phoneticPr fontId="1"/>
  </si>
  <si>
    <t>1</t>
    <phoneticPr fontId="1"/>
  </si>
  <si>
    <t>FFF</t>
    <phoneticPr fontId="1"/>
  </si>
  <si>
    <t>val1=0,val2=0,前桁carrier=0</t>
  </si>
  <si>
    <t>val1=0,val2=0,前桁carrier=1</t>
  </si>
  <si>
    <t>val1=0,val2=1,前桁carrier=0</t>
  </si>
  <si>
    <t>val1=0,val2=1,前桁carrier=1</t>
  </si>
  <si>
    <t>val1=1,val2=0,前桁carrier=0</t>
  </si>
  <si>
    <t>val1=1,val2=0,前桁carrier=1</t>
  </si>
  <si>
    <t>val1=1,val2=1,前桁carrier=0</t>
  </si>
  <si>
    <t>val1=1,val2=1,前桁carrier=1</t>
  </si>
  <si>
    <t>加算アルゴリズム</t>
    <rPh sb="0" eb="2">
      <t>カサン</t>
    </rPh>
    <phoneticPr fontId="1"/>
  </si>
  <si>
    <t>00</t>
    <phoneticPr fontId="1"/>
  </si>
  <si>
    <t>01</t>
  </si>
  <si>
    <t>01</t>
    <phoneticPr fontId="1"/>
  </si>
  <si>
    <t>09</t>
  </si>
  <si>
    <t>09</t>
    <phoneticPr fontId="1"/>
  </si>
  <si>
    <t>09</t>
    <phoneticPr fontId="1"/>
  </si>
  <si>
    <t>0F</t>
  </si>
  <si>
    <t>0F</t>
    <phoneticPr fontId="1"/>
  </si>
  <si>
    <t>18</t>
  </si>
  <si>
    <t>1E</t>
  </si>
  <si>
    <t>10</t>
    <phoneticPr fontId="1"/>
  </si>
  <si>
    <t>01</t>
    <phoneticPr fontId="1"/>
  </si>
  <si>
    <t>00</t>
    <phoneticPr fontId="1"/>
  </si>
  <si>
    <t>90</t>
    <phoneticPr fontId="1"/>
  </si>
  <si>
    <t>F0</t>
    <phoneticPr fontId="1"/>
  </si>
  <si>
    <t>99</t>
    <phoneticPr fontId="1"/>
  </si>
  <si>
    <t>108</t>
  </si>
  <si>
    <t>10E</t>
  </si>
  <si>
    <t>val1=0,val2=0</t>
    <phoneticPr fontId="1"/>
  </si>
  <si>
    <t>val1=0,val2=1</t>
    <phoneticPr fontId="1"/>
  </si>
  <si>
    <t>val1=1,val2=0</t>
    <phoneticPr fontId="1"/>
  </si>
  <si>
    <t>val1=1,val2=1</t>
    <phoneticPr fontId="1"/>
  </si>
  <si>
    <t>0</t>
    <phoneticPr fontId="1"/>
  </si>
  <si>
    <t>0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</si>
  <si>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</si>
  <si>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</si>
  <si>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</si>
  <si>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</si>
  <si>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0</t>
    <phoneticPr fontId="1"/>
  </si>
  <si>
    <t>11</t>
    <phoneticPr fontId="1"/>
  </si>
  <si>
    <t>10</t>
    <phoneticPr fontId="1"/>
  </si>
  <si>
    <t>90</t>
    <phoneticPr fontId="1"/>
  </si>
  <si>
    <t>F0</t>
    <phoneticPr fontId="1"/>
  </si>
  <si>
    <t>101</t>
  </si>
  <si>
    <t>189</t>
  </si>
  <si>
    <t>1EF</t>
  </si>
  <si>
    <t>1</t>
    <phoneticPr fontId="1"/>
  </si>
  <si>
    <t>10進(最大)</t>
    <rPh sb="2" eb="3">
      <t>シン</t>
    </rPh>
    <rPh sb="4" eb="5">
      <t>サイ</t>
    </rPh>
    <rPh sb="5" eb="6">
      <t>ダイ</t>
    </rPh>
    <phoneticPr fontId="1"/>
  </si>
  <si>
    <t>10進(最小)</t>
    <rPh sb="2" eb="3">
      <t>シン</t>
    </rPh>
    <rPh sb="4" eb="6">
      <t>サイショウ</t>
    </rPh>
    <phoneticPr fontId="1"/>
  </si>
  <si>
    <t>16進(最大)</t>
    <rPh sb="2" eb="3">
      <t>シン</t>
    </rPh>
    <rPh sb="4" eb="5">
      <t>サイ</t>
    </rPh>
    <rPh sb="5" eb="6">
      <t>ダイ</t>
    </rPh>
    <phoneticPr fontId="1"/>
  </si>
  <si>
    <t>16進(最小)</t>
    <rPh sb="2" eb="3">
      <t>シン</t>
    </rPh>
    <rPh sb="4" eb="6">
      <t>サイショウ</t>
    </rPh>
    <phoneticPr fontId="1"/>
  </si>
  <si>
    <t>9</t>
    <phoneticPr fontId="1"/>
  </si>
  <si>
    <t>F</t>
    <phoneticPr fontId="1"/>
  </si>
  <si>
    <t>1</t>
    <phoneticPr fontId="1"/>
  </si>
  <si>
    <t>110</t>
  </si>
  <si>
    <t>198</t>
  </si>
  <si>
    <t>1FE</t>
  </si>
  <si>
    <t>multipleByOneDigit</t>
    <phoneticPr fontId="1"/>
  </si>
  <si>
    <t>0掛けチェック</t>
    <rPh sb="1" eb="2">
      <t>カ</t>
    </rPh>
    <phoneticPr fontId="1"/>
  </si>
  <si>
    <t>1掛けチェック</t>
    <rPh sb="1" eb="2">
      <t>カ</t>
    </rPh>
    <phoneticPr fontId="1"/>
  </si>
  <si>
    <t>0</t>
    <phoneticPr fontId="1"/>
  </si>
  <si>
    <t>1</t>
    <phoneticPr fontId="1"/>
  </si>
  <si>
    <t>10</t>
    <phoneticPr fontId="1"/>
  </si>
  <si>
    <t>11</t>
    <phoneticPr fontId="1"/>
  </si>
  <si>
    <t>101</t>
    <phoneticPr fontId="1"/>
  </si>
  <si>
    <t>乗算ループ回数</t>
    <rPh sb="0" eb="2">
      <t>ジョウザン</t>
    </rPh>
    <rPh sb="5" eb="7">
      <t>カイスウ</t>
    </rPh>
    <phoneticPr fontId="1"/>
  </si>
  <si>
    <t>ループ1回</t>
    <rPh sb="4" eb="5">
      <t>カイ</t>
    </rPh>
    <phoneticPr fontId="1"/>
  </si>
  <si>
    <t>3進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</si>
  <si>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</si>
  <si>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</si>
  <si>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2</t>
  </si>
  <si>
    <t>2</t>
    <phoneticPr fontId="1"/>
  </si>
  <si>
    <t>22</t>
    <phoneticPr fontId="1"/>
  </si>
  <si>
    <t>2</t>
    <phoneticPr fontId="1"/>
  </si>
  <si>
    <t>2</t>
    <phoneticPr fontId="1"/>
  </si>
  <si>
    <t>2</t>
    <phoneticPr fontId="1"/>
  </si>
  <si>
    <t>5</t>
    <phoneticPr fontId="1"/>
  </si>
  <si>
    <t>4</t>
  </si>
  <si>
    <t>A</t>
  </si>
  <si>
    <t>22</t>
    <phoneticPr fontId="1"/>
  </si>
  <si>
    <t>55</t>
    <phoneticPr fontId="1"/>
  </si>
  <si>
    <t>ループ2回</t>
    <rPh sb="4" eb="5">
      <t>カイ</t>
    </rPh>
    <phoneticPr fontId="1"/>
  </si>
  <si>
    <t>121</t>
  </si>
  <si>
    <t>44</t>
  </si>
  <si>
    <t>AA</t>
  </si>
  <si>
    <t>ループ3回</t>
    <rPh sb="4" eb="5">
      <t>カイ</t>
    </rPh>
    <phoneticPr fontId="1"/>
  </si>
  <si>
    <t>222</t>
    <phoneticPr fontId="1"/>
  </si>
  <si>
    <t>555</t>
    <phoneticPr fontId="1"/>
  </si>
  <si>
    <t>1221</t>
  </si>
  <si>
    <t>444</t>
  </si>
  <si>
    <t>AAA</t>
  </si>
  <si>
    <t>被乗数=0,乗数=0</t>
    <rPh sb="0" eb="1">
      <t>ヒ</t>
    </rPh>
    <rPh sb="1" eb="3">
      <t>ジョウスウ</t>
    </rPh>
    <rPh sb="6" eb="8">
      <t>ジョウスウ</t>
    </rPh>
    <phoneticPr fontId="1"/>
  </si>
  <si>
    <t>乗算アルゴリズム</t>
    <rPh sb="0" eb="2">
      <t>ジョウザン</t>
    </rPh>
    <phoneticPr fontId="1"/>
  </si>
  <si>
    <t>0</t>
    <phoneticPr fontId="1"/>
  </si>
  <si>
    <t>0</t>
    <phoneticPr fontId="1"/>
  </si>
  <si>
    <t>被乗数=0,乗数=1</t>
    <rPh sb="0" eb="1">
      <t>ヒ</t>
    </rPh>
    <rPh sb="1" eb="3">
      <t>ジョウスウ</t>
    </rPh>
    <rPh sb="6" eb="8">
      <t>ジョウスウ</t>
    </rPh>
    <phoneticPr fontId="1"/>
  </si>
  <si>
    <t>(※ここでの"1"は、</t>
    <phoneticPr fontId="1"/>
  </si>
  <si>
    <t>　減基数(radix - 1))</t>
    <rPh sb="1" eb="2">
      <t>ゲン</t>
    </rPh>
    <rPh sb="2" eb="4">
      <t>キスウ</t>
    </rPh>
    <phoneticPr fontId="1"/>
  </si>
  <si>
    <t>0</t>
    <phoneticPr fontId="1"/>
  </si>
  <si>
    <t>2</t>
    <phoneticPr fontId="1"/>
  </si>
  <si>
    <t>9</t>
    <phoneticPr fontId="1"/>
  </si>
  <si>
    <t>F</t>
    <phoneticPr fontId="1"/>
  </si>
  <si>
    <t>被乗数=1,乗数=0</t>
    <rPh sb="0" eb="1">
      <t>ヒ</t>
    </rPh>
    <rPh sb="1" eb="3">
      <t>ジョウスウ</t>
    </rPh>
    <rPh sb="6" eb="8">
      <t>ジョウスウ</t>
    </rPh>
    <phoneticPr fontId="1"/>
  </si>
  <si>
    <t>2</t>
    <phoneticPr fontId="1"/>
  </si>
  <si>
    <t>9</t>
    <phoneticPr fontId="1"/>
  </si>
  <si>
    <t>F</t>
    <phoneticPr fontId="1"/>
  </si>
  <si>
    <t>被乗数=1,乗数=1</t>
    <rPh sb="0" eb="1">
      <t>ヒ</t>
    </rPh>
    <rPh sb="1" eb="3">
      <t>ジョウスウ</t>
    </rPh>
    <rPh sb="6" eb="8">
      <t>ジョウスウ</t>
    </rPh>
    <phoneticPr fontId="1"/>
  </si>
  <si>
    <t>E1</t>
  </si>
  <si>
    <t>81</t>
  </si>
  <si>
    <t>5</t>
    <phoneticPr fontId="1"/>
  </si>
  <si>
    <t>2</t>
    <phoneticPr fontId="1"/>
  </si>
  <si>
    <t>8</t>
    <phoneticPr fontId="1"/>
  </si>
  <si>
    <t>被乗数=0,乗数=0,前桁carrier=0</t>
  </si>
  <si>
    <t>被乗数=0,乗数=0,前桁carrier=1</t>
  </si>
  <si>
    <t>被乗数=0,乗数=1,前桁carrier=0</t>
  </si>
  <si>
    <t>被乗数=0,乗数=1,前桁carrier=1</t>
  </si>
  <si>
    <t>被乗数=1,乗数=0,前桁carrier=0</t>
  </si>
  <si>
    <t>被乗数=1,乗数=0,前桁carrier=1</t>
  </si>
  <si>
    <t>被乗数=1,乗数=1,前桁carrier=0</t>
  </si>
  <si>
    <t>被乗数=1,乗数=1,前桁carrier=1</t>
  </si>
  <si>
    <t>0</t>
    <phoneticPr fontId="1"/>
  </si>
  <si>
    <t>00</t>
    <phoneticPr fontId="1"/>
  </si>
  <si>
    <t>-</t>
  </si>
  <si>
    <t>-</t>
    <phoneticPr fontId="1"/>
  </si>
  <si>
    <t>-</t>
    <phoneticPr fontId="1"/>
  </si>
  <si>
    <t>2</t>
    <phoneticPr fontId="1"/>
  </si>
  <si>
    <t>9</t>
    <phoneticPr fontId="1"/>
  </si>
  <si>
    <t>F</t>
    <phoneticPr fontId="1"/>
  </si>
  <si>
    <t>0</t>
    <phoneticPr fontId="1"/>
  </si>
  <si>
    <t>02</t>
    <phoneticPr fontId="1"/>
  </si>
  <si>
    <t>09</t>
    <phoneticPr fontId="1"/>
  </si>
  <si>
    <t>0F</t>
    <phoneticPr fontId="1"/>
  </si>
  <si>
    <t>0</t>
    <phoneticPr fontId="1"/>
  </si>
  <si>
    <t>-</t>
    <phoneticPr fontId="1"/>
  </si>
  <si>
    <t>-</t>
    <phoneticPr fontId="1"/>
  </si>
  <si>
    <t>ありえない→</t>
    <phoneticPr fontId="1"/>
  </si>
  <si>
    <t>20</t>
    <phoneticPr fontId="1"/>
  </si>
  <si>
    <t>90</t>
    <phoneticPr fontId="1"/>
  </si>
  <si>
    <t>F0</t>
    <phoneticPr fontId="1"/>
  </si>
  <si>
    <t>810</t>
  </si>
  <si>
    <t>E10</t>
  </si>
  <si>
    <t>99</t>
    <phoneticPr fontId="1"/>
  </si>
  <si>
    <t>FF</t>
    <phoneticPr fontId="1"/>
  </si>
  <si>
    <t>891</t>
  </si>
  <si>
    <t>EF1</t>
  </si>
  <si>
    <t>1</t>
    <phoneticPr fontId="1"/>
  </si>
  <si>
    <t>2</t>
    <phoneticPr fontId="1"/>
  </si>
  <si>
    <t>3</t>
    <phoneticPr fontId="1"/>
  </si>
  <si>
    <t>5</t>
    <phoneticPr fontId="1"/>
  </si>
  <si>
    <t>3</t>
    <phoneticPr fontId="1"/>
  </si>
  <si>
    <t>multiple</t>
    <phoneticPr fontId="1"/>
  </si>
  <si>
    <t>1010</t>
  </si>
  <si>
    <t>0</t>
    <phoneticPr fontId="1"/>
  </si>
  <si>
    <t>radix - 1</t>
    <phoneticPr fontId="1"/>
  </si>
  <si>
    <t>11</t>
    <phoneticPr fontId="1"/>
  </si>
  <si>
    <t>11</t>
    <phoneticPr fontId="1"/>
  </si>
  <si>
    <t>0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</si>
  <si>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</si>
  <si>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</si>
  <si>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</si>
  <si>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</si>
  <si>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radix - 1, radix - 1</t>
    <phoneticPr fontId="1"/>
  </si>
  <si>
    <t>99</t>
    <phoneticPr fontId="1"/>
  </si>
  <si>
    <t>FF</t>
    <phoneticPr fontId="1"/>
  </si>
  <si>
    <t>1001</t>
  </si>
  <si>
    <t>22</t>
  </si>
  <si>
    <t>22</t>
    <phoneticPr fontId="1"/>
  </si>
  <si>
    <t>2</t>
    <phoneticPr fontId="1"/>
  </si>
  <si>
    <t>1012</t>
  </si>
  <si>
    <t>1089</t>
  </si>
  <si>
    <t>10EF</t>
  </si>
  <si>
    <t>2桁目が繰上りなし</t>
    <phoneticPr fontId="1"/>
  </si>
  <si>
    <t>20</t>
    <phoneticPr fontId="1"/>
  </si>
  <si>
    <t>12</t>
    <phoneticPr fontId="1"/>
  </si>
  <si>
    <t>15</t>
    <phoneticPr fontId="1"/>
  </si>
  <si>
    <t>300</t>
  </si>
  <si>
    <t>18</t>
    <phoneticPr fontId="1"/>
  </si>
  <si>
    <t>2桁目が繰上り</t>
    <phoneticPr fontId="1"/>
  </si>
  <si>
    <t>21</t>
    <phoneticPr fontId="1"/>
  </si>
  <si>
    <t>1120</t>
  </si>
  <si>
    <t>51</t>
    <phoneticPr fontId="1"/>
  </si>
  <si>
    <t>81</t>
    <phoneticPr fontId="1"/>
  </si>
  <si>
    <t>1020</t>
  </si>
  <si>
    <t>2桁目も繰上り</t>
    <phoneticPr fontId="1"/>
  </si>
  <si>
    <t>1桁目が繰上り、</t>
    <rPh sb="1" eb="2">
      <t>ケタ</t>
    </rPh>
    <rPh sb="2" eb="3">
      <t>メ</t>
    </rPh>
    <rPh sb="4" eb="5">
      <t>ク</t>
    </rPh>
    <rPh sb="5" eb="6">
      <t>ア</t>
    </rPh>
    <phoneticPr fontId="1"/>
  </si>
  <si>
    <t>1桁目が繰上りなし、</t>
    <rPh sb="1" eb="2">
      <t>ケタ</t>
    </rPh>
    <rPh sb="2" eb="3">
      <t>メ</t>
    </rPh>
    <rPh sb="4" eb="5">
      <t>ク</t>
    </rPh>
    <rPh sb="5" eb="6">
      <t>ア</t>
    </rPh>
    <phoneticPr fontId="1"/>
  </si>
  <si>
    <t>22</t>
    <phoneticPr fontId="1"/>
  </si>
  <si>
    <t>2101</t>
  </si>
  <si>
    <t>55</t>
    <phoneticPr fontId="1"/>
  </si>
  <si>
    <t>1210</t>
  </si>
  <si>
    <t>88</t>
    <phoneticPr fontId="1"/>
  </si>
  <si>
    <t>ループ3回</t>
    <rPh sb="4" eb="5">
      <t>カイ</t>
    </rPh>
    <phoneticPr fontId="1"/>
  </si>
  <si>
    <t>全ての桁で繰上り</t>
    <rPh sb="0" eb="1">
      <t>スベ</t>
    </rPh>
    <rPh sb="3" eb="4">
      <t>ケタ</t>
    </rPh>
    <rPh sb="5" eb="7">
      <t>クリアガ</t>
    </rPh>
    <phoneticPr fontId="1"/>
  </si>
  <si>
    <t>222</t>
    <phoneticPr fontId="1"/>
  </si>
  <si>
    <t>555</t>
    <phoneticPr fontId="1"/>
  </si>
  <si>
    <t>888</t>
    <phoneticPr fontId="1"/>
  </si>
  <si>
    <t>21201</t>
  </si>
  <si>
    <t>12210</t>
  </si>
  <si>
    <t>3桁目のみ繰上り</t>
    <rPh sb="1" eb="2">
      <t>ケタ</t>
    </rPh>
    <rPh sb="2" eb="3">
      <t>メ</t>
    </rPh>
    <rPh sb="5" eb="7">
      <t>クリアガ</t>
    </rPh>
    <phoneticPr fontId="1"/>
  </si>
  <si>
    <t>200</t>
    <phoneticPr fontId="1"/>
  </si>
  <si>
    <t>500</t>
    <phoneticPr fontId="1"/>
  </si>
  <si>
    <t>800</t>
    <phoneticPr fontId="1"/>
  </si>
  <si>
    <t>12100</t>
  </si>
  <si>
    <t>11000</t>
  </si>
  <si>
    <t>convFrcPrtOfNPntToFrcPrtOfNPnt</t>
    <phoneticPr fontId="1"/>
  </si>
  <si>
    <t>変換桁数</t>
    <rPh sb="0" eb="2">
      <t>ヘンカン</t>
    </rPh>
    <rPh sb="2" eb="4">
      <t>ケタスウ</t>
    </rPh>
    <phoneticPr fontId="1"/>
  </si>
  <si>
    <t>3333333333</t>
  </si>
  <si>
    <t>8</t>
  </si>
  <si>
    <t>0010010010</t>
  </si>
  <si>
    <t>2492492492</t>
  </si>
  <si>
    <t>0001</t>
  </si>
  <si>
    <t>0303030303</t>
  </si>
  <si>
    <t>2進→4進</t>
    <rPh sb="1" eb="2">
      <t>シン</t>
    </rPh>
    <phoneticPr fontId="1"/>
  </si>
  <si>
    <t>2進→8進</t>
    <rPh sb="1" eb="2">
      <t>シン</t>
    </rPh>
    <phoneticPr fontId="1"/>
  </si>
  <si>
    <t>16進→4進</t>
    <phoneticPr fontId="1"/>
  </si>
  <si>
    <t>16進→8進</t>
    <phoneticPr fontId="1"/>
  </si>
  <si>
    <t>8進→2進</t>
    <phoneticPr fontId="1"/>
  </si>
  <si>
    <t>8進→4進</t>
    <phoneticPr fontId="1"/>
  </si>
  <si>
    <t>8進→16進</t>
    <phoneticPr fontId="1"/>
  </si>
  <si>
    <t>0.0</t>
    <phoneticPr fontId="1"/>
  </si>
  <si>
    <t>0.10</t>
    <phoneticPr fontId="1"/>
  </si>
  <si>
    <t>001</t>
    <phoneticPr fontId="1"/>
  </si>
  <si>
    <t>0001</t>
    <phoneticPr fontId="1"/>
  </si>
  <si>
    <t>4</t>
    <phoneticPr fontId="1"/>
  </si>
  <si>
    <t>1</t>
    <phoneticPr fontId="1"/>
  </si>
  <si>
    <t>2</t>
    <phoneticPr fontId="1"/>
  </si>
  <si>
    <t>002</t>
    <phoneticPr fontId="1"/>
  </si>
  <si>
    <t>000001</t>
    <phoneticPr fontId="1"/>
  </si>
  <si>
    <t>01</t>
    <phoneticPr fontId="1"/>
  </si>
  <si>
    <t>00000001</t>
    <phoneticPr fontId="1"/>
  </si>
  <si>
    <t>000000001</t>
    <phoneticPr fontId="1"/>
  </si>
  <si>
    <t>000000000001</t>
    <phoneticPr fontId="1"/>
  </si>
  <si>
    <t>04</t>
    <phoneticPr fontId="1"/>
  </si>
  <si>
    <t>008</t>
    <phoneticPr fontId="1"/>
  </si>
  <si>
    <t>変換不要確認</t>
    <rPh sb="0" eb="2">
      <t>ヘンカン</t>
    </rPh>
    <rPh sb="2" eb="4">
      <t>フヨウ</t>
    </rPh>
    <rPh sb="4" eb="6">
      <t>カクニン</t>
    </rPh>
    <phoneticPr fontId="1"/>
  </si>
  <si>
    <t>変換最小</t>
    <rPh sb="0" eb="2">
      <t>ヘンカン</t>
    </rPh>
    <rPh sb="2" eb="4">
      <t>サイショウ</t>
    </rPh>
    <phoneticPr fontId="1"/>
  </si>
  <si>
    <t>右側の不要な0</t>
    <rPh sb="0" eb="2">
      <t>ミギガワ</t>
    </rPh>
    <rPh sb="3" eb="5">
      <t>フヨウ</t>
    </rPh>
    <phoneticPr fontId="1"/>
  </si>
  <si>
    <t>ループ回数</t>
    <rPh sb="3" eb="5">
      <t>カイスウ</t>
    </rPh>
    <phoneticPr fontId="1"/>
  </si>
  <si>
    <t>33</t>
  </si>
  <si>
    <t>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</si>
  <si>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subtract</t>
    <phoneticPr fontId="1"/>
  </si>
  <si>
    <t>減算ループ回数</t>
    <rPh sb="0" eb="2">
      <t>ゲンザン</t>
    </rPh>
    <rPh sb="5" eb="7">
      <t>カイスウ</t>
    </rPh>
    <phoneticPr fontId="1"/>
  </si>
  <si>
    <t>1</t>
    <phoneticPr fontId="1"/>
  </si>
  <si>
    <t>1</t>
    <phoneticPr fontId="1"/>
  </si>
  <si>
    <t>9</t>
    <phoneticPr fontId="1"/>
  </si>
  <si>
    <t>F</t>
    <phoneticPr fontId="1"/>
  </si>
  <si>
    <t>10</t>
    <phoneticPr fontId="1"/>
  </si>
  <si>
    <t>1</t>
    <phoneticPr fontId="1"/>
  </si>
  <si>
    <t>100</t>
    <phoneticPr fontId="1"/>
  </si>
  <si>
    <t>1</t>
    <phoneticPr fontId="1"/>
  </si>
  <si>
    <t>大小比較</t>
    <rPh sb="0" eb="2">
      <t>ダイショウ</t>
    </rPh>
    <rPh sb="2" eb="4">
      <t>ヒカク</t>
    </rPh>
    <phoneticPr fontId="1"/>
  </si>
  <si>
    <t>一番左の桁でval1&gt;val2</t>
    <rPh sb="0" eb="2">
      <t>イチバン</t>
    </rPh>
    <rPh sb="2" eb="3">
      <t>ヒダリ</t>
    </rPh>
    <rPh sb="4" eb="5">
      <t>ケタ</t>
    </rPh>
    <phoneticPr fontId="1"/>
  </si>
  <si>
    <t>一番左の桁でval1&lt;val2</t>
    <rPh sb="0" eb="2">
      <t>イチバン</t>
    </rPh>
    <rPh sb="2" eb="3">
      <t>ヒダリ</t>
    </rPh>
    <rPh sb="4" eb="5">
      <t>ケタ</t>
    </rPh>
    <phoneticPr fontId="1"/>
  </si>
  <si>
    <t>一番右の桁でval1&gt;val2</t>
    <rPh sb="0" eb="2">
      <t>イチバン</t>
    </rPh>
    <rPh sb="2" eb="3">
      <t>ミギ</t>
    </rPh>
    <rPh sb="4" eb="5">
      <t>ケタ</t>
    </rPh>
    <phoneticPr fontId="1"/>
  </si>
  <si>
    <t>111</t>
    <phoneticPr fontId="1"/>
  </si>
  <si>
    <t>99</t>
    <phoneticPr fontId="1"/>
  </si>
  <si>
    <t>11</t>
    <phoneticPr fontId="1"/>
  </si>
  <si>
    <t>FFF</t>
    <phoneticPr fontId="1"/>
  </si>
  <si>
    <t>FF</t>
    <phoneticPr fontId="1"/>
  </si>
  <si>
    <t>199</t>
    <phoneticPr fontId="1"/>
  </si>
  <si>
    <t>1FF</t>
    <phoneticPr fontId="1"/>
  </si>
  <si>
    <t>111</t>
    <phoneticPr fontId="1"/>
  </si>
  <si>
    <t>110</t>
    <phoneticPr fontId="1"/>
  </si>
  <si>
    <t>999</t>
    <phoneticPr fontId="1"/>
  </si>
  <si>
    <t>998</t>
    <phoneticPr fontId="1"/>
  </si>
  <si>
    <t>FFF</t>
    <phoneticPr fontId="1"/>
  </si>
  <si>
    <t>FFE</t>
    <phoneticPr fontId="1"/>
  </si>
  <si>
    <t>一番右の桁でval1&lt;val2</t>
    <rPh sb="0" eb="2">
      <t>イチバン</t>
    </rPh>
    <rPh sb="2" eb="3">
      <t>ミギ</t>
    </rPh>
    <rPh sb="4" eb="5">
      <t>ケタ</t>
    </rPh>
    <phoneticPr fontId="1"/>
  </si>
  <si>
    <t>110</t>
    <phoneticPr fontId="1"/>
  </si>
  <si>
    <t>FFE</t>
    <phoneticPr fontId="1"/>
  </si>
  <si>
    <t>途中の桁でval1&gt;val2</t>
    <rPh sb="0" eb="2">
      <t>トチュウ</t>
    </rPh>
    <rPh sb="3" eb="4">
      <t>ケタ</t>
    </rPh>
    <phoneticPr fontId="1"/>
  </si>
  <si>
    <t>途中の桁でval1&lt;val2</t>
    <rPh sb="0" eb="2">
      <t>トチュウ</t>
    </rPh>
    <rPh sb="3" eb="4">
      <t>ケタ</t>
    </rPh>
    <phoneticPr fontId="1"/>
  </si>
  <si>
    <t>00100</t>
  </si>
  <si>
    <t>00100</t>
    <phoneticPr fontId="1"/>
  </si>
  <si>
    <t>99899</t>
  </si>
  <si>
    <t>99899</t>
    <phoneticPr fontId="1"/>
  </si>
  <si>
    <t>FFEFF</t>
  </si>
  <si>
    <t>FFEFF</t>
    <phoneticPr fontId="1"/>
  </si>
  <si>
    <t>99900</t>
  </si>
  <si>
    <t>99900</t>
    <phoneticPr fontId="1"/>
  </si>
  <si>
    <t>FFF00</t>
  </si>
  <si>
    <t>FFF00</t>
    <phoneticPr fontId="1"/>
  </si>
  <si>
    <t>00001</t>
  </si>
  <si>
    <t>00</t>
    <phoneticPr fontId="1"/>
  </si>
  <si>
    <t>00</t>
    <phoneticPr fontId="1"/>
  </si>
  <si>
    <t>減算アルゴリズム</t>
    <rPh sb="0" eb="2">
      <t>ゲンザン</t>
    </rPh>
    <phoneticPr fontId="1"/>
  </si>
  <si>
    <t>10</t>
    <phoneticPr fontId="1"/>
  </si>
  <si>
    <t>0</t>
    <phoneticPr fontId="1"/>
  </si>
  <si>
    <t>0</t>
    <phoneticPr fontId="1"/>
  </si>
  <si>
    <t>1</t>
    <phoneticPr fontId="1"/>
  </si>
  <si>
    <t>1</t>
    <phoneticPr fontId="1"/>
  </si>
  <si>
    <t>9</t>
    <phoneticPr fontId="1"/>
  </si>
  <si>
    <t>9</t>
    <phoneticPr fontId="1"/>
  </si>
  <si>
    <t>F</t>
    <phoneticPr fontId="1"/>
  </si>
  <si>
    <t>F</t>
    <phoneticPr fontId="1"/>
  </si>
  <si>
    <t>100</t>
    <phoneticPr fontId="1"/>
  </si>
  <si>
    <t>100</t>
    <phoneticPr fontId="1"/>
  </si>
  <si>
    <t>1</t>
    <phoneticPr fontId="1"/>
  </si>
  <si>
    <t>11</t>
    <phoneticPr fontId="1"/>
  </si>
  <si>
    <t>110</t>
    <phoneticPr fontId="1"/>
  </si>
  <si>
    <t>1</t>
    <phoneticPr fontId="1"/>
  </si>
  <si>
    <t>1</t>
    <phoneticPr fontId="1"/>
  </si>
  <si>
    <t>F</t>
    <phoneticPr fontId="1"/>
  </si>
  <si>
    <t>109</t>
  </si>
  <si>
    <t>109</t>
    <phoneticPr fontId="1"/>
  </si>
  <si>
    <t>19</t>
    <phoneticPr fontId="1"/>
  </si>
  <si>
    <t>10F</t>
  </si>
  <si>
    <t>10F</t>
    <phoneticPr fontId="1"/>
  </si>
  <si>
    <t>108</t>
    <phoneticPr fontId="1"/>
  </si>
  <si>
    <t>9</t>
    <phoneticPr fontId="1"/>
  </si>
  <si>
    <t>10E</t>
    <phoneticPr fontId="1"/>
  </si>
  <si>
    <t>F</t>
    <phoneticPr fontId="1"/>
  </si>
  <si>
    <t>101</t>
    <phoneticPr fontId="1"/>
  </si>
  <si>
    <t>1</t>
    <phoneticPr fontId="1"/>
  </si>
  <si>
    <t>1F</t>
    <phoneticPr fontId="1"/>
  </si>
  <si>
    <t>10E</t>
    <phoneticPr fontId="1"/>
  </si>
  <si>
    <t>1F</t>
    <phoneticPr fontId="1"/>
  </si>
  <si>
    <t>1F</t>
    <phoneticPr fontId="1"/>
  </si>
  <si>
    <t>F</t>
    <phoneticPr fontId="1"/>
  </si>
  <si>
    <t>118</t>
    <phoneticPr fontId="1"/>
  </si>
  <si>
    <t>11E</t>
    <phoneticPr fontId="1"/>
  </si>
  <si>
    <t>1E</t>
    <phoneticPr fontId="1"/>
  </si>
  <si>
    <t>090</t>
  </si>
  <si>
    <t>0F0</t>
  </si>
  <si>
    <t>089</t>
  </si>
  <si>
    <t>0EF</t>
  </si>
  <si>
    <t>マイナス値判定</t>
    <rPh sb="4" eb="5">
      <t>チ</t>
    </rPh>
    <rPh sb="5" eb="7">
      <t>ハンテイ</t>
    </rPh>
    <phoneticPr fontId="1"/>
  </si>
  <si>
    <t>0</t>
    <phoneticPr fontId="1"/>
  </si>
  <si>
    <t>1</t>
    <phoneticPr fontId="1"/>
  </si>
  <si>
    <t>8</t>
    <phoneticPr fontId="1"/>
  </si>
  <si>
    <t>9</t>
    <phoneticPr fontId="1"/>
  </si>
  <si>
    <t>E</t>
    <phoneticPr fontId="1"/>
  </si>
  <si>
    <t>F</t>
    <phoneticPr fontId="1"/>
  </si>
  <si>
    <t>7進→7進(0桁指定)</t>
    <rPh sb="7" eb="8">
      <t>ケタ</t>
    </rPh>
    <rPh sb="8" eb="10">
      <t>シテイ</t>
    </rPh>
    <phoneticPr fontId="1"/>
  </si>
  <si>
    <t>7進→16進(0桁指定)</t>
    <phoneticPr fontId="1"/>
  </si>
  <si>
    <t>checkNPntStr</t>
    <phoneticPr fontId="1"/>
  </si>
  <si>
    <t>1進</t>
    <rPh sb="1" eb="2">
      <t>シン</t>
    </rPh>
    <phoneticPr fontId="1"/>
  </si>
  <si>
    <t>2進</t>
    <rPh sb="1" eb="2">
      <t>シン</t>
    </rPh>
    <phoneticPr fontId="1"/>
  </si>
  <si>
    <t>10進</t>
    <rPh sb="2" eb="3">
      <t>シン</t>
    </rPh>
    <phoneticPr fontId="1"/>
  </si>
  <si>
    <t>16進</t>
    <rPh sb="2" eb="3">
      <t>シン</t>
    </rPh>
    <phoneticPr fontId="1"/>
  </si>
  <si>
    <t>17進</t>
    <rPh sb="2" eb="3">
      <t>シン</t>
    </rPh>
    <phoneticPr fontId="1"/>
  </si>
  <si>
    <t>文字コード範囲</t>
    <rPh sb="0" eb="2">
      <t>モジ</t>
    </rPh>
    <rPh sb="5" eb="7">
      <t>ハンイ</t>
    </rPh>
    <phoneticPr fontId="1"/>
  </si>
  <si>
    <t>Null文字列</t>
    <rPh sb="4" eb="7">
      <t>モジレツ</t>
    </rPh>
    <phoneticPr fontId="1"/>
  </si>
  <si>
    <t>基数範囲</t>
    <rPh sb="0" eb="2">
      <t>キスウ</t>
    </rPh>
    <rPh sb="2" eb="4">
      <t>ハンイ</t>
    </rPh>
    <phoneticPr fontId="1"/>
  </si>
  <si>
    <t>9進</t>
    <rPh sb="1" eb="2">
      <t>シン</t>
    </rPh>
    <phoneticPr fontId="1"/>
  </si>
  <si>
    <t>11進</t>
    <rPh sb="2" eb="3">
      <t>シン</t>
    </rPh>
    <phoneticPr fontId="1"/>
  </si>
  <si>
    <t>OK最小</t>
    <rPh sb="2" eb="4">
      <t>サイショウ</t>
    </rPh>
    <phoneticPr fontId="1"/>
  </si>
  <si>
    <t>OK最大</t>
    <rPh sb="2" eb="4">
      <t>サイダイ</t>
    </rPh>
    <phoneticPr fontId="1"/>
  </si>
  <si>
    <t>A</t>
    <phoneticPr fontId="1"/>
  </si>
  <si>
    <t>F</t>
    <phoneticPr fontId="1"/>
  </si>
  <si>
    <t>基数変換テーブルで</t>
    <rPh sb="0" eb="2">
      <t>キスウ</t>
    </rPh>
    <rPh sb="2" eb="4">
      <t>ヘンカン</t>
    </rPh>
    <phoneticPr fontId="1"/>
  </si>
  <si>
    <t>解決不可能</t>
    <phoneticPr fontId="1"/>
  </si>
  <si>
    <t>解決可能</t>
    <phoneticPr fontId="1"/>
  </si>
  <si>
    <t>3進(桁上りしない最大)</t>
  </si>
  <si>
    <t>3進(桁上り)</t>
  </si>
  <si>
    <t>10進(桁上りしない最大)</t>
  </si>
  <si>
    <t>10進(桁上り最小)</t>
  </si>
  <si>
    <t>10進(桁上り最大)</t>
  </si>
  <si>
    <t>16進(桁上りしない最大)</t>
  </si>
  <si>
    <t>16進(桁上り最小)</t>
  </si>
  <si>
    <t>16進(桁上り最大)</t>
  </si>
  <si>
    <t>変換テーブル内最小</t>
  </si>
  <si>
    <t>変換テーブル内中間</t>
  </si>
  <si>
    <t>変換テーブル内最大</t>
  </si>
  <si>
    <t>NG最小</t>
    <rPh sb="2" eb="4">
      <t>サイショウ</t>
    </rPh>
    <phoneticPr fontId="1"/>
  </si>
  <si>
    <t>A</t>
    <phoneticPr fontId="1"/>
  </si>
  <si>
    <t>B</t>
    <phoneticPr fontId="1"/>
  </si>
  <si>
    <t>G</t>
    <phoneticPr fontId="1"/>
  </si>
  <si>
    <t>8</t>
    <phoneticPr fontId="1"/>
  </si>
  <si>
    <t>9</t>
    <phoneticPr fontId="1"/>
  </si>
  <si>
    <t>NG検出位置</t>
    <rPh sb="2" eb="4">
      <t>ケンシュツ</t>
    </rPh>
    <rPh sb="4" eb="6">
      <t>イチ</t>
    </rPh>
    <phoneticPr fontId="1"/>
  </si>
  <si>
    <t>2文字目</t>
    <rPh sb="1" eb="4">
      <t>モジメ</t>
    </rPh>
    <phoneticPr fontId="1"/>
  </si>
  <si>
    <t>途中</t>
    <rPh sb="0" eb="2">
      <t>トチュウ</t>
    </rPh>
    <phoneticPr fontId="1"/>
  </si>
  <si>
    <t>最後</t>
    <rPh sb="0" eb="2">
      <t>サイゴ</t>
    </rPh>
    <phoneticPr fontId="1"/>
  </si>
  <si>
    <t>121</t>
    <phoneticPr fontId="1"/>
  </si>
  <si>
    <t>898</t>
    <phoneticPr fontId="1"/>
  </si>
  <si>
    <t>9A9</t>
    <phoneticPr fontId="1"/>
  </si>
  <si>
    <t>ABA</t>
    <phoneticPr fontId="1"/>
  </si>
  <si>
    <t>FGF</t>
    <phoneticPr fontId="1"/>
  </si>
  <si>
    <t>11211</t>
    <phoneticPr fontId="1"/>
  </si>
  <si>
    <t>88988</t>
    <phoneticPr fontId="1"/>
  </si>
  <si>
    <t>99A99</t>
    <phoneticPr fontId="1"/>
  </si>
  <si>
    <t>AABAA</t>
    <phoneticPr fontId="1"/>
  </si>
  <si>
    <t>FFGFF</t>
    <phoneticPr fontId="1"/>
  </si>
  <si>
    <t>11112</t>
    <phoneticPr fontId="1"/>
  </si>
  <si>
    <t>88889</t>
    <phoneticPr fontId="1"/>
  </si>
  <si>
    <t>9999A</t>
    <phoneticPr fontId="1"/>
  </si>
  <si>
    <t>AAAAB</t>
    <phoneticPr fontId="1"/>
  </si>
  <si>
    <t>FFFFG</t>
    <phoneticPr fontId="1"/>
  </si>
  <si>
    <t>すべてOK</t>
    <phoneticPr fontId="1"/>
  </si>
  <si>
    <t>01</t>
    <phoneticPr fontId="1"/>
  </si>
  <si>
    <t>01234567890</t>
    <phoneticPr fontId="1"/>
  </si>
  <si>
    <t>0123456780</t>
    <phoneticPr fontId="1"/>
  </si>
  <si>
    <t>0123456789A0</t>
    <phoneticPr fontId="1"/>
  </si>
  <si>
    <t>0123456789ABCDEF0</t>
    <phoneticPr fontId="1"/>
  </si>
  <si>
    <t>符号</t>
    <rPh sb="0" eb="2">
      <t>フゴウ</t>
    </rPh>
    <phoneticPr fontId="1"/>
  </si>
  <si>
    <t>1文字目</t>
    <rPh sb="1" eb="4">
      <t>モジメ</t>
    </rPh>
    <phoneticPr fontId="1"/>
  </si>
  <si>
    <t>2文字目</t>
    <rPh sb="1" eb="4">
      <t>モジメ</t>
    </rPh>
    <phoneticPr fontId="1"/>
  </si>
  <si>
    <t>-1</t>
    <phoneticPr fontId="1"/>
  </si>
  <si>
    <t>1-</t>
    <phoneticPr fontId="1"/>
  </si>
  <si>
    <t>小数点位置</t>
    <rPh sb="0" eb="3">
      <t>ショウスウテン</t>
    </rPh>
    <rPh sb="3" eb="5">
      <t>イチ</t>
    </rPh>
    <phoneticPr fontId="1"/>
  </si>
  <si>
    <t>.0</t>
    <phoneticPr fontId="1"/>
  </si>
  <si>
    <t>separateToIntAndFrc</t>
    <phoneticPr fontId="1"/>
  </si>
  <si>
    <t>checkNPntStrでエラー</t>
    <phoneticPr fontId="1"/>
  </si>
  <si>
    <t>Null文字列</t>
    <rPh sb="4" eb="7">
      <t>モジレツ</t>
    </rPh>
    <phoneticPr fontId="1"/>
  </si>
  <si>
    <t>基数が範囲外</t>
    <rPh sb="0" eb="2">
      <t>キスウ</t>
    </rPh>
    <rPh sb="3" eb="5">
      <t>ハンイ</t>
    </rPh>
    <rPh sb="5" eb="6">
      <t>ガイ</t>
    </rPh>
    <phoneticPr fontId="1"/>
  </si>
  <si>
    <t>1文字</t>
    <rPh sb="1" eb="3">
      <t>モジ</t>
    </rPh>
    <phoneticPr fontId="1"/>
  </si>
  <si>
    <t>2文字</t>
    <rPh sb="1" eb="3">
      <t>モジ</t>
    </rPh>
    <phoneticPr fontId="1"/>
  </si>
  <si>
    <t>3文字</t>
    <rPh sb="1" eb="3">
      <t>モジ</t>
    </rPh>
    <phoneticPr fontId="1"/>
  </si>
  <si>
    <t>整数部抽出</t>
    <rPh sb="0" eb="2">
      <t>セイスウ</t>
    </rPh>
    <rPh sb="2" eb="3">
      <t>ブ</t>
    </rPh>
    <rPh sb="3" eb="5">
      <t>チュウシュツ</t>
    </rPh>
    <phoneticPr fontId="1"/>
  </si>
  <si>
    <t>(+)</t>
    <phoneticPr fontId="1"/>
  </si>
  <si>
    <t>(-)</t>
    <phoneticPr fontId="1"/>
  </si>
  <si>
    <t>0.0</t>
    <phoneticPr fontId="1"/>
  </si>
  <si>
    <t>1文字目でdot</t>
    <rPh sb="1" eb="4">
      <t>モジメ</t>
    </rPh>
    <phoneticPr fontId="1"/>
  </si>
  <si>
    <t>2文字目でdot</t>
    <rPh sb="1" eb="4">
      <t>モジメ</t>
    </rPh>
    <phoneticPr fontId="1"/>
  </si>
  <si>
    <t>最後 - 1 文字目でdot</t>
    <rPh sb="0" eb="2">
      <t>サイゴ</t>
    </rPh>
    <rPh sb="7" eb="10">
      <t>モジメ</t>
    </rPh>
    <phoneticPr fontId="1"/>
  </si>
  <si>
    <t>2 and 3 文字目でdot</t>
    <rPh sb="8" eb="11">
      <t>モジメ</t>
    </rPh>
    <phoneticPr fontId="1"/>
  </si>
  <si>
    <t>0..3</t>
    <phoneticPr fontId="1"/>
  </si>
  <si>
    <t>0123.4</t>
    <phoneticPr fontId="1"/>
  </si>
  <si>
    <t>2 and (最後 - 1)文字目でdot</t>
    <rPh sb="7" eb="9">
      <t>サイゴ</t>
    </rPh>
    <rPh sb="14" eb="17">
      <t>モジメ</t>
    </rPh>
    <phoneticPr fontId="1"/>
  </si>
  <si>
    <t>0.819818.4</t>
    <phoneticPr fontId="1"/>
  </si>
  <si>
    <t>+</t>
  </si>
  <si>
    <t>+</t>
    <phoneticPr fontId="1"/>
  </si>
  <si>
    <t>-</t>
    <phoneticPr fontId="1"/>
  </si>
  <si>
    <t>-.0</t>
    <phoneticPr fontId="1"/>
  </si>
  <si>
    <t>-0.0</t>
    <phoneticPr fontId="1"/>
  </si>
  <si>
    <t>-0..3</t>
    <phoneticPr fontId="1"/>
  </si>
  <si>
    <t>-0123.4</t>
    <phoneticPr fontId="1"/>
  </si>
  <si>
    <t>-0.819818.4</t>
    <phoneticPr fontId="1"/>
  </si>
  <si>
    <t>12</t>
  </si>
  <si>
    <t>123</t>
  </si>
  <si>
    <t>123</t>
    <phoneticPr fontId="1"/>
  </si>
  <si>
    <t>-12</t>
    <phoneticPr fontId="1"/>
  </si>
  <si>
    <t>-123</t>
    <phoneticPr fontId="1"/>
  </si>
  <si>
    <t>小数部抽出</t>
    <rPh sb="0" eb="3">
      <t>ショウスウブ</t>
    </rPh>
    <rPh sb="3" eb="5">
      <t>チュウシュツ</t>
    </rPh>
    <phoneticPr fontId="1"/>
  </si>
  <si>
    <t>整数1文字</t>
    <rPh sb="0" eb="2">
      <t>セイスウ</t>
    </rPh>
    <rPh sb="3" eb="5">
      <t>モジ</t>
    </rPh>
    <phoneticPr fontId="1"/>
  </si>
  <si>
    <t>1.2</t>
    <phoneticPr fontId="1"/>
  </si>
  <si>
    <t>1.23</t>
    <phoneticPr fontId="1"/>
  </si>
  <si>
    <t>1.234</t>
    <phoneticPr fontId="1"/>
  </si>
  <si>
    <t>234</t>
  </si>
  <si>
    <t>整数2文字</t>
    <rPh sb="0" eb="2">
      <t>セイスウ</t>
    </rPh>
    <rPh sb="3" eb="5">
      <t>モジ</t>
    </rPh>
    <phoneticPr fontId="1"/>
  </si>
  <si>
    <t>整数3文字</t>
    <rPh sb="0" eb="2">
      <t>セイスウ</t>
    </rPh>
    <rPh sb="3" eb="5">
      <t>モジ</t>
    </rPh>
    <phoneticPr fontId="1"/>
  </si>
  <si>
    <t>12.3</t>
    <phoneticPr fontId="1"/>
  </si>
  <si>
    <t>12.34</t>
    <phoneticPr fontId="1"/>
  </si>
  <si>
    <t>12.345</t>
    <phoneticPr fontId="1"/>
  </si>
  <si>
    <t>34</t>
  </si>
  <si>
    <t>345</t>
  </si>
  <si>
    <t>123.4</t>
    <phoneticPr fontId="1"/>
  </si>
  <si>
    <t>123.45</t>
    <phoneticPr fontId="1"/>
  </si>
  <si>
    <t>123.456</t>
    <phoneticPr fontId="1"/>
  </si>
  <si>
    <t>45</t>
  </si>
  <si>
    <t>456</t>
  </si>
  <si>
    <t>-1.2</t>
    <phoneticPr fontId="1"/>
  </si>
  <si>
    <t>-1.23</t>
    <phoneticPr fontId="1"/>
  </si>
  <si>
    <t>-1.234</t>
    <phoneticPr fontId="1"/>
  </si>
  <si>
    <t>-12.3</t>
    <phoneticPr fontId="1"/>
  </si>
  <si>
    <t>-12.34</t>
    <phoneticPr fontId="1"/>
  </si>
  <si>
    <t>-12.345</t>
    <phoneticPr fontId="1"/>
  </si>
  <si>
    <t>-123.4</t>
    <phoneticPr fontId="1"/>
  </si>
  <si>
    <t>-123.45</t>
    <phoneticPr fontId="1"/>
  </si>
  <si>
    <t>-123.456</t>
    <phoneticPr fontId="1"/>
  </si>
  <si>
    <t>0削除</t>
    <rPh sb="1" eb="3">
      <t>サクジョ</t>
    </rPh>
    <phoneticPr fontId="1"/>
  </si>
  <si>
    <t>削除しない指定</t>
    <rPh sb="0" eb="2">
      <t>サクジョ</t>
    </rPh>
    <rPh sb="5" eb="7">
      <t>シテイ</t>
    </rPh>
    <phoneticPr fontId="1"/>
  </si>
  <si>
    <t>削除する</t>
    <rPh sb="0" eb="2">
      <t>サクジョ</t>
    </rPh>
    <phoneticPr fontId="1"/>
  </si>
  <si>
    <t>001.100</t>
    <phoneticPr fontId="1"/>
  </si>
  <si>
    <t>整数部がすべて0</t>
    <rPh sb="0" eb="3">
      <t>セイスウブ</t>
    </rPh>
    <phoneticPr fontId="1"/>
  </si>
  <si>
    <t>000.100</t>
    <phoneticPr fontId="1"/>
  </si>
  <si>
    <t>小数部がすべて0</t>
    <rPh sb="0" eb="3">
      <t>ショウスウブ</t>
    </rPh>
    <phoneticPr fontId="1"/>
  </si>
  <si>
    <t>整数&amp;小数すべてが0</t>
    <rPh sb="0" eb="2">
      <t>セイスウ</t>
    </rPh>
    <rPh sb="3" eb="5">
      <t>ショウスウ</t>
    </rPh>
    <phoneticPr fontId="1"/>
  </si>
  <si>
    <t>001.000</t>
    <phoneticPr fontId="1"/>
  </si>
  <si>
    <t>000.000</t>
    <phoneticPr fontId="1"/>
  </si>
  <si>
    <t>addNPntNPnt</t>
    <phoneticPr fontId="1"/>
  </si>
  <si>
    <t>checkNPntStrでエラー</t>
  </si>
  <si>
    <t>val1</t>
  </si>
  <si>
    <t>val1</t>
    <phoneticPr fontId="1"/>
  </si>
  <si>
    <t>val2</t>
    <phoneticPr fontId="1"/>
  </si>
  <si>
    <t>桁数合わせ</t>
    <rPh sb="0" eb="2">
      <t>ケタスウ</t>
    </rPh>
    <rPh sb="2" eb="3">
      <t>ア</t>
    </rPh>
    <phoneticPr fontId="1"/>
  </si>
  <si>
    <t>不要</t>
    <rPh sb="0" eb="2">
      <t>フヨウ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</si>
  <si>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</si>
  <si>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</si>
  <si>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0.4</t>
  </si>
  <si>
    <t>0.42</t>
  </si>
  <si>
    <t>0.523</t>
  </si>
  <si>
    <t>(-) (-)</t>
    <phoneticPr fontId="1"/>
  </si>
  <si>
    <t>(-) (+)</t>
    <phoneticPr fontId="1"/>
  </si>
  <si>
    <t>解が(+)</t>
    <rPh sb="0" eb="1">
      <t>カイ</t>
    </rPh>
    <phoneticPr fontId="1"/>
  </si>
  <si>
    <t>解が(-)</t>
    <rPh sb="0" eb="1">
      <t>カイ</t>
    </rPh>
    <phoneticPr fontId="1"/>
  </si>
  <si>
    <t>解が0</t>
    <rPh sb="0" eb="1">
      <t>カイ</t>
    </rPh>
    <phoneticPr fontId="1"/>
  </si>
  <si>
    <t>-10</t>
  </si>
  <si>
    <t>-1</t>
  </si>
  <si>
    <t>(+) (-)</t>
    <phoneticPr fontId="1"/>
  </si>
  <si>
    <t>(+) (+)</t>
    <phoneticPr fontId="1"/>
  </si>
  <si>
    <t>桁上りなし</t>
    <rPh sb="0" eb="2">
      <t>ケタアガ</t>
    </rPh>
    <phoneticPr fontId="1"/>
  </si>
  <si>
    <t>桁上りあり(小数点内)</t>
    <rPh sb="0" eb="2">
      <t>ケタアガ</t>
    </rPh>
    <rPh sb="6" eb="9">
      <t>ショウスウテン</t>
    </rPh>
    <rPh sb="9" eb="10">
      <t>ナイ</t>
    </rPh>
    <phoneticPr fontId="1"/>
  </si>
  <si>
    <t>小数点位置</t>
    <rPh sb="0" eb="3">
      <t>ショウスウテン</t>
    </rPh>
    <rPh sb="3" eb="5">
      <t>イチ</t>
    </rPh>
    <phoneticPr fontId="1"/>
  </si>
  <si>
    <t>桁上りあり(小数点またぎ)</t>
    <rPh sb="0" eb="2">
      <t>ケタアガ</t>
    </rPh>
    <rPh sb="6" eb="9">
      <t>ショウスウテン</t>
    </rPh>
    <phoneticPr fontId="1"/>
  </si>
  <si>
    <t>計算結果の不要0</t>
    <rPh sb="0" eb="4">
      <t>ケイサンケッカ</t>
    </rPh>
    <rPh sb="5" eb="7">
      <t>フヨウ</t>
    </rPh>
    <phoneticPr fontId="1"/>
  </si>
  <si>
    <t>小数</t>
    <rPh sb="0" eb="2">
      <t>ショウスウ</t>
    </rPh>
    <phoneticPr fontId="1"/>
  </si>
  <si>
    <t>小数点またがない</t>
    <rPh sb="0" eb="3">
      <t>ショウスウテン</t>
    </rPh>
    <phoneticPr fontId="1"/>
  </si>
  <si>
    <t>小数点またぎ</t>
    <rPh sb="0" eb="3">
      <t>ショウスウテン</t>
    </rPh>
    <phoneticPr fontId="1"/>
  </si>
  <si>
    <t>整数</t>
    <rPh sb="0" eb="2">
      <t>セイスウ</t>
    </rPh>
    <phoneticPr fontId="1"/>
  </si>
  <si>
    <t>符号</t>
    <rPh sb="0" eb="2">
      <t>フゴウ</t>
    </rPh>
    <phoneticPr fontId="1"/>
  </si>
  <si>
    <t>0.9</t>
  </si>
  <si>
    <t>0.1</t>
  </si>
  <si>
    <t>multipleNPntNPnt</t>
    <phoneticPr fontId="1"/>
  </si>
  <si>
    <t>radix</t>
    <phoneticPr fontId="1"/>
  </si>
  <si>
    <t>被乗数</t>
    <rPh sb="0" eb="3">
      <t>ヒジョウスウ</t>
    </rPh>
    <phoneticPr fontId="1"/>
  </si>
  <si>
    <t>乗数</t>
    <rPh sb="0" eb="2">
      <t>ジョウスウ</t>
    </rPh>
    <phoneticPr fontId="1"/>
  </si>
  <si>
    <t>2進数</t>
    <rPh sb="1" eb="3">
      <t>シンスウ</t>
    </rPh>
    <phoneticPr fontId="1"/>
  </si>
  <si>
    <t>10進数</t>
    <rPh sb="2" eb="4">
      <t>シンスウ</t>
    </rPh>
    <phoneticPr fontId="1"/>
  </si>
  <si>
    <t>16進数</t>
    <rPh sb="2" eb="3">
      <t>シン</t>
    </rPh>
    <rPh sb="3" eb="4">
      <t>スウ</t>
    </rPh>
    <phoneticPr fontId="1"/>
  </si>
  <si>
    <t>少数</t>
    <rPh sb="0" eb="2">
      <t>ショウスウ</t>
    </rPh>
    <phoneticPr fontId="1"/>
  </si>
  <si>
    <t>少数 少数</t>
    <rPh sb="0" eb="2">
      <t>ショウスウ</t>
    </rPh>
    <rPh sb="3" eb="5">
      <t>ショウスウ</t>
    </rPh>
    <phoneticPr fontId="1"/>
  </si>
  <si>
    <t>少数 整数</t>
    <rPh sb="0" eb="2">
      <t>ショウスウ</t>
    </rPh>
    <rPh sb="3" eb="5">
      <t>セイスウ</t>
    </rPh>
    <phoneticPr fontId="1"/>
  </si>
  <si>
    <t>繰り上がりなし</t>
    <rPh sb="0" eb="1">
      <t>ク</t>
    </rPh>
    <rPh sb="2" eb="3">
      <t>ア</t>
    </rPh>
    <phoneticPr fontId="1"/>
  </si>
  <si>
    <t>繰り上がりあり</t>
    <rPh sb="0" eb="1">
      <t>ク</t>
    </rPh>
    <rPh sb="2" eb="3">
      <t>ア</t>
    </rPh>
    <phoneticPr fontId="1"/>
  </si>
  <si>
    <t>繰り上がりあり(小数点またぎ)</t>
    <rPh sb="0" eb="1">
      <t>ク</t>
    </rPh>
    <rPh sb="2" eb="3">
      <t>ア</t>
    </rPh>
    <rPh sb="8" eb="11">
      <t>ショウスウテン</t>
    </rPh>
    <phoneticPr fontId="1"/>
  </si>
  <si>
    <t>未指定OK</t>
    <rPh sb="0" eb="3">
      <t>ミシテイ</t>
    </rPh>
    <phoneticPr fontId="1"/>
  </si>
  <si>
    <t>未指定NG</t>
    <rPh sb="0" eb="3">
      <t>ミシテイ</t>
    </rPh>
    <phoneticPr fontId="1"/>
  </si>
  <si>
    <t>A</t>
    <phoneticPr fontId="1"/>
  </si>
  <si>
    <t>radix</t>
  </si>
  <si>
    <t>0.2</t>
  </si>
  <si>
    <t>0.002</t>
  </si>
  <si>
    <t>0.01</t>
  </si>
  <si>
    <t>乗数少数部の桁数</t>
    <rPh sb="0" eb="2">
      <t>ジョウスウ</t>
    </rPh>
    <rPh sb="2" eb="4">
      <t>ショウスウ</t>
    </rPh>
    <rPh sb="4" eb="5">
      <t>ブ</t>
    </rPh>
    <rPh sb="6" eb="8">
      <t>ケタスウ</t>
    </rPh>
    <phoneticPr fontId="1"/>
  </si>
  <si>
    <t>被乗数の桁数で収まる</t>
    <rPh sb="0" eb="3">
      <t>ヒジョウスウ</t>
    </rPh>
    <rPh sb="4" eb="6">
      <t>ケタスウ</t>
    </rPh>
    <rPh sb="7" eb="8">
      <t>オサ</t>
    </rPh>
    <phoneticPr fontId="1"/>
  </si>
  <si>
    <t>被乗数の桁数で収まる(最大)</t>
    <rPh sb="0" eb="3">
      <t>ヒジョウスウ</t>
    </rPh>
    <rPh sb="4" eb="6">
      <t>ケタスウ</t>
    </rPh>
    <rPh sb="7" eb="8">
      <t>オサ</t>
    </rPh>
    <rPh sb="11" eb="13">
      <t>サイダイ</t>
    </rPh>
    <phoneticPr fontId="1"/>
  </si>
  <si>
    <t>被乗数の桁数で収まらない(最小)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</si>
  <si>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被乗数の桁数で収まらない(最小+1)</t>
    <rPh sb="0" eb="3">
      <t>ヒジョウスウ</t>
    </rPh>
    <rPh sb="4" eb="6">
      <t>ケタスウ</t>
    </rPh>
    <rPh sb="7" eb="8">
      <t>オサ</t>
    </rPh>
    <rPh sb="13" eb="15">
      <t>サイショウ</t>
    </rPh>
    <phoneticPr fontId="1"/>
  </si>
  <si>
    <t>23.4</t>
  </si>
  <si>
    <t>2.34</t>
  </si>
  <si>
    <t>0.234</t>
  </si>
  <si>
    <t>0.0234</t>
  </si>
  <si>
    <t>符号</t>
    <rPh sb="0" eb="2">
      <t>フゴウ</t>
    </rPh>
    <phoneticPr fontId="1"/>
  </si>
  <si>
    <t>(+) (+)</t>
    <phoneticPr fontId="1"/>
  </si>
  <si>
    <t>-0</t>
    <phoneticPr fontId="1"/>
  </si>
  <si>
    <t>6</t>
  </si>
  <si>
    <t>-6</t>
  </si>
  <si>
    <t>(-) (-)</t>
  </si>
  <si>
    <t>F</t>
    <phoneticPr fontId="1"/>
  </si>
  <si>
    <t>divideNPntNPnt</t>
    <phoneticPr fontId="1"/>
  </si>
  <si>
    <t>divideでエラー</t>
    <phoneticPr fontId="1"/>
  </si>
  <si>
    <t>整数 整数</t>
    <rPh sb="0" eb="2">
      <t>セイスウ</t>
    </rPh>
    <rPh sb="3" eb="5">
      <t>セイスウ</t>
    </rPh>
    <phoneticPr fontId="1"/>
  </si>
  <si>
    <t>桁が減る</t>
    <rPh sb="0" eb="1">
      <t>ケタ</t>
    </rPh>
    <rPh sb="2" eb="3">
      <t>ヘ</t>
    </rPh>
    <phoneticPr fontId="1"/>
  </si>
  <si>
    <t>桁が減る(小数点以下1桁)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</si>
  <si>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桁が減る(小数点以下2桁)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</si>
  <si>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桁が減る(小数点以下3桁)</t>
    <rPh sb="0" eb="1">
      <t>ケタ</t>
    </rPh>
    <rPh sb="2" eb="3">
      <t>ヘ</t>
    </rPh>
    <rPh sb="5" eb="8">
      <t>ショウスウテン</t>
    </rPh>
    <rPh sb="8" eb="10">
      <t>イカ</t>
    </rPh>
    <rPh sb="11" eb="12">
      <t>ケタ</t>
    </rPh>
    <phoneticPr fontId="1"/>
  </si>
  <si>
    <t>桁はそのまま</t>
    <rPh sb="0" eb="1">
      <t>ケタ</t>
    </rPh>
    <phoneticPr fontId="1"/>
  </si>
  <si>
    <t>オーバーフロー</t>
    <phoneticPr fontId="1"/>
  </si>
  <si>
    <t>被除数</t>
    <rPh sb="0" eb="1">
      <t>ヒ</t>
    </rPh>
    <rPh sb="1" eb="3">
      <t>ジョスウ</t>
    </rPh>
    <phoneticPr fontId="1"/>
  </si>
  <si>
    <t>除数</t>
    <rPh sb="0" eb="2">
      <t>ジョスウ</t>
    </rPh>
    <phoneticPr fontId="1"/>
  </si>
  <si>
    <t>0.5</t>
  </si>
  <si>
    <t>0.05</t>
  </si>
  <si>
    <t>0.005</t>
  </si>
  <si>
    <t>整数 少数</t>
    <rPh sb="0" eb="2">
      <t>セイスウ</t>
    </rPh>
    <rPh sb="3" eb="5">
      <t>ショウスウ</t>
    </rPh>
    <phoneticPr fontId="1"/>
  </si>
  <si>
    <t>桁が減る(小数点またぎ1桁)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</si>
  <si>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桁が減る(小数点またぎ2桁)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</si>
  <si>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桁が減る(小数点またぎ3桁)</t>
    <rPh sb="0" eb="1">
      <t>ケタ</t>
    </rPh>
    <rPh sb="2" eb="3">
      <t>ヘ</t>
    </rPh>
    <rPh sb="5" eb="8">
      <t>ショウスウテン</t>
    </rPh>
    <rPh sb="12" eb="13">
      <t>ケタ</t>
    </rPh>
    <phoneticPr fontId="1"/>
  </si>
  <si>
    <t>桁が増える(1桁)</t>
    <rPh sb="0" eb="1">
      <t>ケタ</t>
    </rPh>
    <rPh sb="2" eb="3">
      <t>フ</t>
    </rPh>
    <rPh sb="7" eb="8">
      <t>ケタ</t>
    </rPh>
    <phoneticPr fontId="1"/>
  </si>
  <si>
    <t>桁が増える(2桁)</t>
    <rPh sb="0" eb="1">
      <t>ケタ</t>
    </rPh>
    <rPh sb="2" eb="3">
      <t>フ</t>
    </rPh>
    <rPh sb="7" eb="8">
      <t>ケタ</t>
    </rPh>
    <phoneticPr fontId="1"/>
  </si>
  <si>
    <t>桁が増える(3桁)</t>
    <rPh sb="0" eb="1">
      <t>ケタ</t>
    </rPh>
    <rPh sb="2" eb="3">
      <t>フ</t>
    </rPh>
    <rPh sb="7" eb="8">
      <t>ケタ</t>
    </rPh>
    <phoneticPr fontId="1"/>
  </si>
  <si>
    <t>20</t>
  </si>
  <si>
    <t>200</t>
  </si>
  <si>
    <t>10000</t>
  </si>
  <si>
    <t>-12</t>
  </si>
  <si>
    <t>0割</t>
    <rPh sb="1" eb="2">
      <t>ワリ</t>
    </rPh>
    <phoneticPr fontId="1"/>
  </si>
  <si>
    <t>桁数指定</t>
    <rPh sb="0" eb="2">
      <t>ケタスウ</t>
    </rPh>
    <rPh sb="2" eb="4">
      <t>シテイ</t>
    </rPh>
    <phoneticPr fontId="1"/>
  </si>
  <si>
    <t>/整数</t>
    <rPh sb="1" eb="3">
      <t>セイスウ</t>
    </rPh>
    <phoneticPr fontId="1"/>
  </si>
  <si>
    <t>1桁</t>
    <phoneticPr fontId="1"/>
  </si>
  <si>
    <t>2桁</t>
    <phoneticPr fontId="1"/>
  </si>
  <si>
    <t>/少数(1桁)</t>
    <rPh sb="1" eb="3">
      <t>ショウスウ</t>
    </rPh>
    <rPh sb="5" eb="6">
      <t>ケタ</t>
    </rPh>
    <phoneticPr fontId="1"/>
  </si>
  <si>
    <t>/少数(2桁)</t>
    <rPh sb="1" eb="3">
      <t>ショウスウ</t>
    </rPh>
    <rPh sb="5" eb="6">
      <t>ケタ</t>
    </rPh>
    <phoneticPr fontId="1"/>
  </si>
  <si>
    <t>0.3</t>
  </si>
  <si>
    <t>0.33</t>
  </si>
  <si>
    <t>255桁</t>
    <phoneticPr fontId="1"/>
  </si>
  <si>
    <t>0.333333333333333333333333333333333333333333333333333333333333333333333333333333333333333333333333333333333333333333333333333333333333333333333333333333333333333333333333333333333333333333333333333333333333333333333333333333333333333333333333333333333333333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</si>
  <si>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3.3</t>
  </si>
  <si>
    <t>3.33</t>
  </si>
  <si>
    <t>3.333333333333333333333333333333333333333333333333333333333333333333333333333333333333333333333333333333333333333333333333333333333333333333333333333333333333333333333333333333333333333333333333333333333333333333333333333333333333333333333333333333333333333</t>
  </si>
  <si>
    <t>3.03</t>
  </si>
  <si>
    <t>3.0</t>
  </si>
  <si>
    <t>3.030303030303030303030303030303030303030303030303030303030303030303030303030303030303030303030303030303030303030303030303030303030303030303030303030303030303030303030303030303030303030303030303030303030303030303030303030303030303030303030303030303030303030</t>
  </si>
  <si>
    <t>convNPntNPnt</t>
    <phoneticPr fontId="1"/>
  </si>
  <si>
    <t>変換元数値列チェック</t>
    <rPh sb="0" eb="3">
      <t>ヘンカンモト</t>
    </rPh>
    <rPh sb="3" eb="5">
      <t>スウチ</t>
    </rPh>
    <rPh sb="5" eb="6">
      <t>レツ</t>
    </rPh>
    <phoneticPr fontId="1"/>
  </si>
  <si>
    <t>数値列中にNG文字</t>
    <rPh sb="0" eb="2">
      <t>スウチ</t>
    </rPh>
    <rPh sb="2" eb="3">
      <t>レツ</t>
    </rPh>
    <rPh sb="3" eb="4">
      <t>チュウ</t>
    </rPh>
    <rPh sb="7" eb="9">
      <t>モジ</t>
    </rPh>
    <phoneticPr fontId="1"/>
  </si>
  <si>
    <t>数値列がNULL</t>
    <rPh sb="0" eb="2">
      <t>スウチ</t>
    </rPh>
    <rPh sb="2" eb="3">
      <t>レツ</t>
    </rPh>
    <phoneticPr fontId="1"/>
  </si>
  <si>
    <t>A</t>
    <phoneticPr fontId="1"/>
  </si>
  <si>
    <t>変換先基数チェック</t>
    <rPh sb="0" eb="3">
      <t>ヘンカンサキ</t>
    </rPh>
    <rPh sb="3" eb="5">
      <t>キスウ</t>
    </rPh>
    <phoneticPr fontId="1"/>
  </si>
  <si>
    <t>NG最大</t>
    <rPh sb="2" eb="4">
      <t>サイダイ</t>
    </rPh>
    <phoneticPr fontId="1"/>
  </si>
  <si>
    <t>OK最小</t>
    <rPh sb="2" eb="4">
      <t>サイショウ</t>
    </rPh>
    <phoneticPr fontId="1"/>
  </si>
  <si>
    <t>OK中間</t>
    <rPh sb="2" eb="4">
      <t>チュウカン</t>
    </rPh>
    <phoneticPr fontId="1"/>
  </si>
  <si>
    <t>OK最大</t>
    <rPh sb="2" eb="4">
      <t>サイダイ</t>
    </rPh>
    <phoneticPr fontId="1"/>
  </si>
  <si>
    <t>NG最小</t>
    <rPh sb="2" eb="4">
      <t>サイショウ</t>
    </rPh>
    <phoneticPr fontId="1"/>
  </si>
  <si>
    <t>小数部</t>
    <rPh sb="0" eb="3">
      <t>ショウスウブ</t>
    </rPh>
    <phoneticPr fontId="1"/>
  </si>
  <si>
    <t>1桁</t>
    <rPh sb="1" eb="2">
      <t>ケタ</t>
    </rPh>
    <phoneticPr fontId="1"/>
  </si>
  <si>
    <t>2桁</t>
    <rPh sb="1" eb="2">
      <t>ケタ</t>
    </rPh>
    <phoneticPr fontId="1"/>
  </si>
  <si>
    <t>桁数範囲内</t>
    <rPh sb="0" eb="2">
      <t>ケタスウ</t>
    </rPh>
    <rPh sb="2" eb="5">
      <t>ハンイナイ</t>
    </rPh>
    <phoneticPr fontId="1"/>
  </si>
  <si>
    <t>範囲内最大</t>
    <rPh sb="0" eb="3">
      <t>ハンイナイ</t>
    </rPh>
    <rPh sb="3" eb="5">
      <t>サイダイ</t>
    </rPh>
    <phoneticPr fontId="1"/>
  </si>
  <si>
    <t>範囲外</t>
    <rPh sb="0" eb="3">
      <t>ハンイガイ</t>
    </rPh>
    <phoneticPr fontId="1"/>
  </si>
  <si>
    <t>0桁</t>
    <rPh sb="1" eb="2">
      <t>ケタ</t>
    </rPh>
    <phoneticPr fontId="1"/>
  </si>
  <si>
    <t>1桁</t>
    <phoneticPr fontId="1"/>
  </si>
  <si>
    <t>2桁</t>
    <phoneticPr fontId="1"/>
  </si>
  <si>
    <t>符号</t>
    <rPh sb="0" eb="2">
      <t>フゴウ</t>
    </rPh>
    <phoneticPr fontId="1"/>
  </si>
  <si>
    <t>(+)</t>
    <phoneticPr fontId="1"/>
  </si>
  <si>
    <t>(-)</t>
    <phoneticPr fontId="1"/>
  </si>
  <si>
    <t>0.0625</t>
    <phoneticPr fontId="1"/>
  </si>
  <si>
    <t>0.03125</t>
  </si>
  <si>
    <t>0.03125</t>
    <phoneticPr fontId="1"/>
  </si>
  <si>
    <t>0.08</t>
  </si>
  <si>
    <t>記載なし</t>
    <rPh sb="0" eb="2">
      <t>キサイ</t>
    </rPh>
    <phoneticPr fontId="1"/>
  </si>
  <si>
    <t>0.0</t>
    <phoneticPr fontId="1"/>
  </si>
  <si>
    <t>0</t>
    <phoneticPr fontId="1"/>
  </si>
  <si>
    <t>0.1</t>
    <phoneticPr fontId="1"/>
  </si>
  <si>
    <t>0.19</t>
  </si>
  <si>
    <t>0.199999999999999999999999999999999999999999999999999999999999999999999999999999999999999999999999999999999999999999999999999999999999999999999999999999999999999999999999999999999999999999999999999999999999999999999999999999999999999999999999999999999999999</t>
  </si>
  <si>
    <t>未指定</t>
    <rPh sb="0" eb="3">
      <t>ミシテイ</t>
    </rPh>
    <phoneticPr fontId="1"/>
  </si>
  <si>
    <t>0.199999999999999999999999999999</t>
  </si>
  <si>
    <t>15</t>
    <phoneticPr fontId="1"/>
  </si>
  <si>
    <t>-15</t>
    <phoneticPr fontId="1"/>
  </si>
  <si>
    <t>-F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</si>
</sst>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9"/>
      <color theme="1"/>
      <name val="ＭＳ ゴシック"/>
      <family val="2"/>
      <charset val="128"/>
    </font>
    <font>
      <sz val="6"/>
      <name val="ＭＳ ゴシック"/>
      <family val="2"/>
      <charset val="128"/>
    </font>
    <font>
      <b/>
      <sz val="9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Border="1">
      <alignment vertical="center"/>
    </xf>
    <xf numFmtId="0" fontId="0" fillId="0" borderId="0" xfId="0" applyFill="1" applyBorder="1">
      <alignment vertical="center"/>
    </xf>
    <xf numFmtId="0" fontId="0" fillId="0" borderId="1" xfId="0" applyBorder="1" applyAlignment="1">
      <alignment horizontal="right" vertical="center"/>
    </xf>
    <xf numFmtId="49" fontId="0" fillId="0" borderId="1" xfId="0" applyNumberFormat="1" applyBorder="1" applyAlignment="1">
      <alignment horizontal="right" vertical="center"/>
    </xf>
    <xf numFmtId="49" fontId="0" fillId="0" borderId="3" xfId="0" applyNumberFormat="1" applyBorder="1">
      <alignment vertical="center"/>
    </xf>
    <xf numFmtId="49" fontId="0" fillId="0" borderId="3" xfId="0" applyNumberFormat="1" applyBorder="1" applyAlignment="1">
      <alignment horizontal="right" vertical="center"/>
    </xf>
    <xf numFmtId="49" fontId="0" fillId="0" borderId="1" xfId="0" applyNumberFormat="1" applyBorder="1">
      <alignment vertical="center"/>
    </xf>
    <xf numFmtId="49" fontId="0" fillId="0" borderId="2" xfId="0" applyNumberFormat="1" applyBorder="1" applyAlignment="1">
      <alignment horizontal="right" vertical="center"/>
    </xf>
    <xf numFmtId="49" fontId="0" fillId="0" borderId="0" xfId="0" applyNumberForma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49" fontId="0" fillId="0" borderId="0" xfId="0" applyNumberFormat="1" applyAlignment="1">
      <alignment horizontal="right" vertical="center"/>
    </xf>
    <xf numFmtId="49" fontId="0" fillId="0" borderId="6" xfId="0" applyNumberFormat="1" applyBorder="1" applyAlignment="1">
      <alignment horizontal="right" vertical="center"/>
    </xf>
    <xf numFmtId="49" fontId="0" fillId="0" borderId="7" xfId="0" applyNumberFormat="1" applyBorder="1" applyAlignment="1">
      <alignment horizontal="right" vertical="center"/>
    </xf>
    <xf numFmtId="49" fontId="0" fillId="0" borderId="3" xfId="0" applyNumberFormat="1" applyBorder="1" applyAlignment="1">
      <alignment horizontal="left" vertical="center"/>
    </xf>
    <xf numFmtId="49" fontId="0" fillId="0" borderId="1" xfId="0" applyNumberFormat="1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Fill="1" applyBorder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Border="1" applyAlignment="1">
      <alignment horizontal="left" vertical="center"/>
    </xf>
    <xf numFmtId="0" fontId="0" fillId="0" borderId="8" xfId="0" applyBorder="1">
      <alignment vertical="center"/>
    </xf>
    <xf numFmtId="49" fontId="0" fillId="0" borderId="9" xfId="0" applyNumberFormat="1" applyBorder="1" applyAlignment="1">
      <alignment horizontal="right" vertical="center"/>
    </xf>
    <xf numFmtId="49" fontId="0" fillId="0" borderId="8" xfId="0" applyNumberFormat="1" applyBorder="1" applyAlignment="1">
      <alignment horizontal="right" vertical="center"/>
    </xf>
    <xf numFmtId="0" fontId="0" fillId="0" borderId="8" xfId="0" applyFill="1" applyBorder="1">
      <alignment vertical="center"/>
    </xf>
    <xf numFmtId="0" fontId="0" fillId="0" borderId="9" xfId="0" applyBorder="1">
      <alignment vertical="center"/>
    </xf>
    <xf numFmtId="0" fontId="0" fillId="0" borderId="5" xfId="0" applyFill="1" applyBorder="1">
      <alignment vertical="center"/>
    </xf>
    <xf numFmtId="0" fontId="0" fillId="0" borderId="0" xfId="0" applyFill="1" applyBorder="1" applyAlignment="1">
      <alignment horizontal="left" vertical="center"/>
    </xf>
    <xf numFmtId="0" fontId="0" fillId="0" borderId="7" xfId="0" applyBorder="1">
      <alignment vertical="center"/>
    </xf>
    <xf numFmtId="0" fontId="0" fillId="0" borderId="6" xfId="0" applyBorder="1">
      <alignment vertical="center"/>
    </xf>
    <xf numFmtId="0" fontId="0" fillId="0" borderId="0" xfId="0" applyFill="1" applyBorder="1" applyAlignment="1">
      <alignment horizontal="right" vertical="center"/>
    </xf>
    <xf numFmtId="0" fontId="0" fillId="0" borderId="2" xfId="0" applyFill="1" applyBorder="1" applyAlignment="1">
      <alignment horizontal="right" vertical="center"/>
    </xf>
    <xf numFmtId="0" fontId="0" fillId="0" borderId="3" xfId="0" applyBorder="1" applyAlignment="1">
      <alignment horizontal="right" vertical="center"/>
    </xf>
  </cellXfs>
  <cellStyles count="1">
    <cellStyle name="標準" xfId="0" builtinId="0"/>
  </cellStyles>
  <dxfs count="11"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C7C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T650"/>
  <sheetViews>
    <sheetView tabSelected="1" zoomScale="85" zoomScaleNormal="85" workbookViewId="0">
      <pane xSplit="4" ySplit="3" topLeftCell="E4" activePane="bottomRight" state="frozen"/>
      <selection pane="topRight" activeCell="E1" sqref="E1"/>
      <selection pane="bottomLeft" activeCell="A4" sqref="A4"/>
      <selection pane="bottomRight" activeCell="E4" sqref="E4"/>
    </sheetView>
  </sheetViews>
  <sheetFormatPr defaultRowHeight="11.25" x14ac:dyDescent="0.15"/>
  <cols>
    <col min="1" max="1" width="28" customWidth="1"/>
    <col min="2" max="2" width="26.1640625" bestFit="1" customWidth="1"/>
    <col min="3" max="3" width="34.33203125" bestFit="1" customWidth="1"/>
    <col min="4" max="4" width="33.1640625" bestFit="1" customWidth="1"/>
    <col min="5" max="5" width="37.83203125" style="1" bestFit="1" customWidth="1"/>
    <col min="6" max="6" width="37.5" bestFit="1" customWidth="1"/>
    <col min="9" max="9" width="40" style="1" bestFit="1" customWidth="1"/>
    <col min="10" max="10" width="7.1640625" customWidth="1"/>
    <col min="11" max="11" width="9.1640625" customWidth="1"/>
    <col min="13" max="13" width="40" style="1" bestFit="1" customWidth="1"/>
    <col min="14" max="14" width="7.1640625" customWidth="1"/>
    <col min="15" max="15" width="9.1640625" customWidth="1"/>
    <col min="17" max="17" width="7.1640625" style="1" customWidth="1"/>
    <col min="18" max="18" width="7.1640625" bestFit="1" customWidth="1"/>
    <col min="19" max="19" width="7.1640625" customWidth="1"/>
    <col min="20" max="20" width="7.1640625" bestFit="1" customWidth="1"/>
  </cols>
  <sheetData>
    <row r="1" spans="1:20" x14ac:dyDescent="0.15">
      <c r="A1" s="4" t="s">
        <v>19</v>
      </c>
      <c r="B1" s="5" t="str">
        <f>IF(COUNTIF(Q:T,FALSE)=0, "OK", "NG")</f>
        <v>OK</v>
      </c>
    </row>
    <row r="3" spans="1:20" x14ac:dyDescent="0.15">
      <c r="A3" t="s">
        <v>2</v>
      </c>
      <c r="B3" t="s">
        <v>211</v>
      </c>
      <c r="E3" s="1" t="s">
        <v>0</v>
      </c>
      <c r="I3" s="1" t="s">
        <v>1</v>
      </c>
      <c r="M3" s="1" t="s">
        <v>12</v>
      </c>
      <c r="Q3" s="1" t="s">
        <v>13</v>
      </c>
    </row>
    <row r="4" spans="1:20" x14ac:dyDescent="0.15">
      <c r="A4" t="s">
        <v>708</v>
      </c>
      <c r="B4" t="s">
        <v>709</v>
      </c>
      <c r="C4" t="s">
        <v>711</v>
      </c>
      <c r="D4" t="s">
        <v>579</v>
      </c>
      <c r="F4">
        <v>1</v>
      </c>
      <c r="G4">
        <v>10</v>
      </c>
      <c r="I4" s="1" t="e">
        <f>addNPntNPnt(E4,F4,G4)</f>
        <v>#NULL!</v>
      </c>
      <c r="M4" s="1" t="e">
        <v>#NULL!</v>
      </c>
      <c r="Q4" s="1" t="b">
        <f t="shared" ref="Q4:Q67" si="0">getText(I4)=getText(M4)</f>
        <v>1</v>
      </c>
    </row>
    <row r="5" spans="1:20" x14ac:dyDescent="0.15">
      <c r="D5" t="s">
        <v>642</v>
      </c>
      <c r="E5" s="1">
        <v>1</v>
      </c>
      <c r="F5">
        <v>1</v>
      </c>
      <c r="G5">
        <v>1</v>
      </c>
      <c r="I5" s="1" t="e">
        <f>addNPntNPnt(E5,F5,G5)</f>
        <v>#NUM!</v>
      </c>
      <c r="M5" s="1" t="e">
        <v>#NUM!</v>
      </c>
      <c r="Q5" s="1" t="b">
        <f t="shared" si="0"/>
        <v>1</v>
      </c>
      <c r="R5" s="6"/>
      <c r="S5" s="6"/>
      <c r="T5" s="6"/>
    </row>
    <row r="6" spans="1:20" x14ac:dyDescent="0.15">
      <c r="C6" s="2" t="s">
        <v>712</v>
      </c>
      <c r="D6" s="2" t="s">
        <v>579</v>
      </c>
      <c r="E6" s="3">
        <v>1</v>
      </c>
      <c r="F6" s="2"/>
      <c r="G6" s="2">
        <v>10</v>
      </c>
      <c r="H6" s="2"/>
      <c r="I6" s="3" t="e">
        <f t="shared" ref="I6:I30" si="1">addNPntNPnt(E6,F6,G6)</f>
        <v>#NULL!</v>
      </c>
      <c r="J6" s="2"/>
      <c r="K6" s="2"/>
      <c r="L6" s="2"/>
      <c r="M6" s="3" t="e">
        <v>#NULL!</v>
      </c>
      <c r="N6" s="2"/>
      <c r="O6" s="2"/>
      <c r="P6" s="2"/>
      <c r="Q6" s="3" t="b">
        <f t="shared" si="0"/>
        <v>1</v>
      </c>
      <c r="R6" s="6"/>
      <c r="S6" s="6"/>
      <c r="T6" s="6"/>
    </row>
    <row r="7" spans="1:20" x14ac:dyDescent="0.15">
      <c r="D7" t="s">
        <v>642</v>
      </c>
      <c r="E7" s="1">
        <v>1</v>
      </c>
      <c r="F7">
        <v>1</v>
      </c>
      <c r="G7" s="7">
        <v>1</v>
      </c>
      <c r="I7" s="1" t="e">
        <f t="shared" si="1"/>
        <v>#NUM!</v>
      </c>
      <c r="M7" s="1" t="e">
        <v>#NUM!</v>
      </c>
      <c r="Q7" s="1" t="b">
        <f t="shared" si="0"/>
        <v>1</v>
      </c>
      <c r="R7" s="6"/>
      <c r="S7" s="6"/>
      <c r="T7" s="6"/>
    </row>
    <row r="8" spans="1:20" x14ac:dyDescent="0.15">
      <c r="B8" s="2" t="s">
        <v>713</v>
      </c>
      <c r="C8" s="2" t="s">
        <v>710</v>
      </c>
      <c r="D8" s="2" t="s">
        <v>714</v>
      </c>
      <c r="E8" s="3">
        <v>0.1</v>
      </c>
      <c r="F8" s="2">
        <v>0.3</v>
      </c>
      <c r="G8" s="24">
        <v>10</v>
      </c>
      <c r="H8" s="2"/>
      <c r="I8" s="3" t="str">
        <f t="shared" si="1"/>
        <v>0.4</v>
      </c>
      <c r="J8" s="2"/>
      <c r="K8" s="2"/>
      <c r="L8" s="2"/>
      <c r="M8" s="3" t="s">
        <v>717</v>
      </c>
      <c r="N8" s="2"/>
      <c r="O8" s="2"/>
      <c r="P8" s="2"/>
      <c r="Q8" s="3" t="b">
        <f t="shared" si="0"/>
        <v>1</v>
      </c>
    </row>
    <row r="9" spans="1:20" x14ac:dyDescent="0.15">
      <c r="D9" s="7" t="s">
        <v>715</v>
      </c>
      <c r="E9" s="1">
        <v>0.12</v>
      </c>
      <c r="F9" s="7">
        <v>0.3</v>
      </c>
      <c r="G9">
        <v>10</v>
      </c>
      <c r="I9" s="1" t="str">
        <f t="shared" si="1"/>
        <v>0.42</v>
      </c>
      <c r="M9" s="1" t="s">
        <v>718</v>
      </c>
      <c r="Q9" s="1" t="b">
        <f t="shared" si="0"/>
        <v>1</v>
      </c>
    </row>
    <row r="10" spans="1:20" x14ac:dyDescent="0.15">
      <c r="D10" s="7" t="s">
        <v>716</v>
      </c>
      <c r="E10" s="1">
        <v>0.123</v>
      </c>
      <c r="F10" s="7">
        <v>0.4</v>
      </c>
      <c r="G10">
        <v>10</v>
      </c>
      <c r="I10" s="1" t="str">
        <f t="shared" si="1"/>
        <v>0.523</v>
      </c>
      <c r="M10" s="1" t="s">
        <v>719</v>
      </c>
      <c r="Q10" s="1" t="b">
        <f t="shared" si="0"/>
        <v>1</v>
      </c>
    </row>
    <row r="11" spans="1:20" x14ac:dyDescent="0.15">
      <c r="C11" s="2" t="s">
        <v>712</v>
      </c>
      <c r="D11" s="2" t="s">
        <v>714</v>
      </c>
      <c r="E11" s="3">
        <v>0.3</v>
      </c>
      <c r="F11" s="2">
        <v>0.1</v>
      </c>
      <c r="G11" s="2">
        <v>10</v>
      </c>
      <c r="H11" s="2"/>
      <c r="I11" s="3" t="str">
        <f t="shared" si="1"/>
        <v>0.4</v>
      </c>
      <c r="J11" s="2"/>
      <c r="K11" s="2"/>
      <c r="L11" s="2"/>
      <c r="M11" s="3" t="s">
        <v>717</v>
      </c>
      <c r="N11" s="2"/>
      <c r="O11" s="2"/>
      <c r="P11" s="2"/>
      <c r="Q11" s="3" t="b">
        <f t="shared" si="0"/>
        <v>1</v>
      </c>
    </row>
    <row r="12" spans="1:20" x14ac:dyDescent="0.15">
      <c r="D12" s="7" t="s">
        <v>715</v>
      </c>
      <c r="E12" s="1">
        <v>0.3</v>
      </c>
      <c r="F12">
        <v>0.12</v>
      </c>
      <c r="G12">
        <v>10</v>
      </c>
      <c r="I12" s="1" t="str">
        <f t="shared" si="1"/>
        <v>0.42</v>
      </c>
      <c r="M12" s="1" t="s">
        <v>718</v>
      </c>
      <c r="Q12" s="1" t="b">
        <f t="shared" si="0"/>
        <v>1</v>
      </c>
    </row>
    <row r="13" spans="1:20" x14ac:dyDescent="0.15">
      <c r="D13" s="7" t="s">
        <v>716</v>
      </c>
      <c r="E13" s="1">
        <v>0.4</v>
      </c>
      <c r="F13">
        <v>0.123</v>
      </c>
      <c r="G13">
        <v>10</v>
      </c>
      <c r="I13" s="1" t="str">
        <f t="shared" si="1"/>
        <v>0.523</v>
      </c>
      <c r="M13" s="1" t="s">
        <v>719</v>
      </c>
      <c r="Q13" s="1" t="b">
        <f t="shared" si="0"/>
        <v>1</v>
      </c>
    </row>
    <row r="14" spans="1:20" x14ac:dyDescent="0.15">
      <c r="B14" s="2" t="s">
        <v>738</v>
      </c>
      <c r="C14" s="2" t="s">
        <v>720</v>
      </c>
      <c r="D14" s="2"/>
      <c r="E14" s="3">
        <v>-5</v>
      </c>
      <c r="F14" s="2">
        <v>-5</v>
      </c>
      <c r="G14" s="2">
        <v>10</v>
      </c>
      <c r="H14" s="2"/>
      <c r="I14" s="3" t="str">
        <f t="shared" si="1"/>
        <v>-10</v>
      </c>
      <c r="J14" s="2"/>
      <c r="K14" s="2"/>
      <c r="L14" s="2"/>
      <c r="M14" s="3" t="s">
        <v>725</v>
      </c>
      <c r="N14" s="2"/>
      <c r="O14" s="2"/>
      <c r="P14" s="2"/>
      <c r="Q14" s="3" t="b">
        <f t="shared" si="0"/>
        <v>1</v>
      </c>
    </row>
    <row r="15" spans="1:20" x14ac:dyDescent="0.15">
      <c r="C15" s="2" t="s">
        <v>721</v>
      </c>
      <c r="D15" s="2" t="s">
        <v>722</v>
      </c>
      <c r="E15" s="3">
        <v>-8</v>
      </c>
      <c r="F15" s="2">
        <v>9</v>
      </c>
      <c r="G15" s="2">
        <v>10</v>
      </c>
      <c r="H15" s="2"/>
      <c r="I15" s="3" t="str">
        <f>addNPntNPnt(E15,F15,G15)</f>
        <v>1</v>
      </c>
      <c r="J15" s="2"/>
      <c r="K15" s="2"/>
      <c r="L15" s="2"/>
      <c r="M15" s="3" t="s">
        <v>44</v>
      </c>
      <c r="N15" s="2"/>
      <c r="O15" s="2"/>
      <c r="P15" s="2"/>
      <c r="Q15" s="3" t="b">
        <f t="shared" si="0"/>
        <v>1</v>
      </c>
    </row>
    <row r="16" spans="1:20" x14ac:dyDescent="0.15">
      <c r="D16" t="s">
        <v>723</v>
      </c>
      <c r="E16" s="1">
        <v>-9</v>
      </c>
      <c r="F16">
        <v>8</v>
      </c>
      <c r="G16">
        <v>10</v>
      </c>
      <c r="I16" s="1" t="str">
        <f>addNPntNPnt(E16,F16,G16)</f>
        <v>-1</v>
      </c>
      <c r="M16" s="1" t="s">
        <v>726</v>
      </c>
      <c r="Q16" s="1" t="b">
        <f t="shared" si="0"/>
        <v>1</v>
      </c>
    </row>
    <row r="17" spans="2:17" x14ac:dyDescent="0.15">
      <c r="D17" t="s">
        <v>724</v>
      </c>
      <c r="E17" s="1">
        <v>-9</v>
      </c>
      <c r="F17">
        <v>9</v>
      </c>
      <c r="G17">
        <v>10</v>
      </c>
      <c r="I17" s="1" t="str">
        <f>addNPntNPnt(E17,F17,G17)</f>
        <v>0</v>
      </c>
      <c r="M17" s="1" t="s">
        <v>14</v>
      </c>
      <c r="Q17" s="1" t="b">
        <f t="shared" si="0"/>
        <v>1</v>
      </c>
    </row>
    <row r="18" spans="2:17" x14ac:dyDescent="0.15">
      <c r="C18" s="2" t="s">
        <v>727</v>
      </c>
      <c r="D18" s="2" t="s">
        <v>722</v>
      </c>
      <c r="E18" s="3">
        <v>9</v>
      </c>
      <c r="F18" s="2">
        <v>-8</v>
      </c>
      <c r="G18" s="2">
        <v>10</v>
      </c>
      <c r="H18" s="2"/>
      <c r="I18" s="3" t="str">
        <f t="shared" si="1"/>
        <v>1</v>
      </c>
      <c r="J18" s="2"/>
      <c r="K18" s="2"/>
      <c r="L18" s="2"/>
      <c r="M18" s="3" t="s">
        <v>44</v>
      </c>
      <c r="N18" s="2"/>
      <c r="O18" s="2"/>
      <c r="P18" s="2"/>
      <c r="Q18" s="3" t="b">
        <f t="shared" si="0"/>
        <v>1</v>
      </c>
    </row>
    <row r="19" spans="2:17" x14ac:dyDescent="0.15">
      <c r="D19" t="s">
        <v>723</v>
      </c>
      <c r="E19" s="1">
        <v>8</v>
      </c>
      <c r="F19">
        <v>-9</v>
      </c>
      <c r="G19">
        <v>10</v>
      </c>
      <c r="I19" s="1" t="str">
        <f t="shared" si="1"/>
        <v>-1</v>
      </c>
      <c r="M19" s="1" t="s">
        <v>726</v>
      </c>
      <c r="Q19" s="1" t="b">
        <f t="shared" si="0"/>
        <v>1</v>
      </c>
    </row>
    <row r="20" spans="2:17" x14ac:dyDescent="0.15">
      <c r="D20" t="s">
        <v>724</v>
      </c>
      <c r="E20" s="1">
        <v>9</v>
      </c>
      <c r="F20">
        <v>-9</v>
      </c>
      <c r="G20">
        <v>10</v>
      </c>
      <c r="I20" s="1" t="str">
        <f t="shared" si="1"/>
        <v>0</v>
      </c>
      <c r="M20" s="1" t="s">
        <v>14</v>
      </c>
      <c r="Q20" s="1" t="b">
        <f t="shared" si="0"/>
        <v>1</v>
      </c>
    </row>
    <row r="21" spans="2:17" x14ac:dyDescent="0.15">
      <c r="C21" s="2" t="s">
        <v>728</v>
      </c>
      <c r="D21" s="2"/>
      <c r="E21" s="3">
        <v>5</v>
      </c>
      <c r="F21" s="2">
        <v>5</v>
      </c>
      <c r="G21" s="2">
        <v>10</v>
      </c>
      <c r="H21" s="2"/>
      <c r="I21" s="3" t="str">
        <f t="shared" si="1"/>
        <v>10</v>
      </c>
      <c r="J21" s="2"/>
      <c r="K21" s="2"/>
      <c r="L21" s="2"/>
      <c r="M21" s="3" t="s">
        <v>15</v>
      </c>
      <c r="N21" s="2"/>
      <c r="O21" s="2"/>
      <c r="P21" s="2"/>
      <c r="Q21" s="3" t="b">
        <f t="shared" si="0"/>
        <v>1</v>
      </c>
    </row>
    <row r="22" spans="2:17" x14ac:dyDescent="0.15">
      <c r="B22" s="2" t="s">
        <v>731</v>
      </c>
      <c r="C22" s="2" t="s">
        <v>729</v>
      </c>
      <c r="D22" s="2"/>
      <c r="E22" s="3">
        <v>0.1</v>
      </c>
      <c r="F22" s="2">
        <v>0.8</v>
      </c>
      <c r="G22" s="2">
        <v>10</v>
      </c>
      <c r="H22" s="2"/>
      <c r="I22" s="3" t="str">
        <f t="shared" si="1"/>
        <v>0.9</v>
      </c>
      <c r="J22" s="2"/>
      <c r="K22" s="2"/>
      <c r="L22" s="2"/>
      <c r="M22" s="3" t="s">
        <v>739</v>
      </c>
      <c r="N22" s="2"/>
      <c r="O22" s="2"/>
      <c r="P22" s="2"/>
      <c r="Q22" s="3" t="b">
        <f t="shared" si="0"/>
        <v>1</v>
      </c>
    </row>
    <row r="23" spans="2:17" x14ac:dyDescent="0.15">
      <c r="C23" s="7" t="s">
        <v>730</v>
      </c>
      <c r="E23" s="1">
        <v>0.01</v>
      </c>
      <c r="F23" s="7">
        <v>0.09</v>
      </c>
      <c r="G23">
        <v>10</v>
      </c>
      <c r="I23" s="1" t="str">
        <f t="shared" si="1"/>
        <v>0.1</v>
      </c>
      <c r="M23" s="1" t="s">
        <v>740</v>
      </c>
      <c r="Q23" s="1" t="b">
        <f t="shared" si="0"/>
        <v>1</v>
      </c>
    </row>
    <row r="24" spans="2:17" x14ac:dyDescent="0.15">
      <c r="C24" s="7" t="s">
        <v>732</v>
      </c>
      <c r="E24" s="1">
        <v>0.1</v>
      </c>
      <c r="F24" s="7">
        <v>0.9</v>
      </c>
      <c r="G24">
        <v>10</v>
      </c>
      <c r="I24" s="1" t="str">
        <f t="shared" si="1"/>
        <v>1</v>
      </c>
      <c r="M24" s="1" t="s">
        <v>44</v>
      </c>
      <c r="Q24" s="1" t="b">
        <f t="shared" si="0"/>
        <v>1</v>
      </c>
    </row>
    <row r="25" spans="2:17" x14ac:dyDescent="0.15">
      <c r="B25" s="2" t="s">
        <v>733</v>
      </c>
      <c r="C25" s="24" t="s">
        <v>734</v>
      </c>
      <c r="D25" s="2" t="s">
        <v>735</v>
      </c>
      <c r="E25" s="3">
        <v>0.09</v>
      </c>
      <c r="F25" s="24">
        <v>0.01</v>
      </c>
      <c r="G25" s="2">
        <v>10</v>
      </c>
      <c r="H25" s="2"/>
      <c r="I25" s="3" t="str">
        <f t="shared" si="1"/>
        <v>0.1</v>
      </c>
      <c r="J25" s="2"/>
      <c r="K25" s="2"/>
      <c r="L25" s="2"/>
      <c r="M25" s="3" t="s">
        <v>740</v>
      </c>
      <c r="N25" s="2"/>
      <c r="O25" s="2"/>
      <c r="P25" s="2"/>
      <c r="Q25" s="3" t="b">
        <f t="shared" si="0"/>
        <v>1</v>
      </c>
    </row>
    <row r="26" spans="2:17" x14ac:dyDescent="0.15">
      <c r="D26" t="s">
        <v>736</v>
      </c>
      <c r="E26" s="1">
        <v>0.99</v>
      </c>
      <c r="F26" s="7">
        <v>0.01</v>
      </c>
      <c r="G26">
        <v>10</v>
      </c>
      <c r="I26" s="1" t="str">
        <f t="shared" ref="I26" si="2">addNPntNPnt(E26,F26,G26)</f>
        <v>1</v>
      </c>
      <c r="M26" s="1" t="s">
        <v>44</v>
      </c>
      <c r="Q26" s="1" t="b">
        <f t="shared" si="0"/>
        <v>1</v>
      </c>
    </row>
    <row r="27" spans="2:17" x14ac:dyDescent="0.15">
      <c r="C27" s="2" t="s">
        <v>737</v>
      </c>
      <c r="D27" s="2" t="s">
        <v>735</v>
      </c>
      <c r="E27" s="3">
        <v>10</v>
      </c>
      <c r="F27" s="24">
        <v>-9</v>
      </c>
      <c r="G27" s="2">
        <v>10</v>
      </c>
      <c r="H27" s="2"/>
      <c r="I27" s="3" t="str">
        <f t="shared" si="1"/>
        <v>1</v>
      </c>
      <c r="J27" s="2"/>
      <c r="K27" s="2"/>
      <c r="L27" s="2"/>
      <c r="M27" s="3" t="s">
        <v>44</v>
      </c>
      <c r="N27" s="2"/>
      <c r="O27" s="2"/>
      <c r="P27" s="2"/>
      <c r="Q27" s="3" t="b">
        <f t="shared" si="0"/>
        <v>1</v>
      </c>
    </row>
    <row r="28" spans="2:17" x14ac:dyDescent="0.15">
      <c r="D28" t="s">
        <v>736</v>
      </c>
      <c r="E28" s="1">
        <v>10</v>
      </c>
      <c r="F28" s="7">
        <v>-9.9</v>
      </c>
      <c r="G28">
        <v>10</v>
      </c>
      <c r="I28" s="1" t="str">
        <f t="shared" si="1"/>
        <v>0.1</v>
      </c>
      <c r="M28" s="1" t="s">
        <v>740</v>
      </c>
      <c r="Q28" s="1" t="b">
        <f t="shared" si="0"/>
        <v>1</v>
      </c>
    </row>
    <row r="29" spans="2:17" x14ac:dyDescent="0.15">
      <c r="B29" s="2" t="s">
        <v>742</v>
      </c>
      <c r="C29" s="2"/>
      <c r="D29" s="2" t="s">
        <v>745</v>
      </c>
      <c r="E29" s="3">
        <v>1</v>
      </c>
      <c r="F29" s="24">
        <v>1</v>
      </c>
      <c r="G29" s="2">
        <v>2</v>
      </c>
      <c r="H29" s="2"/>
      <c r="I29" s="3" t="str">
        <f t="shared" si="1"/>
        <v>10</v>
      </c>
      <c r="J29" s="2"/>
      <c r="K29" s="2"/>
      <c r="L29" s="2"/>
      <c r="M29" s="3" t="s">
        <v>15</v>
      </c>
      <c r="N29" s="2"/>
      <c r="O29" s="2"/>
      <c r="P29" s="2"/>
      <c r="Q29" s="3" t="b">
        <f t="shared" si="0"/>
        <v>1</v>
      </c>
    </row>
    <row r="30" spans="2:17" x14ac:dyDescent="0.15">
      <c r="D30" s="7" t="s">
        <v>746</v>
      </c>
      <c r="E30" s="1">
        <v>9</v>
      </c>
      <c r="F30" s="7">
        <v>9</v>
      </c>
      <c r="G30" s="7">
        <v>10</v>
      </c>
      <c r="I30" s="1" t="str">
        <f t="shared" si="1"/>
        <v>18</v>
      </c>
      <c r="M30" s="1" t="s">
        <v>255</v>
      </c>
      <c r="Q30" s="1" t="b">
        <f t="shared" si="0"/>
        <v>1</v>
      </c>
    </row>
    <row r="31" spans="2:17" x14ac:dyDescent="0.15">
      <c r="D31" s="7" t="s">
        <v>747</v>
      </c>
      <c r="E31" s="8" t="s">
        <v>100</v>
      </c>
      <c r="F31" s="37" t="s">
        <v>100</v>
      </c>
      <c r="G31" s="7">
        <v>16</v>
      </c>
      <c r="I31" s="1" t="str">
        <f>addNPntNPnt(E31,F31,G31)</f>
        <v>1E</v>
      </c>
      <c r="M31" s="1" t="s">
        <v>256</v>
      </c>
      <c r="Q31" s="1" t="b">
        <f t="shared" si="0"/>
        <v>1</v>
      </c>
    </row>
    <row r="32" spans="2:17" x14ac:dyDescent="0.15">
      <c r="D32" s="7" t="s">
        <v>754</v>
      </c>
      <c r="E32" s="8">
        <v>9</v>
      </c>
      <c r="F32" s="37">
        <v>9</v>
      </c>
      <c r="G32" s="7"/>
      <c r="I32" s="1" t="str">
        <f>addNPntNPnt(E32,F32)</f>
        <v>18</v>
      </c>
      <c r="M32" s="1" t="s">
        <v>255</v>
      </c>
      <c r="Q32" s="1" t="b">
        <f t="shared" si="0"/>
        <v>1</v>
      </c>
    </row>
    <row r="33" spans="1:17" x14ac:dyDescent="0.15">
      <c r="D33" s="7" t="s">
        <v>755</v>
      </c>
      <c r="E33" s="8">
        <v>9</v>
      </c>
      <c r="F33" s="37" t="s">
        <v>756</v>
      </c>
      <c r="G33" s="7"/>
      <c r="I33" s="1" t="e">
        <f t="shared" ref="I33" si="3">addNPntNPnt(E33,F33)</f>
        <v>#NUM!</v>
      </c>
      <c r="M33" s="1" t="e">
        <v>#NUM!</v>
      </c>
      <c r="Q33" s="1" t="b">
        <f t="shared" si="0"/>
        <v>1</v>
      </c>
    </row>
    <row r="34" spans="1:17" x14ac:dyDescent="0.15">
      <c r="A34" s="2" t="s">
        <v>741</v>
      </c>
      <c r="B34" s="2" t="s">
        <v>709</v>
      </c>
      <c r="C34" s="2" t="s">
        <v>743</v>
      </c>
      <c r="D34" s="2" t="s">
        <v>579</v>
      </c>
      <c r="E34" s="3"/>
      <c r="F34" s="24">
        <v>1</v>
      </c>
      <c r="G34" s="2">
        <v>10</v>
      </c>
      <c r="H34" s="2"/>
      <c r="I34" s="3" t="e">
        <f>multipleNPntNPnt(E34,F34,G34)</f>
        <v>#NULL!</v>
      </c>
      <c r="J34" s="2"/>
      <c r="K34" s="2"/>
      <c r="L34" s="2"/>
      <c r="M34" s="3" t="e">
        <v>#NULL!</v>
      </c>
      <c r="N34" s="2"/>
      <c r="O34" s="2"/>
      <c r="P34" s="2"/>
      <c r="Q34" s="3" t="b">
        <f t="shared" si="0"/>
        <v>1</v>
      </c>
    </row>
    <row r="35" spans="1:17" x14ac:dyDescent="0.15">
      <c r="D35" t="s">
        <v>642</v>
      </c>
      <c r="E35" s="1">
        <v>1</v>
      </c>
      <c r="F35" s="7">
        <v>1</v>
      </c>
      <c r="G35">
        <v>1</v>
      </c>
      <c r="I35" s="1" t="e">
        <f t="shared" ref="I35:I57" si="4">multipleNPntNPnt(E35,F35,G35)</f>
        <v>#NUM!</v>
      </c>
      <c r="M35" s="1" t="e">
        <v>#NUM!</v>
      </c>
      <c r="Q35" s="1" t="b">
        <f t="shared" si="0"/>
        <v>1</v>
      </c>
    </row>
    <row r="36" spans="1:17" x14ac:dyDescent="0.15">
      <c r="C36" s="2" t="s">
        <v>744</v>
      </c>
      <c r="D36" s="2" t="s">
        <v>579</v>
      </c>
      <c r="E36" s="3">
        <v>1</v>
      </c>
      <c r="F36" s="24"/>
      <c r="G36" s="2">
        <v>10</v>
      </c>
      <c r="H36" s="2"/>
      <c r="I36" s="3" t="e">
        <f t="shared" si="4"/>
        <v>#NULL!</v>
      </c>
      <c r="J36" s="2"/>
      <c r="K36" s="2"/>
      <c r="L36" s="2"/>
      <c r="M36" s="3" t="e">
        <v>#NULL!</v>
      </c>
      <c r="N36" s="2"/>
      <c r="O36" s="2"/>
      <c r="P36" s="2"/>
      <c r="Q36" s="3" t="b">
        <f t="shared" si="0"/>
        <v>1</v>
      </c>
    </row>
    <row r="37" spans="1:17" x14ac:dyDescent="0.15">
      <c r="D37" t="s">
        <v>642</v>
      </c>
      <c r="E37" s="1">
        <v>1</v>
      </c>
      <c r="F37" s="7">
        <v>1</v>
      </c>
      <c r="G37">
        <v>1</v>
      </c>
      <c r="I37" s="1" t="e">
        <f t="shared" si="4"/>
        <v>#NUM!</v>
      </c>
      <c r="M37" s="1" t="e">
        <v>#NUM!</v>
      </c>
      <c r="Q37" s="1" t="b">
        <f t="shared" si="0"/>
        <v>1</v>
      </c>
    </row>
    <row r="38" spans="1:17" x14ac:dyDescent="0.15">
      <c r="B38" s="2" t="s">
        <v>748</v>
      </c>
      <c r="C38" s="2" t="s">
        <v>750</v>
      </c>
      <c r="D38" s="2" t="s">
        <v>751</v>
      </c>
      <c r="E38" s="3">
        <v>0.1</v>
      </c>
      <c r="F38" s="24">
        <v>2</v>
      </c>
      <c r="G38" s="2">
        <v>10</v>
      </c>
      <c r="H38" s="2"/>
      <c r="I38" s="3" t="str">
        <f t="shared" si="4"/>
        <v>0.2</v>
      </c>
      <c r="J38" s="2"/>
      <c r="K38" s="2"/>
      <c r="L38" s="2"/>
      <c r="M38" s="3" t="s">
        <v>758</v>
      </c>
      <c r="N38" s="2"/>
      <c r="O38" s="2"/>
      <c r="P38" s="2"/>
      <c r="Q38" s="3" t="b">
        <f t="shared" si="0"/>
        <v>1</v>
      </c>
    </row>
    <row r="39" spans="1:17" x14ac:dyDescent="0.15">
      <c r="D39" t="s">
        <v>752</v>
      </c>
      <c r="E39" s="1">
        <v>0.05</v>
      </c>
      <c r="F39" s="7">
        <v>2</v>
      </c>
      <c r="G39">
        <v>10</v>
      </c>
      <c r="I39" s="1" t="str">
        <f t="shared" si="4"/>
        <v>0.1</v>
      </c>
      <c r="M39" s="1" t="s">
        <v>740</v>
      </c>
      <c r="Q39" s="1" t="b">
        <f t="shared" si="0"/>
        <v>1</v>
      </c>
    </row>
    <row r="40" spans="1:17" x14ac:dyDescent="0.15">
      <c r="D40" t="s">
        <v>753</v>
      </c>
      <c r="E40" s="1">
        <v>0.5</v>
      </c>
      <c r="F40" s="7">
        <v>2</v>
      </c>
      <c r="G40">
        <v>10</v>
      </c>
      <c r="I40" s="1" t="str">
        <f t="shared" si="4"/>
        <v>1</v>
      </c>
      <c r="M40" s="1" t="s">
        <v>44</v>
      </c>
      <c r="Q40" s="1" t="b">
        <f t="shared" si="0"/>
        <v>1</v>
      </c>
    </row>
    <row r="41" spans="1:17" x14ac:dyDescent="0.15">
      <c r="C41" s="2" t="s">
        <v>749</v>
      </c>
      <c r="D41" s="2" t="s">
        <v>751</v>
      </c>
      <c r="E41" s="3">
        <v>0.01</v>
      </c>
      <c r="F41" s="24">
        <v>0.2</v>
      </c>
      <c r="G41" s="2">
        <v>10</v>
      </c>
      <c r="H41" s="2"/>
      <c r="I41" s="3" t="str">
        <f t="shared" si="4"/>
        <v>0.002</v>
      </c>
      <c r="J41" s="2"/>
      <c r="K41" s="2"/>
      <c r="L41" s="2"/>
      <c r="M41" s="3" t="s">
        <v>759</v>
      </c>
      <c r="N41" s="2"/>
      <c r="O41" s="2"/>
      <c r="P41" s="2"/>
      <c r="Q41" s="3" t="b">
        <f t="shared" si="0"/>
        <v>1</v>
      </c>
    </row>
    <row r="42" spans="1:17" x14ac:dyDescent="0.15">
      <c r="C42" s="6"/>
      <c r="D42" s="6" t="s">
        <v>752</v>
      </c>
      <c r="E42" s="1">
        <v>0.05</v>
      </c>
      <c r="F42" s="7">
        <v>0.2</v>
      </c>
      <c r="G42" s="7">
        <v>10</v>
      </c>
      <c r="H42" s="6"/>
      <c r="I42" s="1" t="str">
        <f t="shared" si="4"/>
        <v>0.01</v>
      </c>
      <c r="J42" s="6"/>
      <c r="K42" s="6"/>
      <c r="L42" s="6"/>
      <c r="M42" s="1" t="s">
        <v>760</v>
      </c>
      <c r="N42" s="6"/>
      <c r="O42" s="6"/>
      <c r="P42" s="6"/>
      <c r="Q42" s="1" t="b">
        <f t="shared" si="0"/>
        <v>1</v>
      </c>
    </row>
    <row r="43" spans="1:17" x14ac:dyDescent="0.15">
      <c r="C43" s="2" t="s">
        <v>761</v>
      </c>
      <c r="D43" s="24" t="s">
        <v>762</v>
      </c>
      <c r="E43" s="3">
        <v>234</v>
      </c>
      <c r="F43" s="24">
        <v>0.1</v>
      </c>
      <c r="G43" s="2">
        <v>10</v>
      </c>
      <c r="H43" s="2"/>
      <c r="I43" s="3" t="str">
        <f t="shared" si="4"/>
        <v>23.4</v>
      </c>
      <c r="J43" s="2"/>
      <c r="K43" s="2"/>
      <c r="L43" s="2"/>
      <c r="M43" s="3" t="s">
        <v>766</v>
      </c>
      <c r="N43" s="2"/>
      <c r="O43" s="2"/>
      <c r="P43" s="2"/>
      <c r="Q43" s="3" t="b">
        <f t="shared" si="0"/>
        <v>1</v>
      </c>
    </row>
    <row r="44" spans="1:17" x14ac:dyDescent="0.15">
      <c r="D44" s="7" t="s">
        <v>763</v>
      </c>
      <c r="E44" s="1">
        <v>234</v>
      </c>
      <c r="F44" s="7">
        <v>0.01</v>
      </c>
      <c r="G44">
        <v>10</v>
      </c>
      <c r="I44" s="1" t="str">
        <f t="shared" si="4"/>
        <v>2.34</v>
      </c>
      <c r="M44" s="1" t="s">
        <v>767</v>
      </c>
      <c r="Q44" s="1" t="b">
        <f t="shared" si="0"/>
        <v>1</v>
      </c>
    </row>
    <row r="45" spans="1:17" x14ac:dyDescent="0.15">
      <c r="D45" s="7" t="s">
        <v>764</v>
      </c>
      <c r="E45" s="1">
        <v>234</v>
      </c>
      <c r="F45" s="7">
        <v>1E-3</v>
      </c>
      <c r="G45">
        <v>10</v>
      </c>
      <c r="I45" s="1" t="str">
        <f t="shared" si="4"/>
        <v>0.234</v>
      </c>
      <c r="M45" s="1" t="s">
        <v>768</v>
      </c>
      <c r="Q45" s="1" t="b">
        <f t="shared" si="0"/>
        <v>1</v>
      </c>
    </row>
    <row r="46" spans="1:17" x14ac:dyDescent="0.15">
      <c r="D46" s="7" t="s">
        <v>765</v>
      </c>
      <c r="E46" s="1">
        <v>234</v>
      </c>
      <c r="F46" s="7">
        <v>1E-4</v>
      </c>
      <c r="G46">
        <v>10</v>
      </c>
      <c r="I46" s="1" t="str">
        <f t="shared" si="4"/>
        <v>0.0234</v>
      </c>
      <c r="M46" s="1" t="s">
        <v>769</v>
      </c>
      <c r="Q46" s="1" t="b">
        <f t="shared" si="0"/>
        <v>1</v>
      </c>
    </row>
    <row r="47" spans="1:17" x14ac:dyDescent="0.15">
      <c r="B47" s="2" t="s">
        <v>770</v>
      </c>
      <c r="C47" s="2" t="s">
        <v>771</v>
      </c>
      <c r="D47" s="24"/>
      <c r="E47" s="3">
        <v>2</v>
      </c>
      <c r="F47" s="24">
        <v>3</v>
      </c>
      <c r="G47" s="2">
        <v>10</v>
      </c>
      <c r="H47" s="2"/>
      <c r="I47" s="3" t="str">
        <f t="shared" si="4"/>
        <v>6</v>
      </c>
      <c r="J47" s="2"/>
      <c r="K47" s="2"/>
      <c r="L47" s="2"/>
      <c r="M47" s="3" t="s">
        <v>773</v>
      </c>
      <c r="N47" s="2"/>
      <c r="O47" s="2"/>
      <c r="P47" s="2"/>
      <c r="Q47" s="3" t="b">
        <f t="shared" si="0"/>
        <v>1</v>
      </c>
    </row>
    <row r="48" spans="1:17" x14ac:dyDescent="0.15">
      <c r="C48" s="2" t="s">
        <v>721</v>
      </c>
      <c r="D48" s="2"/>
      <c r="E48" s="3">
        <v>-2</v>
      </c>
      <c r="F48" s="24">
        <v>3</v>
      </c>
      <c r="G48" s="2">
        <v>10</v>
      </c>
      <c r="H48" s="2"/>
      <c r="I48" s="3" t="str">
        <f t="shared" si="4"/>
        <v>-6</v>
      </c>
      <c r="J48" s="2"/>
      <c r="K48" s="2"/>
      <c r="L48" s="2"/>
      <c r="M48" s="3" t="s">
        <v>774</v>
      </c>
      <c r="N48" s="2"/>
      <c r="O48" s="2"/>
      <c r="P48" s="2"/>
      <c r="Q48" s="3" t="b">
        <f t="shared" si="0"/>
        <v>1</v>
      </c>
    </row>
    <row r="49" spans="1:17" x14ac:dyDescent="0.15">
      <c r="D49" t="s">
        <v>724</v>
      </c>
      <c r="E49" s="1">
        <v>-2</v>
      </c>
      <c r="F49" s="7">
        <v>0</v>
      </c>
      <c r="G49">
        <v>10</v>
      </c>
      <c r="I49" s="1" t="str">
        <f t="shared" si="4"/>
        <v>0</v>
      </c>
      <c r="M49" s="1" t="s">
        <v>14</v>
      </c>
      <c r="Q49" s="1" t="b">
        <f t="shared" si="0"/>
        <v>1</v>
      </c>
    </row>
    <row r="50" spans="1:17" x14ac:dyDescent="0.15">
      <c r="D50" t="s">
        <v>724</v>
      </c>
      <c r="E50" s="9" t="s">
        <v>772</v>
      </c>
      <c r="F50" s="7">
        <v>2</v>
      </c>
      <c r="G50">
        <v>10</v>
      </c>
      <c r="I50" s="1" t="str">
        <f t="shared" si="4"/>
        <v>0</v>
      </c>
      <c r="M50" s="1" t="s">
        <v>14</v>
      </c>
      <c r="Q50" s="1" t="b">
        <f t="shared" si="0"/>
        <v>1</v>
      </c>
    </row>
    <row r="51" spans="1:17" x14ac:dyDescent="0.15">
      <c r="C51" s="2" t="s">
        <v>727</v>
      </c>
      <c r="D51" s="2"/>
      <c r="E51" s="3">
        <v>2</v>
      </c>
      <c r="F51" s="24">
        <v>-3</v>
      </c>
      <c r="G51" s="2">
        <v>10</v>
      </c>
      <c r="H51" s="2"/>
      <c r="I51" s="3" t="str">
        <f t="shared" si="4"/>
        <v>-6</v>
      </c>
      <c r="J51" s="2"/>
      <c r="K51" s="2"/>
      <c r="L51" s="2"/>
      <c r="M51" s="3" t="s">
        <v>774</v>
      </c>
      <c r="N51" s="2"/>
      <c r="O51" s="2"/>
      <c r="P51" s="2"/>
      <c r="Q51" s="3" t="b">
        <f t="shared" si="0"/>
        <v>1</v>
      </c>
    </row>
    <row r="52" spans="1:17" x14ac:dyDescent="0.15">
      <c r="D52" t="s">
        <v>724</v>
      </c>
      <c r="E52" s="1">
        <v>2</v>
      </c>
      <c r="F52" s="7">
        <v>0</v>
      </c>
      <c r="G52">
        <v>10</v>
      </c>
      <c r="I52" s="1" t="str">
        <f t="shared" si="4"/>
        <v>0</v>
      </c>
      <c r="M52" s="1" t="s">
        <v>14</v>
      </c>
      <c r="Q52" s="1" t="b">
        <f t="shared" si="0"/>
        <v>1</v>
      </c>
    </row>
    <row r="53" spans="1:17" x14ac:dyDescent="0.15">
      <c r="D53" t="s">
        <v>724</v>
      </c>
      <c r="E53" s="1">
        <v>0</v>
      </c>
      <c r="F53" s="7">
        <v>-2</v>
      </c>
      <c r="G53">
        <v>10</v>
      </c>
      <c r="I53" s="1" t="str">
        <f t="shared" si="4"/>
        <v>0</v>
      </c>
      <c r="M53" s="1" t="s">
        <v>14</v>
      </c>
      <c r="Q53" s="1" t="b">
        <f t="shared" si="0"/>
        <v>1</v>
      </c>
    </row>
    <row r="54" spans="1:17" x14ac:dyDescent="0.15">
      <c r="C54" s="2" t="s">
        <v>775</v>
      </c>
      <c r="D54" s="2"/>
      <c r="E54" s="3">
        <v>-2</v>
      </c>
      <c r="F54" s="24">
        <v>-3</v>
      </c>
      <c r="G54" s="2">
        <v>10</v>
      </c>
      <c r="H54" s="2"/>
      <c r="I54" s="3" t="str">
        <f t="shared" si="4"/>
        <v>6</v>
      </c>
      <c r="J54" s="2"/>
      <c r="K54" s="2"/>
      <c r="L54" s="2"/>
      <c r="M54" s="3" t="s">
        <v>773</v>
      </c>
      <c r="N54" s="2"/>
      <c r="O54" s="2"/>
      <c r="P54" s="2"/>
      <c r="Q54" s="3" t="b">
        <f t="shared" si="0"/>
        <v>1</v>
      </c>
    </row>
    <row r="55" spans="1:17" x14ac:dyDescent="0.15">
      <c r="B55" s="2" t="s">
        <v>757</v>
      </c>
      <c r="C55" s="2"/>
      <c r="D55" s="2" t="s">
        <v>745</v>
      </c>
      <c r="E55" s="3">
        <v>10</v>
      </c>
      <c r="F55" s="24">
        <v>10</v>
      </c>
      <c r="G55" s="2">
        <v>2</v>
      </c>
      <c r="H55" s="2"/>
      <c r="I55" s="3" t="str">
        <f t="shared" si="4"/>
        <v>100</v>
      </c>
      <c r="J55" s="2"/>
      <c r="K55" s="2"/>
      <c r="L55" s="2"/>
      <c r="M55" s="3" t="s">
        <v>21</v>
      </c>
      <c r="N55" s="2"/>
      <c r="O55" s="2"/>
      <c r="P55" s="2"/>
      <c r="Q55" s="3" t="b">
        <f t="shared" si="0"/>
        <v>1</v>
      </c>
    </row>
    <row r="56" spans="1:17" x14ac:dyDescent="0.15">
      <c r="D56" t="s">
        <v>746</v>
      </c>
      <c r="E56" s="1">
        <v>9</v>
      </c>
      <c r="F56" s="7">
        <v>9</v>
      </c>
      <c r="G56">
        <v>10</v>
      </c>
      <c r="I56" s="1" t="str">
        <f t="shared" si="4"/>
        <v>81</v>
      </c>
      <c r="M56" s="1" t="s">
        <v>345</v>
      </c>
      <c r="Q56" s="1" t="b">
        <f t="shared" si="0"/>
        <v>1</v>
      </c>
    </row>
    <row r="57" spans="1:17" x14ac:dyDescent="0.15">
      <c r="D57" t="s">
        <v>747</v>
      </c>
      <c r="E57" s="8" t="s">
        <v>776</v>
      </c>
      <c r="F57" s="37" t="s">
        <v>776</v>
      </c>
      <c r="G57">
        <v>16</v>
      </c>
      <c r="I57" s="1" t="str">
        <f t="shared" si="4"/>
        <v>E1</v>
      </c>
      <c r="M57" s="1" t="s">
        <v>344</v>
      </c>
      <c r="Q57" s="1" t="b">
        <f t="shared" si="0"/>
        <v>1</v>
      </c>
    </row>
    <row r="58" spans="1:17" x14ac:dyDescent="0.15">
      <c r="D58" t="s">
        <v>754</v>
      </c>
      <c r="E58" s="1">
        <v>9</v>
      </c>
      <c r="F58" s="7">
        <v>9</v>
      </c>
      <c r="I58" s="1" t="str">
        <f>multipleNPntNPnt(E58,F58)</f>
        <v>81</v>
      </c>
      <c r="M58" s="1" t="s">
        <v>345</v>
      </c>
      <c r="Q58" s="1" t="b">
        <f t="shared" si="0"/>
        <v>1</v>
      </c>
    </row>
    <row r="59" spans="1:17" x14ac:dyDescent="0.15">
      <c r="D59" t="s">
        <v>755</v>
      </c>
      <c r="E59" s="1">
        <v>9</v>
      </c>
      <c r="F59" s="37" t="s">
        <v>756</v>
      </c>
      <c r="I59" s="1" t="e">
        <f t="shared" ref="I59" si="5">multipleNPntNPnt(E59,F59)</f>
        <v>#NUM!</v>
      </c>
      <c r="M59" s="1" t="e">
        <v>#NUM!</v>
      </c>
      <c r="Q59" s="1" t="b">
        <f t="shared" si="0"/>
        <v>1</v>
      </c>
    </row>
    <row r="60" spans="1:17" x14ac:dyDescent="0.15">
      <c r="A60" s="2" t="s">
        <v>777</v>
      </c>
      <c r="B60" s="2" t="s">
        <v>709</v>
      </c>
      <c r="C60" s="2" t="s">
        <v>786</v>
      </c>
      <c r="D60" s="2" t="s">
        <v>579</v>
      </c>
      <c r="E60" s="3"/>
      <c r="F60" s="38">
        <v>2</v>
      </c>
      <c r="G60" s="2">
        <v>10</v>
      </c>
      <c r="H60" s="2"/>
      <c r="I60" s="3" t="e">
        <f>divideNPntNPnt(E60,F60,G60)</f>
        <v>#NULL!</v>
      </c>
      <c r="J60" s="2"/>
      <c r="K60" s="2"/>
      <c r="L60" s="2"/>
      <c r="M60" s="3" t="e">
        <v>#NULL!</v>
      </c>
      <c r="N60" s="2"/>
      <c r="O60" s="2"/>
      <c r="P60" s="2"/>
      <c r="Q60" s="3" t="b">
        <f t="shared" si="0"/>
        <v>1</v>
      </c>
    </row>
    <row r="61" spans="1:17" x14ac:dyDescent="0.15">
      <c r="D61" t="s">
        <v>642</v>
      </c>
      <c r="E61" s="1">
        <v>4</v>
      </c>
      <c r="F61" s="37">
        <v>2</v>
      </c>
      <c r="G61">
        <v>1</v>
      </c>
      <c r="I61" s="1" t="e">
        <f t="shared" ref="I61:I74" si="6">divideNPntNPnt(E61,F61,G61)</f>
        <v>#NUM!</v>
      </c>
      <c r="M61" s="1" t="e">
        <v>#NUM!</v>
      </c>
      <c r="Q61" s="1" t="b">
        <f t="shared" si="0"/>
        <v>1</v>
      </c>
    </row>
    <row r="62" spans="1:17" x14ac:dyDescent="0.15">
      <c r="C62" s="2" t="s">
        <v>787</v>
      </c>
      <c r="D62" s="2" t="s">
        <v>579</v>
      </c>
      <c r="E62" s="3">
        <v>4</v>
      </c>
      <c r="F62" s="38"/>
      <c r="G62" s="2">
        <v>10</v>
      </c>
      <c r="H62" s="2"/>
      <c r="I62" s="3" t="e">
        <f t="shared" si="6"/>
        <v>#NULL!</v>
      </c>
      <c r="J62" s="2"/>
      <c r="K62" s="2"/>
      <c r="L62" s="2"/>
      <c r="M62" s="3" t="e">
        <v>#NULL!</v>
      </c>
      <c r="N62" s="2"/>
      <c r="O62" s="2"/>
      <c r="P62" s="2"/>
      <c r="Q62" s="3" t="b">
        <f t="shared" si="0"/>
        <v>1</v>
      </c>
    </row>
    <row r="63" spans="1:17" x14ac:dyDescent="0.15">
      <c r="D63" t="s">
        <v>642</v>
      </c>
      <c r="E63" s="1">
        <v>4</v>
      </c>
      <c r="F63" s="37">
        <v>2</v>
      </c>
      <c r="G63">
        <v>1</v>
      </c>
      <c r="I63" s="1" t="e">
        <f t="shared" si="6"/>
        <v>#NUM!</v>
      </c>
      <c r="M63" s="1" t="e">
        <v>#NUM!</v>
      </c>
      <c r="Q63" s="1" t="b">
        <f t="shared" si="0"/>
        <v>1</v>
      </c>
    </row>
    <row r="64" spans="1:17" x14ac:dyDescent="0.15">
      <c r="B64" s="2" t="s">
        <v>778</v>
      </c>
      <c r="C64" s="2" t="s">
        <v>786</v>
      </c>
      <c r="D64" s="2" t="s">
        <v>785</v>
      </c>
      <c r="E64" s="39">
        <v>2147483648</v>
      </c>
      <c r="F64" s="38">
        <v>2147483647</v>
      </c>
      <c r="G64" s="2">
        <v>10</v>
      </c>
      <c r="H64" s="2"/>
      <c r="I64" s="3" t="e">
        <f t="shared" si="6"/>
        <v>#NUM!</v>
      </c>
      <c r="J64" s="2"/>
      <c r="K64" s="2"/>
      <c r="L64" s="2"/>
      <c r="M64" s="3" t="e">
        <v>#NUM!</v>
      </c>
      <c r="N64" s="2"/>
      <c r="O64" s="2"/>
      <c r="P64" s="2"/>
      <c r="Q64" s="3" t="b">
        <f t="shared" si="0"/>
        <v>1</v>
      </c>
    </row>
    <row r="65" spans="2:17" x14ac:dyDescent="0.15">
      <c r="D65" s="23" t="s">
        <v>802</v>
      </c>
      <c r="E65" s="1">
        <v>0</v>
      </c>
      <c r="F65" s="37">
        <v>2147483647</v>
      </c>
      <c r="G65">
        <v>10</v>
      </c>
      <c r="I65" s="1" t="str">
        <f t="shared" si="6"/>
        <v>0</v>
      </c>
      <c r="M65" s="1" t="s">
        <v>14</v>
      </c>
      <c r="Q65" s="1" t="b">
        <f t="shared" si="0"/>
        <v>1</v>
      </c>
    </row>
    <row r="66" spans="2:17" x14ac:dyDescent="0.15">
      <c r="C66" s="2" t="s">
        <v>787</v>
      </c>
      <c r="D66" s="2" t="s">
        <v>785</v>
      </c>
      <c r="E66" s="3">
        <v>2147483647</v>
      </c>
      <c r="F66" s="38">
        <v>2147483648</v>
      </c>
      <c r="G66" s="2">
        <v>10</v>
      </c>
      <c r="H66" s="2"/>
      <c r="I66" s="3" t="e">
        <f t="shared" si="6"/>
        <v>#NUM!</v>
      </c>
      <c r="J66" s="2"/>
      <c r="K66" s="2"/>
      <c r="L66" s="2"/>
      <c r="M66" s="3" t="e">
        <v>#NUM!</v>
      </c>
      <c r="N66" s="2"/>
      <c r="O66" s="2"/>
      <c r="P66" s="2"/>
      <c r="Q66" s="3" t="b">
        <f t="shared" si="0"/>
        <v>1</v>
      </c>
    </row>
    <row r="67" spans="2:17" x14ac:dyDescent="0.15">
      <c r="D67" s="23" t="s">
        <v>802</v>
      </c>
      <c r="E67" s="1">
        <v>2147483647</v>
      </c>
      <c r="F67" s="37">
        <v>0</v>
      </c>
      <c r="G67">
        <v>10</v>
      </c>
      <c r="I67" s="1" t="e">
        <f t="shared" si="6"/>
        <v>#DIV/0!</v>
      </c>
      <c r="M67" s="1" t="e">
        <v>#DIV/0!</v>
      </c>
      <c r="Q67" s="1" t="b">
        <f t="shared" si="0"/>
        <v>1</v>
      </c>
    </row>
    <row r="68" spans="2:17" x14ac:dyDescent="0.15">
      <c r="C68" s="2" t="s">
        <v>779</v>
      </c>
      <c r="D68" s="2" t="s">
        <v>784</v>
      </c>
      <c r="E68" s="3">
        <v>22</v>
      </c>
      <c r="F68" s="38">
        <v>2</v>
      </c>
      <c r="G68" s="2">
        <v>10</v>
      </c>
      <c r="H68" s="2"/>
      <c r="I68" s="3" t="str">
        <f t="shared" si="6"/>
        <v>11</v>
      </c>
      <c r="J68" s="2"/>
      <c r="K68" s="2"/>
      <c r="L68" s="2"/>
      <c r="M68" s="3" t="s">
        <v>18</v>
      </c>
      <c r="N68" s="2"/>
      <c r="O68" s="2"/>
      <c r="P68" s="2"/>
      <c r="Q68" s="3" t="b">
        <f t="shared" ref="Q68:Q75" si="7">getText(I68)=getText(M68)</f>
        <v>1</v>
      </c>
    </row>
    <row r="69" spans="2:17" x14ac:dyDescent="0.15">
      <c r="D69" t="s">
        <v>780</v>
      </c>
      <c r="E69" s="1">
        <v>10</v>
      </c>
      <c r="F69" s="37">
        <v>2</v>
      </c>
      <c r="G69">
        <v>10</v>
      </c>
      <c r="I69" s="1" t="str">
        <f t="shared" si="6"/>
        <v>5</v>
      </c>
      <c r="M69" s="1" t="s">
        <v>83</v>
      </c>
      <c r="Q69" s="1" t="b">
        <f t="shared" si="7"/>
        <v>1</v>
      </c>
    </row>
    <row r="70" spans="2:17" x14ac:dyDescent="0.15">
      <c r="D70" t="s">
        <v>781</v>
      </c>
      <c r="E70" s="1">
        <v>1</v>
      </c>
      <c r="F70" s="37">
        <v>2</v>
      </c>
      <c r="G70">
        <v>10</v>
      </c>
      <c r="I70" s="1" t="str">
        <f t="shared" si="6"/>
        <v>0.5</v>
      </c>
      <c r="M70" s="1" t="s">
        <v>788</v>
      </c>
      <c r="Q70" s="1" t="b">
        <f t="shared" si="7"/>
        <v>1</v>
      </c>
    </row>
    <row r="71" spans="2:17" x14ac:dyDescent="0.15">
      <c r="D71" t="s">
        <v>782</v>
      </c>
      <c r="E71" s="1">
        <v>1</v>
      </c>
      <c r="F71" s="37">
        <v>20</v>
      </c>
      <c r="G71">
        <v>10</v>
      </c>
      <c r="I71" s="1" t="str">
        <f t="shared" si="6"/>
        <v>0.05</v>
      </c>
      <c r="M71" s="1" t="s">
        <v>789</v>
      </c>
      <c r="Q71" s="1" t="b">
        <f t="shared" si="7"/>
        <v>1</v>
      </c>
    </row>
    <row r="72" spans="2:17" x14ac:dyDescent="0.15">
      <c r="D72" t="s">
        <v>783</v>
      </c>
      <c r="E72" s="1">
        <v>1</v>
      </c>
      <c r="F72" s="37">
        <v>200</v>
      </c>
      <c r="G72">
        <v>10</v>
      </c>
      <c r="I72" s="1" t="str">
        <f t="shared" si="6"/>
        <v>0.005</v>
      </c>
      <c r="M72" s="1" t="s">
        <v>790</v>
      </c>
      <c r="Q72" s="1" t="b">
        <f t="shared" si="7"/>
        <v>1</v>
      </c>
    </row>
    <row r="73" spans="2:17" x14ac:dyDescent="0.15">
      <c r="C73" s="2" t="s">
        <v>791</v>
      </c>
      <c r="D73" s="2" t="s">
        <v>795</v>
      </c>
      <c r="E73" s="3">
        <v>20</v>
      </c>
      <c r="F73" s="38">
        <v>0.2</v>
      </c>
      <c r="G73" s="2">
        <v>10</v>
      </c>
      <c r="H73" s="2"/>
      <c r="I73" s="3" t="str">
        <f t="shared" si="6"/>
        <v>100</v>
      </c>
      <c r="J73" s="2"/>
      <c r="K73" s="2"/>
      <c r="L73" s="2"/>
      <c r="M73" s="3" t="s">
        <v>21</v>
      </c>
      <c r="N73" s="2"/>
      <c r="O73" s="2"/>
      <c r="P73" s="2"/>
      <c r="Q73" s="3" t="b">
        <f t="shared" si="7"/>
        <v>1</v>
      </c>
    </row>
    <row r="74" spans="2:17" x14ac:dyDescent="0.15">
      <c r="D74" t="s">
        <v>796</v>
      </c>
      <c r="E74" s="1">
        <v>20</v>
      </c>
      <c r="F74" s="37">
        <v>0.02</v>
      </c>
      <c r="G74">
        <v>10</v>
      </c>
      <c r="I74" s="1" t="str">
        <f t="shared" si="6"/>
        <v>1000</v>
      </c>
      <c r="M74" s="1" t="s">
        <v>34</v>
      </c>
      <c r="Q74" s="1" t="b">
        <f t="shared" si="7"/>
        <v>1</v>
      </c>
    </row>
    <row r="75" spans="2:17" x14ac:dyDescent="0.15">
      <c r="D75" t="s">
        <v>797</v>
      </c>
      <c r="E75" s="1">
        <v>20</v>
      </c>
      <c r="F75" s="37">
        <v>2E-3</v>
      </c>
      <c r="G75">
        <v>10</v>
      </c>
      <c r="I75" s="1" t="str">
        <f>divideNPntNPnt(E75,F75,G75)</f>
        <v>10000</v>
      </c>
      <c r="M75" s="1" t="s">
        <v>800</v>
      </c>
      <c r="Q75" s="1" t="b">
        <f t="shared" si="7"/>
        <v>1</v>
      </c>
    </row>
    <row r="76" spans="2:17" x14ac:dyDescent="0.15">
      <c r="C76" s="2" t="s">
        <v>749</v>
      </c>
      <c r="D76" s="2" t="s">
        <v>780</v>
      </c>
      <c r="E76" s="3">
        <v>2.4E-2</v>
      </c>
      <c r="F76" s="38">
        <v>0.12</v>
      </c>
      <c r="G76" s="2">
        <v>10</v>
      </c>
      <c r="H76" s="2"/>
      <c r="I76" s="3" t="str">
        <f t="shared" ref="I76:I77" si="8">divideNPntNPnt(E76,F76,G76)</f>
        <v>0.2</v>
      </c>
      <c r="J76" s="2"/>
      <c r="K76" s="2"/>
      <c r="L76" s="2"/>
      <c r="M76" s="3" t="s">
        <v>758</v>
      </c>
      <c r="N76" s="2"/>
      <c r="O76" s="2"/>
      <c r="P76" s="2"/>
      <c r="Q76" s="3" t="b">
        <f t="shared" ref="Q76:Q125" si="9">getText(I76)=getText(M76)</f>
        <v>1</v>
      </c>
    </row>
    <row r="77" spans="2:17" x14ac:dyDescent="0.15">
      <c r="D77" t="s">
        <v>792</v>
      </c>
      <c r="E77" s="1">
        <v>2.4E-2</v>
      </c>
      <c r="F77" s="37">
        <v>1.2E-2</v>
      </c>
      <c r="G77">
        <v>10</v>
      </c>
      <c r="I77" s="1" t="str">
        <f t="shared" si="8"/>
        <v>2</v>
      </c>
      <c r="M77" s="1" t="s">
        <v>307</v>
      </c>
      <c r="Q77" s="1" t="b">
        <f t="shared" si="9"/>
        <v>1</v>
      </c>
    </row>
    <row r="78" spans="2:17" x14ac:dyDescent="0.15">
      <c r="D78" t="s">
        <v>793</v>
      </c>
      <c r="E78" s="1">
        <v>2.4E-2</v>
      </c>
      <c r="F78" s="37">
        <v>1.1999999999999999E-3</v>
      </c>
      <c r="G78">
        <v>10</v>
      </c>
      <c r="I78" s="1" t="str">
        <f>divideNPntNPnt(E78,F78,G78)</f>
        <v>20</v>
      </c>
      <c r="M78" s="1" t="s">
        <v>798</v>
      </c>
      <c r="Q78" s="1" t="b">
        <f t="shared" si="9"/>
        <v>1</v>
      </c>
    </row>
    <row r="79" spans="2:17" x14ac:dyDescent="0.15">
      <c r="D79" t="s">
        <v>794</v>
      </c>
      <c r="E79" s="1">
        <v>2.4E-2</v>
      </c>
      <c r="F79" s="37">
        <v>1.2E-4</v>
      </c>
      <c r="G79">
        <v>10</v>
      </c>
      <c r="I79" s="1" t="str">
        <f t="shared" ref="I79:I88" si="10">divideNPntNPnt(E79,F79,G79)</f>
        <v>200</v>
      </c>
      <c r="M79" s="1" t="s">
        <v>799</v>
      </c>
      <c r="Q79" s="1" t="b">
        <f t="shared" si="9"/>
        <v>1</v>
      </c>
    </row>
    <row r="80" spans="2:17" x14ac:dyDescent="0.15">
      <c r="B80" s="2" t="s">
        <v>632</v>
      </c>
      <c r="C80" s="2" t="s">
        <v>728</v>
      </c>
      <c r="D80" s="24"/>
      <c r="E80" s="3">
        <v>24</v>
      </c>
      <c r="F80" s="38">
        <v>2</v>
      </c>
      <c r="G80" s="2">
        <v>10</v>
      </c>
      <c r="H80" s="2"/>
      <c r="I80" s="3" t="str">
        <f t="shared" si="10"/>
        <v>12</v>
      </c>
      <c r="J80" s="2"/>
      <c r="K80" s="2"/>
      <c r="L80" s="2"/>
      <c r="M80" s="3" t="s">
        <v>666</v>
      </c>
      <c r="N80" s="2"/>
      <c r="O80" s="2"/>
      <c r="P80" s="2"/>
      <c r="Q80" s="3" t="b">
        <f t="shared" si="9"/>
        <v>1</v>
      </c>
    </row>
    <row r="81" spans="2:17" x14ac:dyDescent="0.15">
      <c r="C81" s="2" t="s">
        <v>721</v>
      </c>
      <c r="D81" s="2"/>
      <c r="E81" s="3">
        <v>-24</v>
      </c>
      <c r="F81" s="38">
        <v>2</v>
      </c>
      <c r="G81" s="2">
        <v>10</v>
      </c>
      <c r="H81" s="2"/>
      <c r="I81" s="3" t="str">
        <f t="shared" si="10"/>
        <v>-12</v>
      </c>
      <c r="J81" s="2"/>
      <c r="K81" s="2"/>
      <c r="L81" s="2"/>
      <c r="M81" s="3" t="s">
        <v>801</v>
      </c>
      <c r="N81" s="2"/>
      <c r="O81" s="2"/>
      <c r="P81" s="2"/>
      <c r="Q81" s="3" t="b">
        <f t="shared" si="9"/>
        <v>1</v>
      </c>
    </row>
    <row r="82" spans="2:17" x14ac:dyDescent="0.15">
      <c r="D82" t="s">
        <v>724</v>
      </c>
      <c r="E82" s="1">
        <v>0</v>
      </c>
      <c r="F82" s="37">
        <v>2</v>
      </c>
      <c r="G82">
        <v>10</v>
      </c>
      <c r="I82" s="1" t="str">
        <f t="shared" si="10"/>
        <v>0</v>
      </c>
      <c r="M82" s="1" t="s">
        <v>14</v>
      </c>
      <c r="Q82" s="1" t="b">
        <f t="shared" si="9"/>
        <v>1</v>
      </c>
    </row>
    <row r="83" spans="2:17" x14ac:dyDescent="0.15">
      <c r="C83" s="2" t="s">
        <v>727</v>
      </c>
      <c r="D83" s="2"/>
      <c r="E83" s="3">
        <v>24</v>
      </c>
      <c r="F83" s="38">
        <v>-2</v>
      </c>
      <c r="G83" s="2">
        <v>10</v>
      </c>
      <c r="H83" s="2"/>
      <c r="I83" s="3" t="str">
        <f t="shared" si="10"/>
        <v>-12</v>
      </c>
      <c r="J83" s="2"/>
      <c r="K83" s="2"/>
      <c r="L83" s="2"/>
      <c r="M83" s="3" t="s">
        <v>801</v>
      </c>
      <c r="N83" s="2"/>
      <c r="O83" s="2"/>
      <c r="P83" s="2"/>
      <c r="Q83" s="3" t="b">
        <f t="shared" si="9"/>
        <v>1</v>
      </c>
    </row>
    <row r="84" spans="2:17" x14ac:dyDescent="0.15">
      <c r="D84" t="s">
        <v>724</v>
      </c>
      <c r="E84" s="1">
        <v>0</v>
      </c>
      <c r="F84" s="37">
        <v>-2</v>
      </c>
      <c r="G84">
        <v>10</v>
      </c>
      <c r="I84" s="1" t="str">
        <f t="shared" si="10"/>
        <v>0</v>
      </c>
      <c r="M84" s="1" t="s">
        <v>14</v>
      </c>
      <c r="Q84" s="1" t="b">
        <f t="shared" si="9"/>
        <v>1</v>
      </c>
    </row>
    <row r="85" spans="2:17" x14ac:dyDescent="0.15">
      <c r="C85" s="2" t="s">
        <v>775</v>
      </c>
      <c r="D85" s="2"/>
      <c r="E85" s="3">
        <v>-24</v>
      </c>
      <c r="F85" s="38">
        <v>-2</v>
      </c>
      <c r="G85" s="2">
        <v>10</v>
      </c>
      <c r="H85" s="2"/>
      <c r="I85" s="3" t="str">
        <f t="shared" si="10"/>
        <v>12</v>
      </c>
      <c r="J85" s="2"/>
      <c r="K85" s="2"/>
      <c r="L85" s="2"/>
      <c r="M85" s="3" t="s">
        <v>666</v>
      </c>
      <c r="N85" s="2"/>
      <c r="O85" s="2"/>
      <c r="P85" s="2"/>
      <c r="Q85" s="3" t="b">
        <f t="shared" si="9"/>
        <v>1</v>
      </c>
    </row>
    <row r="86" spans="2:17" x14ac:dyDescent="0.15">
      <c r="B86" s="2" t="s">
        <v>757</v>
      </c>
      <c r="C86" s="2"/>
      <c r="D86" s="2" t="s">
        <v>745</v>
      </c>
      <c r="E86" s="3">
        <v>100</v>
      </c>
      <c r="F86" s="38">
        <v>10</v>
      </c>
      <c r="G86" s="2">
        <v>2</v>
      </c>
      <c r="H86" s="2"/>
      <c r="I86" s="3" t="str">
        <f t="shared" si="10"/>
        <v>10</v>
      </c>
      <c r="J86" s="2"/>
      <c r="K86" s="2"/>
      <c r="L86" s="2"/>
      <c r="M86" s="3" t="s">
        <v>15</v>
      </c>
      <c r="N86" s="2"/>
      <c r="O86" s="2"/>
      <c r="P86" s="2"/>
      <c r="Q86" s="3" t="b">
        <f t="shared" si="9"/>
        <v>1</v>
      </c>
    </row>
    <row r="87" spans="2:17" x14ac:dyDescent="0.15">
      <c r="D87" t="s">
        <v>746</v>
      </c>
      <c r="E87" s="1">
        <v>990</v>
      </c>
      <c r="F87" s="37">
        <v>99</v>
      </c>
      <c r="G87" s="7">
        <v>10</v>
      </c>
      <c r="I87" s="1" t="str">
        <f>divideNPntNPnt(E87,F87,G87)</f>
        <v>10</v>
      </c>
      <c r="M87" s="1" t="s">
        <v>15</v>
      </c>
      <c r="Q87" s="1" t="b">
        <f t="shared" si="9"/>
        <v>1</v>
      </c>
    </row>
    <row r="88" spans="2:17" x14ac:dyDescent="0.15">
      <c r="D88" t="s">
        <v>747</v>
      </c>
      <c r="E88" s="8" t="s">
        <v>160</v>
      </c>
      <c r="F88" s="37" t="s">
        <v>26</v>
      </c>
      <c r="G88" s="7">
        <v>16</v>
      </c>
      <c r="I88" s="1" t="str">
        <f t="shared" si="10"/>
        <v>10</v>
      </c>
      <c r="M88" s="1" t="s">
        <v>15</v>
      </c>
      <c r="Q88" s="1" t="b">
        <f t="shared" si="9"/>
        <v>1</v>
      </c>
    </row>
    <row r="89" spans="2:17" x14ac:dyDescent="0.15">
      <c r="D89" t="s">
        <v>754</v>
      </c>
      <c r="E89" s="1">
        <v>2</v>
      </c>
      <c r="F89" s="37">
        <v>4</v>
      </c>
      <c r="I89" s="1" t="str">
        <f>divideNPntNPnt(E89,F89)</f>
        <v>0.5</v>
      </c>
      <c r="M89" s="1" t="s">
        <v>788</v>
      </c>
      <c r="Q89" s="1" t="b">
        <f t="shared" si="9"/>
        <v>1</v>
      </c>
    </row>
    <row r="90" spans="2:17" x14ac:dyDescent="0.15">
      <c r="D90" t="s">
        <v>755</v>
      </c>
      <c r="E90" s="8" t="s">
        <v>585</v>
      </c>
      <c r="F90" s="37">
        <v>5</v>
      </c>
      <c r="I90" s="1" t="e">
        <f>divideNPntNPnt(E90,F90)</f>
        <v>#NUM!</v>
      </c>
      <c r="M90" s="1" t="e">
        <v>#NUM!</v>
      </c>
      <c r="Q90" s="1" t="b">
        <f t="shared" si="9"/>
        <v>1</v>
      </c>
    </row>
    <row r="91" spans="2:17" x14ac:dyDescent="0.15">
      <c r="B91" s="2" t="s">
        <v>803</v>
      </c>
      <c r="C91" s="2" t="s">
        <v>804</v>
      </c>
      <c r="D91" s="2" t="s">
        <v>210</v>
      </c>
      <c r="E91" s="3">
        <v>1</v>
      </c>
      <c r="F91" s="38">
        <v>3</v>
      </c>
      <c r="G91" s="2">
        <v>10</v>
      </c>
      <c r="H91" s="2">
        <v>-1</v>
      </c>
      <c r="I91" s="3" t="e">
        <f>divideNPntNPnt(E91,F91,G91,H91)</f>
        <v>#NUM!</v>
      </c>
      <c r="J91" s="2"/>
      <c r="K91" s="2"/>
      <c r="L91" s="2"/>
      <c r="M91" s="3" t="e">
        <v>#NUM!</v>
      </c>
      <c r="N91" s="2"/>
      <c r="O91" s="2"/>
      <c r="P91" s="2"/>
      <c r="Q91" s="3" t="b">
        <f t="shared" ref="Q91" si="11">getText(I91)=getText(M91)</f>
        <v>1</v>
      </c>
    </row>
    <row r="92" spans="2:17" x14ac:dyDescent="0.15">
      <c r="B92" s="6"/>
      <c r="C92" s="6"/>
      <c r="D92" s="6" t="s">
        <v>77</v>
      </c>
      <c r="E92" s="1">
        <v>1</v>
      </c>
      <c r="F92" s="37">
        <v>3</v>
      </c>
      <c r="G92" s="6">
        <v>10</v>
      </c>
      <c r="H92" s="6">
        <v>0</v>
      </c>
      <c r="I92" s="1" t="str">
        <f>divideNPntNPnt(E92,F92,G92,H92)</f>
        <v>0</v>
      </c>
      <c r="J92" s="6"/>
      <c r="K92" s="6"/>
      <c r="L92" s="6"/>
      <c r="M92" s="1" t="s">
        <v>14</v>
      </c>
      <c r="N92" s="6"/>
      <c r="O92" s="6"/>
      <c r="P92" s="6"/>
      <c r="Q92" s="1" t="b">
        <f t="shared" si="9"/>
        <v>1</v>
      </c>
    </row>
    <row r="93" spans="2:17" x14ac:dyDescent="0.15">
      <c r="D93" t="s">
        <v>805</v>
      </c>
      <c r="E93" s="1">
        <v>1</v>
      </c>
      <c r="F93" s="37">
        <v>3</v>
      </c>
      <c r="G93">
        <v>10</v>
      </c>
      <c r="H93">
        <v>1</v>
      </c>
      <c r="I93" s="1" t="str">
        <f t="shared" ref="I93:I105" si="12">divideNPntNPnt(E93,F93,G93,H93)</f>
        <v>0.3</v>
      </c>
      <c r="M93" s="1" t="s">
        <v>809</v>
      </c>
      <c r="Q93" s="1" t="b">
        <f t="shared" si="9"/>
        <v>1</v>
      </c>
    </row>
    <row r="94" spans="2:17" x14ac:dyDescent="0.15">
      <c r="D94" t="s">
        <v>806</v>
      </c>
      <c r="E94" s="1">
        <v>1</v>
      </c>
      <c r="F94" s="37">
        <v>3</v>
      </c>
      <c r="G94">
        <v>10</v>
      </c>
      <c r="H94">
        <v>2</v>
      </c>
      <c r="I94" s="1" t="str">
        <f t="shared" si="12"/>
        <v>0.33</v>
      </c>
      <c r="M94" s="1" t="s">
        <v>810</v>
      </c>
      <c r="Q94" s="1" t="b">
        <f t="shared" si="9"/>
        <v>1</v>
      </c>
    </row>
    <row r="95" spans="2:17" x14ac:dyDescent="0.15">
      <c r="D95" t="s">
        <v>811</v>
      </c>
      <c r="E95" s="1">
        <v>1</v>
      </c>
      <c r="F95" s="37">
        <v>3</v>
      </c>
      <c r="G95">
        <v>10</v>
      </c>
      <c r="H95">
        <v>255</v>
      </c>
      <c r="I95" s="1" t="str">
        <f t="shared" si="12"/>
        <v>0.333333333333333333333333333333333333333333333333333333333333333333333333333333333333333333333333333333333333333333333333333333333333333333333333333333333333333333333333333333333333333333333333333333333333333333333333333333333333333333333333333333333333333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95" s="1" t="s">
        <v>812</v>
      </c>
      <c r="Q95" s="1" t="b">
        <f t="shared" si="9"/>
        <v>1</v>
      </c>
    </row>
    <row r="96" spans="2:17" x14ac:dyDescent="0.15">
      <c r="C96" s="2" t="s">
        <v>807</v>
      </c>
      <c r="D96" s="2" t="s">
        <v>210</v>
      </c>
      <c r="E96" s="3">
        <v>1</v>
      </c>
      <c r="F96" s="38">
        <v>0.3</v>
      </c>
      <c r="G96" s="2">
        <v>10</v>
      </c>
      <c r="H96" s="2">
        <v>-1</v>
      </c>
      <c r="I96" s="3" t="e">
        <f t="shared" si="12"/>
        <v>#NUM!</v>
      </c>
      <c r="J96" s="2"/>
      <c r="K96" s="2"/>
      <c r="L96" s="2"/>
      <c r="M96" s="3" t="e">
        <v>#NUM!</v>
      </c>
      <c r="N96" s="2"/>
      <c r="O96" s="2"/>
      <c r="P96" s="2"/>
      <c r="Q96" s="3" t="b">
        <f t="shared" si="9"/>
        <v>1</v>
      </c>
    </row>
    <row r="97" spans="1:17" x14ac:dyDescent="0.15">
      <c r="D97" t="s">
        <v>77</v>
      </c>
      <c r="E97" s="1">
        <v>1</v>
      </c>
      <c r="F97" s="37">
        <v>0.3</v>
      </c>
      <c r="G97">
        <v>10</v>
      </c>
      <c r="H97" s="6">
        <v>0</v>
      </c>
      <c r="I97" s="1" t="str">
        <f t="shared" si="12"/>
        <v>3</v>
      </c>
      <c r="M97" s="1" t="s">
        <v>81</v>
      </c>
      <c r="Q97" s="1" t="b">
        <f t="shared" si="9"/>
        <v>1</v>
      </c>
    </row>
    <row r="98" spans="1:17" x14ac:dyDescent="0.15">
      <c r="D98" t="s">
        <v>805</v>
      </c>
      <c r="E98" s="1">
        <v>1</v>
      </c>
      <c r="F98" s="37">
        <v>0.3</v>
      </c>
      <c r="G98">
        <v>10</v>
      </c>
      <c r="H98">
        <v>1</v>
      </c>
      <c r="I98" s="1" t="str">
        <f t="shared" si="12"/>
        <v>3.3</v>
      </c>
      <c r="M98" s="1" t="s">
        <v>813</v>
      </c>
      <c r="Q98" s="1" t="b">
        <f t="shared" si="9"/>
        <v>1</v>
      </c>
    </row>
    <row r="99" spans="1:17" x14ac:dyDescent="0.15">
      <c r="D99" t="s">
        <v>806</v>
      </c>
      <c r="E99" s="1">
        <v>1</v>
      </c>
      <c r="F99" s="37">
        <v>0.3</v>
      </c>
      <c r="G99">
        <v>10</v>
      </c>
      <c r="H99">
        <v>2</v>
      </c>
      <c r="I99" s="1" t="str">
        <f t="shared" si="12"/>
        <v>3.33</v>
      </c>
      <c r="M99" s="1" t="s">
        <v>814</v>
      </c>
      <c r="Q99" s="1" t="b">
        <f t="shared" si="9"/>
        <v>1</v>
      </c>
    </row>
    <row r="100" spans="1:17" x14ac:dyDescent="0.15">
      <c r="D100" t="s">
        <v>811</v>
      </c>
      <c r="E100" s="1">
        <v>1</v>
      </c>
      <c r="F100" s="37">
        <v>0.3</v>
      </c>
      <c r="G100">
        <v>10</v>
      </c>
      <c r="H100">
        <v>255</v>
      </c>
      <c r="I100" s="1" t="str">
        <f t="shared" si="12"/>
        <v>3.333333333333333333333333333333333333333333333333333333333333333333333333333333333333333333333333333333333333333333333333333333333333333333333333333333333333333333333333333333333333333333333333333333333333333333333333333333333333333333333333333333333333333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100" s="1" t="s">
        <v>815</v>
      </c>
      <c r="Q100" s="1" t="b">
        <f t="shared" si="9"/>
        <v>1</v>
      </c>
    </row>
    <row r="101" spans="1:17" x14ac:dyDescent="0.15">
      <c r="C101" s="2" t="s">
        <v>808</v>
      </c>
      <c r="D101" s="2" t="s">
        <v>210</v>
      </c>
      <c r="E101" s="3">
        <v>1</v>
      </c>
      <c r="F101" s="38">
        <v>0.33</v>
      </c>
      <c r="G101" s="2">
        <v>10</v>
      </c>
      <c r="H101" s="2">
        <v>-1</v>
      </c>
      <c r="I101" s="3" t="e">
        <f t="shared" si="12"/>
        <v>#NUM!</v>
      </c>
      <c r="J101" s="2"/>
      <c r="K101" s="2"/>
      <c r="L101" s="2"/>
      <c r="M101" s="3" t="e">
        <v>#NUM!</v>
      </c>
      <c r="N101" s="2"/>
      <c r="O101" s="2"/>
      <c r="P101" s="2"/>
      <c r="Q101" s="3" t="b">
        <f t="shared" si="9"/>
        <v>1</v>
      </c>
    </row>
    <row r="102" spans="1:17" x14ac:dyDescent="0.15">
      <c r="C102" s="6"/>
      <c r="D102" t="s">
        <v>77</v>
      </c>
      <c r="E102" s="1">
        <v>1</v>
      </c>
      <c r="F102" s="37">
        <v>0.33</v>
      </c>
      <c r="G102" s="6">
        <v>10</v>
      </c>
      <c r="H102" s="6">
        <v>0</v>
      </c>
      <c r="I102" s="1" t="str">
        <f t="shared" si="12"/>
        <v>3</v>
      </c>
      <c r="J102" s="6"/>
      <c r="K102" s="6"/>
      <c r="L102" s="6"/>
      <c r="M102" s="1" t="s">
        <v>81</v>
      </c>
      <c r="N102" s="6"/>
      <c r="O102" s="6"/>
      <c r="P102" s="6"/>
      <c r="Q102" s="1" t="b">
        <f t="shared" si="9"/>
        <v>1</v>
      </c>
    </row>
    <row r="103" spans="1:17" x14ac:dyDescent="0.15">
      <c r="D103" t="s">
        <v>805</v>
      </c>
      <c r="E103" s="1">
        <v>1</v>
      </c>
      <c r="F103" s="37">
        <v>0.33</v>
      </c>
      <c r="G103">
        <v>10</v>
      </c>
      <c r="H103">
        <v>1</v>
      </c>
      <c r="I103" s="1" t="str">
        <f t="shared" si="12"/>
        <v>3.0</v>
      </c>
      <c r="M103" s="1" t="s">
        <v>817</v>
      </c>
      <c r="Q103" s="1" t="b">
        <f t="shared" si="9"/>
        <v>1</v>
      </c>
    </row>
    <row r="104" spans="1:17" x14ac:dyDescent="0.15">
      <c r="D104" t="s">
        <v>806</v>
      </c>
      <c r="E104" s="1">
        <v>1</v>
      </c>
      <c r="F104" s="37">
        <v>0.33</v>
      </c>
      <c r="G104">
        <v>10</v>
      </c>
      <c r="H104">
        <v>2</v>
      </c>
      <c r="I104" s="1" t="str">
        <f t="shared" si="12"/>
        <v>3.03</v>
      </c>
      <c r="M104" s="1" t="s">
        <v>816</v>
      </c>
      <c r="Q104" s="1" t="b">
        <f t="shared" si="9"/>
        <v>1</v>
      </c>
    </row>
    <row r="105" spans="1:17" x14ac:dyDescent="0.15">
      <c r="D105" t="s">
        <v>811</v>
      </c>
      <c r="E105" s="1">
        <v>1</v>
      </c>
      <c r="F105" s="37">
        <v>0.33</v>
      </c>
      <c r="G105">
        <v>10</v>
      </c>
      <c r="H105">
        <v>255</v>
      </c>
      <c r="I105" s="1" t="str">
        <f t="shared" si="12"/>
        <v>3.030303030303030303030303030303030303030303030303030303030303030303030303030303030303030303030303030303030303030303030303030303030303030303030303030303030303030303030303030303030303030303030303030303030303030303030303030303030303030303030303030303030303030</v>
      </c>
      <c r="M105" s="1" t="s">
        <v>818</v>
      </c>
      <c r="Q105" s="1" t="b">
        <f t="shared" si="9"/>
        <v>1</v>
      </c>
    </row>
    <row r="106" spans="1:17" x14ac:dyDescent="0.15">
      <c r="A106" s="2" t="s">
        <v>819</v>
      </c>
      <c r="B106" s="2" t="s">
        <v>820</v>
      </c>
      <c r="C106" s="2"/>
      <c r="D106" s="2" t="s">
        <v>642</v>
      </c>
      <c r="E106" s="3">
        <v>15</v>
      </c>
      <c r="F106" s="38">
        <v>10</v>
      </c>
      <c r="G106" s="2">
        <v>1</v>
      </c>
      <c r="H106" s="2">
        <v>15</v>
      </c>
      <c r="I106" s="3" t="e">
        <f>convNPntNPnt(E106,F106,G106,H106)</f>
        <v>#NUM!</v>
      </c>
      <c r="J106" s="2"/>
      <c r="K106" s="2"/>
      <c r="L106" s="2"/>
      <c r="M106" s="3" t="e">
        <v>#NUM!</v>
      </c>
      <c r="N106" s="2"/>
      <c r="O106" s="2"/>
      <c r="P106" s="2"/>
      <c r="Q106" s="3" t="b">
        <f t="shared" si="9"/>
        <v>1</v>
      </c>
    </row>
    <row r="107" spans="1:17" x14ac:dyDescent="0.15">
      <c r="D107" s="7" t="s">
        <v>821</v>
      </c>
      <c r="E107" s="8" t="s">
        <v>823</v>
      </c>
      <c r="F107" s="37">
        <v>10</v>
      </c>
      <c r="G107" s="7">
        <v>16</v>
      </c>
      <c r="H107" s="7">
        <v>15</v>
      </c>
      <c r="I107" s="1" t="e">
        <f>convNPntNPnt(E107,F107,G107,H107)</f>
        <v>#NUM!</v>
      </c>
      <c r="M107" s="1" t="e">
        <v>#NUM!</v>
      </c>
      <c r="Q107" s="1" t="b">
        <f t="shared" si="9"/>
        <v>1</v>
      </c>
    </row>
    <row r="108" spans="1:17" x14ac:dyDescent="0.15">
      <c r="D108" s="7" t="s">
        <v>822</v>
      </c>
      <c r="F108" s="37">
        <v>10</v>
      </c>
      <c r="G108" s="7">
        <v>16</v>
      </c>
      <c r="H108" s="7">
        <v>15</v>
      </c>
      <c r="I108" s="1" t="e">
        <f>convNPntNPnt(E108,F108,G108,H108)</f>
        <v>#NULL!</v>
      </c>
      <c r="M108" s="1" t="e">
        <v>#NULL!</v>
      </c>
      <c r="Q108" s="1" t="b">
        <f t="shared" si="9"/>
        <v>1</v>
      </c>
    </row>
    <row r="109" spans="1:17" x14ac:dyDescent="0.15">
      <c r="B109" s="2" t="s">
        <v>824</v>
      </c>
      <c r="C109" s="2"/>
      <c r="D109" s="2" t="s">
        <v>825</v>
      </c>
      <c r="E109" s="3">
        <v>9</v>
      </c>
      <c r="F109" s="38">
        <v>10</v>
      </c>
      <c r="G109" s="2">
        <v>1</v>
      </c>
      <c r="H109" s="2">
        <v>15</v>
      </c>
      <c r="I109" s="3" t="e">
        <f t="shared" ref="I109:I125" si="13">convNPntNPnt(E109,F109,G109,H109)</f>
        <v>#NUM!</v>
      </c>
      <c r="J109" s="2"/>
      <c r="K109" s="2"/>
      <c r="L109" s="2"/>
      <c r="M109" s="3" t="e">
        <v>#NUM!</v>
      </c>
      <c r="N109" s="2"/>
      <c r="O109" s="2"/>
      <c r="P109" s="2"/>
      <c r="Q109" s="3" t="b">
        <f t="shared" si="9"/>
        <v>1</v>
      </c>
    </row>
    <row r="110" spans="1:17" x14ac:dyDescent="0.15">
      <c r="D110" s="7" t="s">
        <v>826</v>
      </c>
      <c r="E110" s="1">
        <v>9</v>
      </c>
      <c r="F110" s="37">
        <v>10</v>
      </c>
      <c r="G110" s="7">
        <v>2</v>
      </c>
      <c r="H110">
        <v>15</v>
      </c>
      <c r="I110" s="1" t="str">
        <f t="shared" si="13"/>
        <v>1001</v>
      </c>
      <c r="M110" s="1" t="s">
        <v>401</v>
      </c>
      <c r="Q110" s="1" t="b">
        <f t="shared" si="9"/>
        <v>1</v>
      </c>
    </row>
    <row r="111" spans="1:17" x14ac:dyDescent="0.15">
      <c r="D111" s="7" t="s">
        <v>827</v>
      </c>
      <c r="E111" s="1">
        <v>9</v>
      </c>
      <c r="F111" s="37">
        <v>10</v>
      </c>
      <c r="G111" s="7">
        <v>8</v>
      </c>
      <c r="H111">
        <v>15</v>
      </c>
      <c r="I111" s="1" t="str">
        <f t="shared" si="13"/>
        <v>11</v>
      </c>
      <c r="M111" s="1" t="s">
        <v>18</v>
      </c>
      <c r="Q111" s="1" t="b">
        <f t="shared" si="9"/>
        <v>1</v>
      </c>
    </row>
    <row r="112" spans="1:17" x14ac:dyDescent="0.15">
      <c r="D112" s="7" t="s">
        <v>828</v>
      </c>
      <c r="E112" s="1">
        <v>9</v>
      </c>
      <c r="F112" s="37">
        <v>10</v>
      </c>
      <c r="G112" s="7">
        <v>16</v>
      </c>
      <c r="H112">
        <v>15</v>
      </c>
      <c r="I112" s="1" t="str">
        <f t="shared" si="13"/>
        <v>9</v>
      </c>
      <c r="M112" s="1" t="s">
        <v>101</v>
      </c>
      <c r="Q112" s="1" t="b">
        <f t="shared" si="9"/>
        <v>1</v>
      </c>
    </row>
    <row r="113" spans="1:20" x14ac:dyDescent="0.15">
      <c r="D113" s="7" t="s">
        <v>829</v>
      </c>
      <c r="E113" s="1">
        <v>9</v>
      </c>
      <c r="F113" s="37">
        <v>10</v>
      </c>
      <c r="G113" s="7">
        <v>17</v>
      </c>
      <c r="H113">
        <v>15</v>
      </c>
      <c r="I113" s="1" t="e">
        <f t="shared" si="13"/>
        <v>#NUM!</v>
      </c>
      <c r="M113" s="1" t="e">
        <v>#NUM!</v>
      </c>
      <c r="Q113" s="1" t="b">
        <f t="shared" si="9"/>
        <v>1</v>
      </c>
    </row>
    <row r="114" spans="1:20" x14ac:dyDescent="0.15">
      <c r="B114" s="2" t="s">
        <v>830</v>
      </c>
      <c r="C114" s="2" t="s">
        <v>833</v>
      </c>
      <c r="D114" s="2" t="s">
        <v>846</v>
      </c>
      <c r="E114" s="11" t="s">
        <v>848</v>
      </c>
      <c r="F114" s="38">
        <v>10</v>
      </c>
      <c r="G114" s="2">
        <v>16</v>
      </c>
      <c r="H114" s="2">
        <v>15</v>
      </c>
      <c r="I114" s="3" t="str">
        <f>convNPntNPnt(E114,F114,G114,H114)</f>
        <v>0</v>
      </c>
      <c r="J114" s="2"/>
      <c r="K114" s="2"/>
      <c r="L114" s="2"/>
      <c r="M114" s="3" t="s">
        <v>14</v>
      </c>
      <c r="N114" s="2"/>
      <c r="O114" s="2"/>
      <c r="P114" s="2"/>
      <c r="Q114" s="3" t="b">
        <f t="shared" si="9"/>
        <v>1</v>
      </c>
    </row>
    <row r="115" spans="1:20" x14ac:dyDescent="0.15">
      <c r="B115" s="6"/>
      <c r="C115" s="6"/>
      <c r="D115" s="27" t="s">
        <v>836</v>
      </c>
      <c r="E115" s="9" t="s">
        <v>847</v>
      </c>
      <c r="F115" s="37">
        <v>10</v>
      </c>
      <c r="G115" s="6">
        <v>16</v>
      </c>
      <c r="H115" s="6">
        <v>15</v>
      </c>
      <c r="I115" s="1" t="str">
        <f>convNPntNPnt(E115,F115,G115,H115)</f>
        <v>0</v>
      </c>
      <c r="J115" s="6"/>
      <c r="K115" s="6"/>
      <c r="L115" s="6"/>
      <c r="M115" s="1" t="s">
        <v>14</v>
      </c>
      <c r="N115" s="6"/>
      <c r="O115" s="6"/>
      <c r="P115" s="6"/>
      <c r="Q115" s="1" t="b">
        <f t="shared" si="9"/>
        <v>1</v>
      </c>
    </row>
    <row r="116" spans="1:20" x14ac:dyDescent="0.15">
      <c r="D116" s="7" t="s">
        <v>831</v>
      </c>
      <c r="E116" s="9" t="s">
        <v>842</v>
      </c>
      <c r="F116" s="37">
        <v>10</v>
      </c>
      <c r="G116">
        <v>16</v>
      </c>
      <c r="H116">
        <v>15</v>
      </c>
      <c r="I116" s="1" t="str">
        <f t="shared" si="13"/>
        <v>0.1</v>
      </c>
      <c r="M116" s="1" t="s">
        <v>740</v>
      </c>
      <c r="Q116" s="1" t="b">
        <f t="shared" si="9"/>
        <v>1</v>
      </c>
    </row>
    <row r="117" spans="1:20" x14ac:dyDescent="0.15">
      <c r="D117" s="7" t="s">
        <v>832</v>
      </c>
      <c r="E117" s="9" t="s">
        <v>844</v>
      </c>
      <c r="F117" s="37">
        <v>10</v>
      </c>
      <c r="G117">
        <v>16</v>
      </c>
      <c r="H117">
        <v>15</v>
      </c>
      <c r="I117" s="1" t="str">
        <f t="shared" si="13"/>
        <v>0.08</v>
      </c>
      <c r="M117" s="1" t="s">
        <v>845</v>
      </c>
      <c r="Q117" s="1" t="b">
        <f t="shared" si="9"/>
        <v>1</v>
      </c>
    </row>
    <row r="118" spans="1:20" x14ac:dyDescent="0.15">
      <c r="D118" s="7" t="s">
        <v>834</v>
      </c>
      <c r="E118" s="9" t="s">
        <v>843</v>
      </c>
      <c r="F118" s="37">
        <v>10</v>
      </c>
      <c r="G118">
        <v>16</v>
      </c>
      <c r="H118">
        <v>2</v>
      </c>
      <c r="I118" s="1" t="str">
        <f t="shared" si="13"/>
        <v>0.08</v>
      </c>
      <c r="M118" s="1" t="s">
        <v>845</v>
      </c>
      <c r="Q118" s="1" t="b">
        <f t="shared" si="9"/>
        <v>1</v>
      </c>
    </row>
    <row r="119" spans="1:20" x14ac:dyDescent="0.15">
      <c r="C119" s="2" t="s">
        <v>835</v>
      </c>
      <c r="D119" s="24" t="s">
        <v>836</v>
      </c>
      <c r="E119" s="11" t="s">
        <v>849</v>
      </c>
      <c r="F119" s="38">
        <v>10</v>
      </c>
      <c r="G119" s="2">
        <v>16</v>
      </c>
      <c r="H119" s="2">
        <v>0</v>
      </c>
      <c r="I119" s="3" t="str">
        <f t="shared" si="13"/>
        <v>0</v>
      </c>
      <c r="J119" s="2"/>
      <c r="K119" s="2"/>
      <c r="L119" s="2"/>
      <c r="M119" s="3" t="s">
        <v>14</v>
      </c>
      <c r="N119" s="2"/>
      <c r="O119" s="2"/>
      <c r="P119" s="2"/>
      <c r="Q119" s="3" t="b">
        <f t="shared" si="9"/>
        <v>1</v>
      </c>
    </row>
    <row r="120" spans="1:20" x14ac:dyDescent="0.15">
      <c r="D120" t="s">
        <v>837</v>
      </c>
      <c r="E120" s="9" t="s">
        <v>740</v>
      </c>
      <c r="F120" s="37">
        <v>10</v>
      </c>
      <c r="G120">
        <v>16</v>
      </c>
      <c r="H120" s="7">
        <v>1</v>
      </c>
      <c r="I120" s="1" t="str">
        <f t="shared" si="13"/>
        <v>0.1</v>
      </c>
      <c r="M120" s="1" t="s">
        <v>740</v>
      </c>
      <c r="Q120" s="1" t="b">
        <f t="shared" si="9"/>
        <v>1</v>
      </c>
    </row>
    <row r="121" spans="1:20" x14ac:dyDescent="0.15">
      <c r="D121" t="s">
        <v>838</v>
      </c>
      <c r="E121" s="9" t="s">
        <v>740</v>
      </c>
      <c r="F121" s="37">
        <v>10</v>
      </c>
      <c r="G121">
        <v>16</v>
      </c>
      <c r="H121" s="7">
        <v>2</v>
      </c>
      <c r="I121" s="1" t="str">
        <f t="shared" si="13"/>
        <v>0.19</v>
      </c>
      <c r="M121" s="1" t="s">
        <v>850</v>
      </c>
      <c r="Q121" s="1" t="b">
        <f t="shared" si="9"/>
        <v>1</v>
      </c>
    </row>
    <row r="122" spans="1:20" x14ac:dyDescent="0.15">
      <c r="D122" t="s">
        <v>811</v>
      </c>
      <c r="E122" s="9" t="s">
        <v>740</v>
      </c>
      <c r="F122" s="37">
        <v>10</v>
      </c>
      <c r="G122">
        <v>16</v>
      </c>
      <c r="H122" s="7">
        <v>255</v>
      </c>
      <c r="I122" s="1" t="str">
        <f t="shared" si="13"/>
        <v>0.199999999999999999999999999999999999999999999999999999999999999999999999999999999999999999999999999999999999999999999999999999999999999999999999999999999999999999999999999999999999999999999999999999999999999999999999999999999999999999999999999999999999999</v>
      </c>
      <c r="M122" s="1" t="s">
        <v>851</v>
      </c>
      <c r="Q122" s="1" t="b">
        <f t="shared" si="9"/>
        <v>1</v>
      </c>
    </row>
    <row r="123" spans="1:20" x14ac:dyDescent="0.15">
      <c r="D123" t="s">
        <v>852</v>
      </c>
      <c r="E123" s="9" t="s">
        <v>740</v>
      </c>
      <c r="F123" s="37">
        <v>10</v>
      </c>
      <c r="G123">
        <v>16</v>
      </c>
      <c r="H123" s="7"/>
      <c r="I123" s="1" t="str">
        <f>convNPntNPnt(E123,F123,G123)</f>
        <v>0.199999999999999999999999999999</v>
      </c>
      <c r="M123" s="1" t="s">
        <v>853</v>
      </c>
      <c r="Q123" s="1" t="b">
        <f t="shared" si="9"/>
        <v>1</v>
      </c>
    </row>
    <row r="124" spans="1:20" x14ac:dyDescent="0.15">
      <c r="B124" s="2" t="s">
        <v>839</v>
      </c>
      <c r="C124" s="2"/>
      <c r="D124" s="2" t="s">
        <v>840</v>
      </c>
      <c r="E124" s="11" t="s">
        <v>854</v>
      </c>
      <c r="F124" s="38">
        <v>10</v>
      </c>
      <c r="G124" s="2">
        <v>16</v>
      </c>
      <c r="H124" s="2">
        <v>15</v>
      </c>
      <c r="I124" s="3" t="str">
        <f t="shared" si="13"/>
        <v>F</v>
      </c>
      <c r="J124" s="2"/>
      <c r="K124" s="2"/>
      <c r="L124" s="2"/>
      <c r="M124" s="3" t="s">
        <v>99</v>
      </c>
      <c r="N124" s="2"/>
      <c r="O124" s="2"/>
      <c r="P124" s="2"/>
      <c r="Q124" s="3" t="b">
        <f t="shared" si="9"/>
        <v>1</v>
      </c>
    </row>
    <row r="125" spans="1:20" x14ac:dyDescent="0.15">
      <c r="D125" t="s">
        <v>841</v>
      </c>
      <c r="E125" s="9" t="s">
        <v>855</v>
      </c>
      <c r="F125" s="37">
        <v>10</v>
      </c>
      <c r="G125">
        <v>16</v>
      </c>
      <c r="H125" s="7">
        <v>15</v>
      </c>
      <c r="I125" s="1" t="str">
        <f t="shared" si="13"/>
        <v>-F</v>
      </c>
      <c r="M125" s="1" t="s">
        <v>856</v>
      </c>
      <c r="Q125" s="1" t="b">
        <f t="shared" si="9"/>
        <v>1</v>
      </c>
    </row>
    <row r="126" spans="1:20" s="2" customFormat="1" x14ac:dyDescent="0.15">
      <c r="A126" s="2" t="s">
        <v>639</v>
      </c>
      <c r="B126" s="2" t="s">
        <v>640</v>
      </c>
      <c r="C126" s="2" t="s">
        <v>641</v>
      </c>
      <c r="E126" s="11"/>
      <c r="F126" s="2">
        <v>10</v>
      </c>
      <c r="G126" s="2" t="b">
        <v>0</v>
      </c>
      <c r="I126" s="3" t="e">
        <f>TESTseparateToIntAndFrc(E126,F126,G126)</f>
        <v>#NULL!</v>
      </c>
      <c r="J126" s="2" t="str">
        <f>TESTseparateToIntAndFrcByRef1(E126,F126,G126)</f>
        <v/>
      </c>
      <c r="K126" s="2" t="str">
        <f>TESTseparateToIntAndFrcByRef2(E126,F126,G126)</f>
        <v/>
      </c>
      <c r="L126" s="2" t="b">
        <f>TESTseparateToIntAndFrcByRef3(E126,F126,G126)</f>
        <v>0</v>
      </c>
      <c r="M126" s="3" t="e">
        <v>#NULL!</v>
      </c>
      <c r="N126" s="2" t="s">
        <v>45</v>
      </c>
      <c r="O126" s="2" t="s">
        <v>45</v>
      </c>
      <c r="P126" s="2" t="b">
        <v>0</v>
      </c>
      <c r="Q126" s="3" t="b">
        <f t="shared" ref="Q126:Q136" si="14">getText(I126)=getText(M126)</f>
        <v>1</v>
      </c>
      <c r="R126" s="2" t="b">
        <f t="shared" ref="R126:R136" si="15">getText(J126)=getText(N126)</f>
        <v>1</v>
      </c>
      <c r="S126" s="2" t="b">
        <f t="shared" ref="S126:S136" si="16">getText(K126)=getText(O126)</f>
        <v>1</v>
      </c>
      <c r="T126" s="2" t="b">
        <f t="shared" ref="T126:T136" si="17">getText(L126)=getText(P126)</f>
        <v>1</v>
      </c>
    </row>
    <row r="127" spans="1:20" x14ac:dyDescent="0.15">
      <c r="B127" s="6"/>
      <c r="C127" s="2" t="s">
        <v>642</v>
      </c>
      <c r="D127" s="2"/>
      <c r="E127" s="3">
        <v>1</v>
      </c>
      <c r="F127" s="2">
        <v>1</v>
      </c>
      <c r="G127" s="2" t="b">
        <v>0</v>
      </c>
      <c r="H127" s="2"/>
      <c r="I127" s="3" t="e">
        <f t="shared" ref="I127:I151" si="18">TESTseparateToIntAndFrc(E127,F127,G127)</f>
        <v>#NUM!</v>
      </c>
      <c r="J127" s="2" t="str">
        <f t="shared" ref="J127:J151" si="19">TESTseparateToIntAndFrcByRef1(E127,F127,G127)</f>
        <v/>
      </c>
      <c r="K127" s="2" t="str">
        <f t="shared" ref="K127:K151" si="20">TESTseparateToIntAndFrcByRef2(E127,F127,G127)</f>
        <v/>
      </c>
      <c r="L127" s="2" t="b">
        <f t="shared" ref="L127:L151" si="21">TESTseparateToIntAndFrcByRef3(E127,F127,G127)</f>
        <v>0</v>
      </c>
      <c r="M127" s="3" t="e">
        <v>#NUM!</v>
      </c>
      <c r="N127" s="2" t="s">
        <v>45</v>
      </c>
      <c r="O127" s="2" t="s">
        <v>45</v>
      </c>
      <c r="P127" s="2" t="b">
        <v>0</v>
      </c>
      <c r="Q127" s="3" t="b">
        <f t="shared" si="14"/>
        <v>1</v>
      </c>
      <c r="R127" s="2" t="b">
        <f t="shared" si="15"/>
        <v>1</v>
      </c>
      <c r="S127" s="2" t="b">
        <f t="shared" si="16"/>
        <v>1</v>
      </c>
      <c r="T127" s="2" t="b">
        <f t="shared" si="17"/>
        <v>1</v>
      </c>
    </row>
    <row r="128" spans="1:20" x14ac:dyDescent="0.15">
      <c r="B128" s="2" t="s">
        <v>646</v>
      </c>
      <c r="C128" s="2" t="s">
        <v>647</v>
      </c>
      <c r="D128" s="2" t="s">
        <v>643</v>
      </c>
      <c r="E128" s="11" t="s">
        <v>111</v>
      </c>
      <c r="F128" s="2">
        <v>10</v>
      </c>
      <c r="G128" s="2" t="b">
        <v>0</v>
      </c>
      <c r="H128" s="2"/>
      <c r="I128" s="3">
        <f t="shared" si="18"/>
        <v>0</v>
      </c>
      <c r="J128" s="2" t="str">
        <f t="shared" si="19"/>
        <v>1</v>
      </c>
      <c r="K128" s="2" t="str">
        <f t="shared" si="20"/>
        <v/>
      </c>
      <c r="L128" s="2" t="b">
        <f t="shared" si="21"/>
        <v>0</v>
      </c>
      <c r="M128" s="3">
        <v>0</v>
      </c>
      <c r="N128" s="2" t="s">
        <v>44</v>
      </c>
      <c r="O128" s="2" t="s">
        <v>45</v>
      </c>
      <c r="P128" s="2" t="b">
        <v>0</v>
      </c>
      <c r="Q128" s="3" t="b">
        <f t="shared" ref="Q128:Q130" si="22">getText(I128)=getText(M128)</f>
        <v>1</v>
      </c>
      <c r="R128" s="2" t="b">
        <f t="shared" ref="R128:R130" si="23">getText(J128)=getText(N128)</f>
        <v>1</v>
      </c>
      <c r="S128" s="2" t="b">
        <f t="shared" ref="S128:S130" si="24">getText(K128)=getText(O128)</f>
        <v>1</v>
      </c>
      <c r="T128" s="2" t="b">
        <f t="shared" ref="T128:T130" si="25">getText(L128)=getText(P128)</f>
        <v>1</v>
      </c>
    </row>
    <row r="129" spans="2:20" x14ac:dyDescent="0.15">
      <c r="D129" t="s">
        <v>644</v>
      </c>
      <c r="E129" s="9" t="s">
        <v>410</v>
      </c>
      <c r="F129">
        <v>10</v>
      </c>
      <c r="G129" t="b">
        <v>0</v>
      </c>
      <c r="I129" s="1">
        <f t="shared" si="18"/>
        <v>0</v>
      </c>
      <c r="J129" t="str">
        <f t="shared" si="19"/>
        <v>12</v>
      </c>
      <c r="K129" t="str">
        <f t="shared" si="20"/>
        <v/>
      </c>
      <c r="L129" t="b">
        <f t="shared" si="21"/>
        <v>0</v>
      </c>
      <c r="M129" s="1">
        <v>0</v>
      </c>
      <c r="N129" t="s">
        <v>666</v>
      </c>
      <c r="O129" t="s">
        <v>45</v>
      </c>
      <c r="P129" t="b">
        <v>0</v>
      </c>
      <c r="Q129" s="1" t="b">
        <f t="shared" si="22"/>
        <v>1</v>
      </c>
      <c r="R129" t="b">
        <f t="shared" si="23"/>
        <v>1</v>
      </c>
      <c r="S129" t="b">
        <f t="shared" si="24"/>
        <v>1</v>
      </c>
      <c r="T129" t="b">
        <f t="shared" si="25"/>
        <v>1</v>
      </c>
    </row>
    <row r="130" spans="2:20" x14ac:dyDescent="0.15">
      <c r="D130" t="s">
        <v>645</v>
      </c>
      <c r="E130" s="9" t="s">
        <v>668</v>
      </c>
      <c r="F130">
        <v>10</v>
      </c>
      <c r="G130" t="b">
        <v>0</v>
      </c>
      <c r="I130" s="1">
        <f t="shared" si="18"/>
        <v>0</v>
      </c>
      <c r="J130" t="str">
        <f t="shared" si="19"/>
        <v>123</v>
      </c>
      <c r="K130" t="str">
        <f t="shared" si="20"/>
        <v/>
      </c>
      <c r="L130" t="b">
        <f t="shared" si="21"/>
        <v>0</v>
      </c>
      <c r="M130" s="1">
        <v>0</v>
      </c>
      <c r="N130" t="s">
        <v>667</v>
      </c>
      <c r="O130" t="s">
        <v>45</v>
      </c>
      <c r="P130" t="b">
        <v>0</v>
      </c>
      <c r="Q130" s="1" t="b">
        <f t="shared" si="22"/>
        <v>1</v>
      </c>
      <c r="R130" t="b">
        <f t="shared" si="23"/>
        <v>1</v>
      </c>
      <c r="S130" t="b">
        <f t="shared" si="24"/>
        <v>1</v>
      </c>
      <c r="T130" t="b">
        <f t="shared" si="25"/>
        <v>1</v>
      </c>
    </row>
    <row r="131" spans="2:20" x14ac:dyDescent="0.15">
      <c r="C131" s="2" t="s">
        <v>648</v>
      </c>
      <c r="D131" s="2" t="s">
        <v>643</v>
      </c>
      <c r="E131" s="11" t="s">
        <v>635</v>
      </c>
      <c r="F131" s="2">
        <v>10</v>
      </c>
      <c r="G131" s="2" t="b">
        <v>0</v>
      </c>
      <c r="H131" s="2"/>
      <c r="I131" s="3">
        <f t="shared" si="18"/>
        <v>0</v>
      </c>
      <c r="J131" s="2" t="str">
        <f t="shared" si="19"/>
        <v>1</v>
      </c>
      <c r="K131" s="2" t="str">
        <f t="shared" si="20"/>
        <v/>
      </c>
      <c r="L131" s="2" t="b">
        <f t="shared" si="21"/>
        <v>1</v>
      </c>
      <c r="M131" s="3">
        <v>0</v>
      </c>
      <c r="N131" s="2" t="s">
        <v>44</v>
      </c>
      <c r="O131" s="2" t="s">
        <v>45</v>
      </c>
      <c r="P131" s="2" t="b">
        <v>1</v>
      </c>
      <c r="Q131" s="3" t="b">
        <f t="shared" si="14"/>
        <v>1</v>
      </c>
      <c r="R131" s="2" t="b">
        <f t="shared" si="15"/>
        <v>1</v>
      </c>
      <c r="S131" s="2" t="b">
        <f t="shared" si="16"/>
        <v>1</v>
      </c>
      <c r="T131" s="2" t="b">
        <f t="shared" si="17"/>
        <v>1</v>
      </c>
    </row>
    <row r="132" spans="2:20" x14ac:dyDescent="0.15">
      <c r="D132" t="s">
        <v>644</v>
      </c>
      <c r="E132" s="9" t="s">
        <v>669</v>
      </c>
      <c r="F132">
        <v>10</v>
      </c>
      <c r="G132" t="b">
        <v>0</v>
      </c>
      <c r="I132" s="1">
        <f t="shared" si="18"/>
        <v>0</v>
      </c>
      <c r="J132" t="str">
        <f t="shared" si="19"/>
        <v>12</v>
      </c>
      <c r="K132" t="str">
        <f t="shared" si="20"/>
        <v/>
      </c>
      <c r="L132" t="b">
        <f t="shared" si="21"/>
        <v>1</v>
      </c>
      <c r="M132" s="1">
        <v>0</v>
      </c>
      <c r="N132" t="s">
        <v>666</v>
      </c>
      <c r="O132" t="s">
        <v>45</v>
      </c>
      <c r="P132" t="b">
        <v>1</v>
      </c>
      <c r="Q132" s="1" t="b">
        <f t="shared" si="14"/>
        <v>1</v>
      </c>
      <c r="R132" t="b">
        <f t="shared" si="15"/>
        <v>1</v>
      </c>
      <c r="S132" t="b">
        <f t="shared" si="16"/>
        <v>1</v>
      </c>
      <c r="T132" t="b">
        <f t="shared" si="17"/>
        <v>1</v>
      </c>
    </row>
    <row r="133" spans="2:20" x14ac:dyDescent="0.15">
      <c r="D133" t="s">
        <v>645</v>
      </c>
      <c r="E133" s="9" t="s">
        <v>670</v>
      </c>
      <c r="F133">
        <v>10</v>
      </c>
      <c r="G133" t="b">
        <v>0</v>
      </c>
      <c r="I133" s="1">
        <f t="shared" si="18"/>
        <v>0</v>
      </c>
      <c r="J133" t="str">
        <f t="shared" si="19"/>
        <v>123</v>
      </c>
      <c r="K133" t="str">
        <f t="shared" si="20"/>
        <v/>
      </c>
      <c r="L133" t="b">
        <f t="shared" si="21"/>
        <v>1</v>
      </c>
      <c r="M133" s="1">
        <v>0</v>
      </c>
      <c r="N133" t="s">
        <v>667</v>
      </c>
      <c r="O133" t="s">
        <v>45</v>
      </c>
      <c r="P133" t="b">
        <v>1</v>
      </c>
      <c r="Q133" s="1" t="b">
        <f t="shared" si="14"/>
        <v>1</v>
      </c>
      <c r="R133" t="b">
        <f t="shared" si="15"/>
        <v>1</v>
      </c>
      <c r="S133" t="b">
        <f t="shared" si="16"/>
        <v>1</v>
      </c>
      <c r="T133" t="b">
        <f t="shared" si="17"/>
        <v>1</v>
      </c>
    </row>
    <row r="134" spans="2:20" x14ac:dyDescent="0.15">
      <c r="B134" s="2" t="s">
        <v>671</v>
      </c>
      <c r="C134" s="2" t="s">
        <v>647</v>
      </c>
      <c r="D134" s="2" t="s">
        <v>643</v>
      </c>
      <c r="E134" s="11" t="s">
        <v>673</v>
      </c>
      <c r="F134" s="2">
        <v>10</v>
      </c>
      <c r="G134" s="2" t="b">
        <v>0</v>
      </c>
      <c r="H134" s="2"/>
      <c r="I134" s="3">
        <f t="shared" si="18"/>
        <v>0</v>
      </c>
      <c r="J134" s="2" t="str">
        <f t="shared" si="19"/>
        <v>1</v>
      </c>
      <c r="K134" s="2" t="str">
        <f t="shared" si="20"/>
        <v>2</v>
      </c>
      <c r="L134" s="2" t="b">
        <f t="shared" si="21"/>
        <v>0</v>
      </c>
      <c r="M134" s="3">
        <v>0</v>
      </c>
      <c r="N134" s="2" t="s">
        <v>44</v>
      </c>
      <c r="O134" s="2" t="s">
        <v>307</v>
      </c>
      <c r="P134" s="2" t="b">
        <v>0</v>
      </c>
      <c r="Q134" s="3" t="b">
        <f t="shared" si="14"/>
        <v>1</v>
      </c>
      <c r="R134" s="2" t="b">
        <f t="shared" si="15"/>
        <v>1</v>
      </c>
      <c r="S134" s="2" t="b">
        <f t="shared" si="16"/>
        <v>1</v>
      </c>
      <c r="T134" s="2" t="b">
        <f t="shared" si="17"/>
        <v>1</v>
      </c>
    </row>
    <row r="135" spans="2:20" x14ac:dyDescent="0.15">
      <c r="C135" t="s">
        <v>672</v>
      </c>
      <c r="D135" t="s">
        <v>644</v>
      </c>
      <c r="E135" s="9" t="s">
        <v>674</v>
      </c>
      <c r="F135">
        <v>10</v>
      </c>
      <c r="G135" t="b">
        <v>0</v>
      </c>
      <c r="I135" s="1">
        <f t="shared" si="18"/>
        <v>0</v>
      </c>
      <c r="J135" t="str">
        <f t="shared" si="19"/>
        <v>1</v>
      </c>
      <c r="K135" t="str">
        <f t="shared" si="20"/>
        <v>23</v>
      </c>
      <c r="L135" t="b">
        <f t="shared" si="21"/>
        <v>0</v>
      </c>
      <c r="M135" s="1">
        <v>0</v>
      </c>
      <c r="N135" t="s">
        <v>44</v>
      </c>
      <c r="O135" t="s">
        <v>17</v>
      </c>
      <c r="P135" t="b">
        <v>0</v>
      </c>
      <c r="Q135" s="1" t="b">
        <f t="shared" si="14"/>
        <v>1</v>
      </c>
      <c r="R135" t="b">
        <f t="shared" si="15"/>
        <v>1</v>
      </c>
      <c r="S135" t="b">
        <f t="shared" si="16"/>
        <v>1</v>
      </c>
      <c r="T135" t="b">
        <f t="shared" si="17"/>
        <v>1</v>
      </c>
    </row>
    <row r="136" spans="2:20" x14ac:dyDescent="0.15">
      <c r="D136" t="s">
        <v>645</v>
      </c>
      <c r="E136" s="9" t="s">
        <v>675</v>
      </c>
      <c r="F136">
        <v>10</v>
      </c>
      <c r="G136" t="b">
        <v>0</v>
      </c>
      <c r="I136" s="1">
        <f t="shared" si="18"/>
        <v>0</v>
      </c>
      <c r="J136" t="str">
        <f t="shared" si="19"/>
        <v>1</v>
      </c>
      <c r="K136" t="str">
        <f t="shared" si="20"/>
        <v>234</v>
      </c>
      <c r="L136" t="b">
        <f t="shared" si="21"/>
        <v>0</v>
      </c>
      <c r="M136" s="1">
        <v>0</v>
      </c>
      <c r="N136" t="s">
        <v>44</v>
      </c>
      <c r="O136" t="s">
        <v>676</v>
      </c>
      <c r="P136" t="b">
        <v>0</v>
      </c>
      <c r="Q136" s="1" t="b">
        <f t="shared" si="14"/>
        <v>1</v>
      </c>
      <c r="R136" t="b">
        <f t="shared" si="15"/>
        <v>1</v>
      </c>
      <c r="S136" t="b">
        <f t="shared" si="16"/>
        <v>1</v>
      </c>
      <c r="T136" t="b">
        <f t="shared" si="17"/>
        <v>1</v>
      </c>
    </row>
    <row r="137" spans="2:20" x14ac:dyDescent="0.15">
      <c r="C137" s="2" t="s">
        <v>647</v>
      </c>
      <c r="D137" s="2" t="s">
        <v>643</v>
      </c>
      <c r="E137" s="11" t="s">
        <v>679</v>
      </c>
      <c r="F137" s="2">
        <v>10</v>
      </c>
      <c r="G137" s="2" t="b">
        <v>0</v>
      </c>
      <c r="H137" s="2"/>
      <c r="I137" s="3">
        <f t="shared" si="18"/>
        <v>0</v>
      </c>
      <c r="J137" s="2" t="str">
        <f t="shared" si="19"/>
        <v>12</v>
      </c>
      <c r="K137" s="2" t="str">
        <f t="shared" si="20"/>
        <v>3</v>
      </c>
      <c r="L137" s="2" t="b">
        <f t="shared" si="21"/>
        <v>0</v>
      </c>
      <c r="M137" s="3">
        <v>0</v>
      </c>
      <c r="N137" s="2" t="s">
        <v>666</v>
      </c>
      <c r="O137" s="2" t="s">
        <v>81</v>
      </c>
      <c r="P137" s="2" t="b">
        <v>0</v>
      </c>
      <c r="Q137" s="3" t="b">
        <f t="shared" ref="Q137:Q145" si="26">getText(I137)=getText(M137)</f>
        <v>1</v>
      </c>
      <c r="R137" s="2" t="b">
        <f t="shared" ref="R137:R145" si="27">getText(J137)=getText(N137)</f>
        <v>1</v>
      </c>
      <c r="S137" s="2" t="b">
        <f t="shared" ref="S137:S145" si="28">getText(K137)=getText(O137)</f>
        <v>1</v>
      </c>
      <c r="T137" s="2" t="b">
        <f t="shared" ref="T137:T145" si="29">getText(L137)=getText(P137)</f>
        <v>1</v>
      </c>
    </row>
    <row r="138" spans="2:20" x14ac:dyDescent="0.15">
      <c r="C138" t="s">
        <v>677</v>
      </c>
      <c r="D138" t="s">
        <v>644</v>
      </c>
      <c r="E138" s="9" t="s">
        <v>680</v>
      </c>
      <c r="F138">
        <v>10</v>
      </c>
      <c r="G138" t="b">
        <v>0</v>
      </c>
      <c r="I138" s="1">
        <f t="shared" si="18"/>
        <v>0</v>
      </c>
      <c r="J138" t="str">
        <f t="shared" si="19"/>
        <v>12</v>
      </c>
      <c r="K138" t="str">
        <f t="shared" si="20"/>
        <v>34</v>
      </c>
      <c r="L138" t="b">
        <f t="shared" si="21"/>
        <v>0</v>
      </c>
      <c r="M138" s="1">
        <v>0</v>
      </c>
      <c r="N138" t="s">
        <v>666</v>
      </c>
      <c r="O138" t="s">
        <v>682</v>
      </c>
      <c r="P138" t="b">
        <v>0</v>
      </c>
      <c r="Q138" s="1" t="b">
        <f t="shared" si="26"/>
        <v>1</v>
      </c>
      <c r="R138" t="b">
        <f t="shared" si="27"/>
        <v>1</v>
      </c>
      <c r="S138" t="b">
        <f t="shared" si="28"/>
        <v>1</v>
      </c>
      <c r="T138" t="b">
        <f t="shared" si="29"/>
        <v>1</v>
      </c>
    </row>
    <row r="139" spans="2:20" x14ac:dyDescent="0.15">
      <c r="D139" t="s">
        <v>645</v>
      </c>
      <c r="E139" s="9" t="s">
        <v>681</v>
      </c>
      <c r="F139">
        <v>10</v>
      </c>
      <c r="G139" t="b">
        <v>0</v>
      </c>
      <c r="I139" s="1">
        <f t="shared" si="18"/>
        <v>0</v>
      </c>
      <c r="J139" t="str">
        <f t="shared" si="19"/>
        <v>12</v>
      </c>
      <c r="K139" t="str">
        <f t="shared" si="20"/>
        <v>345</v>
      </c>
      <c r="L139" t="b">
        <f t="shared" si="21"/>
        <v>0</v>
      </c>
      <c r="M139" s="1">
        <v>0</v>
      </c>
      <c r="N139" t="s">
        <v>666</v>
      </c>
      <c r="O139" t="s">
        <v>683</v>
      </c>
      <c r="P139" t="b">
        <v>0</v>
      </c>
      <c r="Q139" s="1" t="b">
        <f t="shared" si="26"/>
        <v>1</v>
      </c>
      <c r="R139" t="b">
        <f t="shared" si="27"/>
        <v>1</v>
      </c>
      <c r="S139" t="b">
        <f t="shared" si="28"/>
        <v>1</v>
      </c>
      <c r="T139" t="b">
        <f t="shared" si="29"/>
        <v>1</v>
      </c>
    </row>
    <row r="140" spans="2:20" x14ac:dyDescent="0.15">
      <c r="C140" s="2" t="s">
        <v>647</v>
      </c>
      <c r="D140" s="2" t="s">
        <v>643</v>
      </c>
      <c r="E140" s="11" t="s">
        <v>684</v>
      </c>
      <c r="F140" s="2">
        <v>10</v>
      </c>
      <c r="G140" s="2" t="b">
        <v>0</v>
      </c>
      <c r="H140" s="2"/>
      <c r="I140" s="3">
        <f t="shared" si="18"/>
        <v>0</v>
      </c>
      <c r="J140" s="2" t="str">
        <f t="shared" si="19"/>
        <v>123</v>
      </c>
      <c r="K140" s="2" t="str">
        <f t="shared" si="20"/>
        <v>4</v>
      </c>
      <c r="L140" s="2" t="b">
        <f t="shared" si="21"/>
        <v>0</v>
      </c>
      <c r="M140" s="3">
        <v>0</v>
      </c>
      <c r="N140" s="2" t="s">
        <v>667</v>
      </c>
      <c r="O140" s="2" t="s">
        <v>314</v>
      </c>
      <c r="P140" s="2" t="b">
        <v>0</v>
      </c>
      <c r="Q140" s="3" t="b">
        <f t="shared" si="26"/>
        <v>1</v>
      </c>
      <c r="R140" s="2" t="b">
        <f t="shared" si="27"/>
        <v>1</v>
      </c>
      <c r="S140" s="2" t="b">
        <f t="shared" si="28"/>
        <v>1</v>
      </c>
      <c r="T140" s="2" t="b">
        <f t="shared" si="29"/>
        <v>1</v>
      </c>
    </row>
    <row r="141" spans="2:20" x14ac:dyDescent="0.15">
      <c r="C141" t="s">
        <v>678</v>
      </c>
      <c r="D141" t="s">
        <v>644</v>
      </c>
      <c r="E141" s="9" t="s">
        <v>685</v>
      </c>
      <c r="F141">
        <v>10</v>
      </c>
      <c r="G141" t="b">
        <v>0</v>
      </c>
      <c r="I141" s="1">
        <f t="shared" si="18"/>
        <v>0</v>
      </c>
      <c r="J141" t="str">
        <f t="shared" si="19"/>
        <v>123</v>
      </c>
      <c r="K141" t="str">
        <f t="shared" si="20"/>
        <v>45</v>
      </c>
      <c r="L141" t="b">
        <f t="shared" si="21"/>
        <v>0</v>
      </c>
      <c r="M141" s="1">
        <v>0</v>
      </c>
      <c r="N141" t="s">
        <v>667</v>
      </c>
      <c r="O141" t="s">
        <v>687</v>
      </c>
      <c r="P141" t="b">
        <v>0</v>
      </c>
      <c r="Q141" s="1" t="b">
        <f t="shared" si="26"/>
        <v>1</v>
      </c>
      <c r="R141" t="b">
        <f t="shared" si="27"/>
        <v>1</v>
      </c>
      <c r="S141" t="b">
        <f t="shared" si="28"/>
        <v>1</v>
      </c>
      <c r="T141" t="b">
        <f t="shared" si="29"/>
        <v>1</v>
      </c>
    </row>
    <row r="142" spans="2:20" x14ac:dyDescent="0.15">
      <c r="D142" t="s">
        <v>645</v>
      </c>
      <c r="E142" s="9" t="s">
        <v>686</v>
      </c>
      <c r="F142">
        <v>10</v>
      </c>
      <c r="G142" t="b">
        <v>0</v>
      </c>
      <c r="I142" s="1">
        <f t="shared" si="18"/>
        <v>0</v>
      </c>
      <c r="J142" t="str">
        <f t="shared" si="19"/>
        <v>123</v>
      </c>
      <c r="K142" t="str">
        <f t="shared" si="20"/>
        <v>456</v>
      </c>
      <c r="L142" t="b">
        <f t="shared" si="21"/>
        <v>0</v>
      </c>
      <c r="M142" s="1">
        <v>0</v>
      </c>
      <c r="N142" t="s">
        <v>667</v>
      </c>
      <c r="O142" t="s">
        <v>688</v>
      </c>
      <c r="P142" t="b">
        <v>0</v>
      </c>
      <c r="Q142" s="1" t="b">
        <f t="shared" si="26"/>
        <v>1</v>
      </c>
      <c r="R142" t="b">
        <f t="shared" si="27"/>
        <v>1</v>
      </c>
      <c r="S142" t="b">
        <f t="shared" si="28"/>
        <v>1</v>
      </c>
      <c r="T142" t="b">
        <f t="shared" si="29"/>
        <v>1</v>
      </c>
    </row>
    <row r="143" spans="2:20" x14ac:dyDescent="0.15">
      <c r="C143" s="2" t="s">
        <v>648</v>
      </c>
      <c r="D143" s="2" t="s">
        <v>643</v>
      </c>
      <c r="E143" s="11" t="s">
        <v>689</v>
      </c>
      <c r="F143" s="2">
        <v>10</v>
      </c>
      <c r="G143" s="2" t="b">
        <v>0</v>
      </c>
      <c r="H143" s="2"/>
      <c r="I143" s="3">
        <f t="shared" si="18"/>
        <v>0</v>
      </c>
      <c r="J143" s="2" t="str">
        <f t="shared" si="19"/>
        <v>1</v>
      </c>
      <c r="K143" s="2" t="str">
        <f t="shared" si="20"/>
        <v>2</v>
      </c>
      <c r="L143" s="2" t="b">
        <f t="shared" si="21"/>
        <v>1</v>
      </c>
      <c r="M143" s="3">
        <v>0</v>
      </c>
      <c r="N143" s="2" t="s">
        <v>44</v>
      </c>
      <c r="O143" s="2" t="s">
        <v>307</v>
      </c>
      <c r="P143" s="2" t="b">
        <v>1</v>
      </c>
      <c r="Q143" s="3" t="b">
        <f t="shared" si="26"/>
        <v>1</v>
      </c>
      <c r="R143" s="2" t="b">
        <f t="shared" si="27"/>
        <v>1</v>
      </c>
      <c r="S143" s="2" t="b">
        <f t="shared" si="28"/>
        <v>1</v>
      </c>
      <c r="T143" s="2" t="b">
        <f t="shared" si="29"/>
        <v>1</v>
      </c>
    </row>
    <row r="144" spans="2:20" x14ac:dyDescent="0.15">
      <c r="C144" t="s">
        <v>672</v>
      </c>
      <c r="D144" t="s">
        <v>644</v>
      </c>
      <c r="E144" s="9" t="s">
        <v>690</v>
      </c>
      <c r="F144">
        <v>10</v>
      </c>
      <c r="G144" t="b">
        <v>0</v>
      </c>
      <c r="I144" s="1">
        <f t="shared" si="18"/>
        <v>0</v>
      </c>
      <c r="J144" t="str">
        <f t="shared" si="19"/>
        <v>1</v>
      </c>
      <c r="K144" t="str">
        <f t="shared" si="20"/>
        <v>23</v>
      </c>
      <c r="L144" t="b">
        <f t="shared" si="21"/>
        <v>1</v>
      </c>
      <c r="M144" s="1">
        <v>0</v>
      </c>
      <c r="N144" t="s">
        <v>44</v>
      </c>
      <c r="O144" t="s">
        <v>17</v>
      </c>
      <c r="P144" t="b">
        <v>1</v>
      </c>
      <c r="Q144" s="1" t="b">
        <f t="shared" si="26"/>
        <v>1</v>
      </c>
      <c r="R144" t="b">
        <f t="shared" si="27"/>
        <v>1</v>
      </c>
      <c r="S144" t="b">
        <f t="shared" si="28"/>
        <v>1</v>
      </c>
      <c r="T144" t="b">
        <f t="shared" si="29"/>
        <v>1</v>
      </c>
    </row>
    <row r="145" spans="1:20" x14ac:dyDescent="0.15">
      <c r="D145" t="s">
        <v>645</v>
      </c>
      <c r="E145" s="9" t="s">
        <v>691</v>
      </c>
      <c r="F145">
        <v>10</v>
      </c>
      <c r="G145" t="b">
        <v>0</v>
      </c>
      <c r="I145" s="1">
        <f t="shared" si="18"/>
        <v>0</v>
      </c>
      <c r="J145" t="str">
        <f t="shared" si="19"/>
        <v>1</v>
      </c>
      <c r="K145" t="str">
        <f t="shared" si="20"/>
        <v>234</v>
      </c>
      <c r="L145" t="b">
        <f t="shared" si="21"/>
        <v>1</v>
      </c>
      <c r="M145" s="1">
        <v>0</v>
      </c>
      <c r="N145" t="s">
        <v>44</v>
      </c>
      <c r="O145" t="s">
        <v>676</v>
      </c>
      <c r="P145" t="b">
        <v>1</v>
      </c>
      <c r="Q145" s="1" t="b">
        <f t="shared" si="26"/>
        <v>1</v>
      </c>
      <c r="R145" t="b">
        <f t="shared" si="27"/>
        <v>1</v>
      </c>
      <c r="S145" t="b">
        <f t="shared" si="28"/>
        <v>1</v>
      </c>
      <c r="T145" t="b">
        <f t="shared" si="29"/>
        <v>1</v>
      </c>
    </row>
    <row r="146" spans="1:20" x14ac:dyDescent="0.15">
      <c r="C146" s="2" t="s">
        <v>648</v>
      </c>
      <c r="D146" s="2" t="s">
        <v>643</v>
      </c>
      <c r="E146" s="11" t="s">
        <v>692</v>
      </c>
      <c r="F146" s="2">
        <v>10</v>
      </c>
      <c r="G146" s="2" t="b">
        <v>0</v>
      </c>
      <c r="H146" s="2"/>
      <c r="I146" s="3">
        <f t="shared" si="18"/>
        <v>0</v>
      </c>
      <c r="J146" s="2" t="str">
        <f t="shared" si="19"/>
        <v>12</v>
      </c>
      <c r="K146" s="2" t="str">
        <f t="shared" si="20"/>
        <v>3</v>
      </c>
      <c r="L146" s="2" t="b">
        <f t="shared" si="21"/>
        <v>1</v>
      </c>
      <c r="M146" s="3">
        <v>0</v>
      </c>
      <c r="N146" s="2" t="s">
        <v>666</v>
      </c>
      <c r="O146" s="2" t="s">
        <v>81</v>
      </c>
      <c r="P146" s="2" t="b">
        <v>1</v>
      </c>
      <c r="Q146" s="3" t="b">
        <f t="shared" ref="Q146:Q151" si="30">getText(I146)=getText(M146)</f>
        <v>1</v>
      </c>
      <c r="R146" s="2" t="b">
        <f t="shared" ref="R146:R151" si="31">getText(J146)=getText(N146)</f>
        <v>1</v>
      </c>
      <c r="S146" s="2" t="b">
        <f t="shared" ref="S146:S151" si="32">getText(K146)=getText(O146)</f>
        <v>1</v>
      </c>
      <c r="T146" s="2" t="b">
        <f t="shared" ref="T146:T151" si="33">getText(L146)=getText(P146)</f>
        <v>1</v>
      </c>
    </row>
    <row r="147" spans="1:20" x14ac:dyDescent="0.15">
      <c r="C147" t="s">
        <v>677</v>
      </c>
      <c r="D147" t="s">
        <v>644</v>
      </c>
      <c r="E147" s="9" t="s">
        <v>693</v>
      </c>
      <c r="F147">
        <v>10</v>
      </c>
      <c r="G147" t="b">
        <v>0</v>
      </c>
      <c r="I147" s="1">
        <f t="shared" si="18"/>
        <v>0</v>
      </c>
      <c r="J147" t="str">
        <f t="shared" si="19"/>
        <v>12</v>
      </c>
      <c r="K147" t="str">
        <f t="shared" si="20"/>
        <v>34</v>
      </c>
      <c r="L147" t="b">
        <f t="shared" si="21"/>
        <v>1</v>
      </c>
      <c r="M147" s="1">
        <v>0</v>
      </c>
      <c r="N147" t="s">
        <v>666</v>
      </c>
      <c r="O147" t="s">
        <v>682</v>
      </c>
      <c r="P147" t="b">
        <v>1</v>
      </c>
      <c r="Q147" s="1" t="b">
        <f t="shared" si="30"/>
        <v>1</v>
      </c>
      <c r="R147" t="b">
        <f t="shared" si="31"/>
        <v>1</v>
      </c>
      <c r="S147" t="b">
        <f t="shared" si="32"/>
        <v>1</v>
      </c>
      <c r="T147" t="b">
        <f t="shared" si="33"/>
        <v>1</v>
      </c>
    </row>
    <row r="148" spans="1:20" x14ac:dyDescent="0.15">
      <c r="D148" t="s">
        <v>645</v>
      </c>
      <c r="E148" s="9" t="s">
        <v>694</v>
      </c>
      <c r="F148">
        <v>10</v>
      </c>
      <c r="G148" t="b">
        <v>0</v>
      </c>
      <c r="I148" s="1">
        <f t="shared" si="18"/>
        <v>0</v>
      </c>
      <c r="J148" t="str">
        <f t="shared" si="19"/>
        <v>12</v>
      </c>
      <c r="K148" t="str">
        <f t="shared" si="20"/>
        <v>345</v>
      </c>
      <c r="L148" t="b">
        <f t="shared" si="21"/>
        <v>1</v>
      </c>
      <c r="M148" s="1">
        <v>0</v>
      </c>
      <c r="N148" t="s">
        <v>666</v>
      </c>
      <c r="O148" t="s">
        <v>683</v>
      </c>
      <c r="P148" t="b">
        <v>1</v>
      </c>
      <c r="Q148" s="1" t="b">
        <f t="shared" si="30"/>
        <v>1</v>
      </c>
      <c r="R148" t="b">
        <f t="shared" si="31"/>
        <v>1</v>
      </c>
      <c r="S148" t="b">
        <f t="shared" si="32"/>
        <v>1</v>
      </c>
      <c r="T148" t="b">
        <f t="shared" si="33"/>
        <v>1</v>
      </c>
    </row>
    <row r="149" spans="1:20" x14ac:dyDescent="0.15">
      <c r="C149" s="2" t="s">
        <v>648</v>
      </c>
      <c r="D149" s="2" t="s">
        <v>643</v>
      </c>
      <c r="E149" s="11" t="s">
        <v>695</v>
      </c>
      <c r="F149" s="2">
        <v>10</v>
      </c>
      <c r="G149" s="2" t="b">
        <v>0</v>
      </c>
      <c r="H149" s="2"/>
      <c r="I149" s="3">
        <f t="shared" si="18"/>
        <v>0</v>
      </c>
      <c r="J149" s="2" t="str">
        <f t="shared" si="19"/>
        <v>123</v>
      </c>
      <c r="K149" s="2" t="str">
        <f t="shared" si="20"/>
        <v>4</v>
      </c>
      <c r="L149" s="2" t="b">
        <f t="shared" si="21"/>
        <v>1</v>
      </c>
      <c r="M149" s="3">
        <v>0</v>
      </c>
      <c r="N149" s="2" t="s">
        <v>667</v>
      </c>
      <c r="O149" s="2" t="s">
        <v>314</v>
      </c>
      <c r="P149" s="2" t="b">
        <v>1</v>
      </c>
      <c r="Q149" s="3" t="b">
        <f t="shared" si="30"/>
        <v>1</v>
      </c>
      <c r="R149" s="2" t="b">
        <f t="shared" si="31"/>
        <v>1</v>
      </c>
      <c r="S149" s="2" t="b">
        <f t="shared" si="32"/>
        <v>1</v>
      </c>
      <c r="T149" s="2" t="b">
        <f t="shared" si="33"/>
        <v>1</v>
      </c>
    </row>
    <row r="150" spans="1:20" x14ac:dyDescent="0.15">
      <c r="C150" t="s">
        <v>678</v>
      </c>
      <c r="D150" t="s">
        <v>644</v>
      </c>
      <c r="E150" s="9" t="s">
        <v>696</v>
      </c>
      <c r="F150">
        <v>10</v>
      </c>
      <c r="G150" t="b">
        <v>0</v>
      </c>
      <c r="I150" s="1">
        <f t="shared" si="18"/>
        <v>0</v>
      </c>
      <c r="J150" t="str">
        <f t="shared" si="19"/>
        <v>123</v>
      </c>
      <c r="K150" t="str">
        <f t="shared" si="20"/>
        <v>45</v>
      </c>
      <c r="L150" t="b">
        <f t="shared" si="21"/>
        <v>1</v>
      </c>
      <c r="M150" s="1">
        <v>0</v>
      </c>
      <c r="N150" t="s">
        <v>667</v>
      </c>
      <c r="O150" t="s">
        <v>687</v>
      </c>
      <c r="P150" t="b">
        <v>1</v>
      </c>
      <c r="Q150" s="1" t="b">
        <f t="shared" si="30"/>
        <v>1</v>
      </c>
      <c r="R150" t="b">
        <f t="shared" si="31"/>
        <v>1</v>
      </c>
      <c r="S150" t="b">
        <f t="shared" si="32"/>
        <v>1</v>
      </c>
      <c r="T150" t="b">
        <f t="shared" si="33"/>
        <v>1</v>
      </c>
    </row>
    <row r="151" spans="1:20" x14ac:dyDescent="0.15">
      <c r="D151" t="s">
        <v>645</v>
      </c>
      <c r="E151" s="9" t="s">
        <v>697</v>
      </c>
      <c r="F151">
        <v>10</v>
      </c>
      <c r="G151" t="b">
        <v>0</v>
      </c>
      <c r="I151" s="1">
        <f t="shared" si="18"/>
        <v>0</v>
      </c>
      <c r="J151" t="str">
        <f t="shared" si="19"/>
        <v>123</v>
      </c>
      <c r="K151" t="str">
        <f t="shared" si="20"/>
        <v>456</v>
      </c>
      <c r="L151" t="b">
        <f t="shared" si="21"/>
        <v>1</v>
      </c>
      <c r="M151" s="1">
        <v>0</v>
      </c>
      <c r="N151" t="s">
        <v>667</v>
      </c>
      <c r="O151" t="s">
        <v>688</v>
      </c>
      <c r="P151" t="b">
        <v>1</v>
      </c>
      <c r="Q151" s="1" t="b">
        <f t="shared" si="30"/>
        <v>1</v>
      </c>
      <c r="R151" t="b">
        <f t="shared" si="31"/>
        <v>1</v>
      </c>
      <c r="S151" t="b">
        <f t="shared" si="32"/>
        <v>1</v>
      </c>
      <c r="T151" t="b">
        <f t="shared" si="33"/>
        <v>1</v>
      </c>
    </row>
    <row r="152" spans="1:20" x14ac:dyDescent="0.15">
      <c r="B152" s="2" t="s">
        <v>698</v>
      </c>
      <c r="C152" s="2" t="s">
        <v>699</v>
      </c>
      <c r="D152" s="2"/>
      <c r="E152" s="11" t="s">
        <v>701</v>
      </c>
      <c r="F152" s="2">
        <v>10</v>
      </c>
      <c r="G152" s="2" t="b">
        <v>0</v>
      </c>
      <c r="H152" s="2"/>
      <c r="I152" s="3">
        <f t="shared" ref="I152:I155" si="34">TESTseparateToIntAndFrc(E152,F152,G152)</f>
        <v>0</v>
      </c>
      <c r="J152" s="2" t="str">
        <f t="shared" ref="J152:J155" si="35">TESTseparateToIntAndFrcByRef1(E152,F152,G152)</f>
        <v>001</v>
      </c>
      <c r="K152" s="2" t="str">
        <f t="shared" ref="K152:K155" si="36">TESTseparateToIntAndFrcByRef2(E152,F152,G152)</f>
        <v>100</v>
      </c>
      <c r="L152" s="2" t="b">
        <f t="shared" ref="L152:L155" si="37">TESTseparateToIntAndFrcByRef3(E152,F152,G152)</f>
        <v>0</v>
      </c>
      <c r="M152" s="3">
        <v>0</v>
      </c>
      <c r="N152" s="2" t="s">
        <v>82</v>
      </c>
      <c r="O152" s="2" t="s">
        <v>21</v>
      </c>
      <c r="P152" s="2" t="b">
        <v>0</v>
      </c>
      <c r="Q152" s="3" t="b">
        <f t="shared" ref="Q152:Q156" si="38">getText(I152)=getText(M152)</f>
        <v>1</v>
      </c>
      <c r="R152" s="2" t="b">
        <f t="shared" ref="R152:R156" si="39">getText(J152)=getText(N152)</f>
        <v>1</v>
      </c>
      <c r="S152" s="2" t="b">
        <f t="shared" ref="S152:S156" si="40">getText(K152)=getText(O152)</f>
        <v>1</v>
      </c>
      <c r="T152" s="2" t="b">
        <f t="shared" ref="T152:T156" si="41">getText(L152)=getText(P152)</f>
        <v>1</v>
      </c>
    </row>
    <row r="153" spans="1:20" x14ac:dyDescent="0.15">
      <c r="C153" t="s">
        <v>700</v>
      </c>
      <c r="E153" s="9" t="s">
        <v>701</v>
      </c>
      <c r="F153">
        <v>10</v>
      </c>
      <c r="G153" t="b">
        <v>1</v>
      </c>
      <c r="I153" s="1">
        <f t="shared" si="34"/>
        <v>0</v>
      </c>
      <c r="J153" t="str">
        <f t="shared" si="35"/>
        <v>1</v>
      </c>
      <c r="K153" t="str">
        <f t="shared" si="36"/>
        <v>1</v>
      </c>
      <c r="L153" t="b">
        <f t="shared" si="37"/>
        <v>0</v>
      </c>
      <c r="M153" s="1">
        <v>0</v>
      </c>
      <c r="N153" t="s">
        <v>44</v>
      </c>
      <c r="O153" t="s">
        <v>44</v>
      </c>
      <c r="P153" t="b">
        <v>0</v>
      </c>
      <c r="Q153" s="1" t="b">
        <f t="shared" si="38"/>
        <v>1</v>
      </c>
      <c r="R153" t="b">
        <f t="shared" si="39"/>
        <v>1</v>
      </c>
      <c r="S153" t="b">
        <f t="shared" si="40"/>
        <v>1</v>
      </c>
      <c r="T153" t="b">
        <f t="shared" si="41"/>
        <v>1</v>
      </c>
    </row>
    <row r="154" spans="1:20" x14ac:dyDescent="0.15">
      <c r="C154" t="s">
        <v>702</v>
      </c>
      <c r="E154" s="9" t="s">
        <v>703</v>
      </c>
      <c r="F154">
        <v>10</v>
      </c>
      <c r="G154" t="b">
        <v>1</v>
      </c>
      <c r="I154" s="1">
        <f t="shared" si="34"/>
        <v>0</v>
      </c>
      <c r="J154" t="str">
        <f t="shared" si="35"/>
        <v>0</v>
      </c>
      <c r="K154" t="str">
        <f t="shared" si="36"/>
        <v>1</v>
      </c>
      <c r="L154" t="b">
        <f t="shared" si="37"/>
        <v>0</v>
      </c>
      <c r="M154" s="1">
        <v>0</v>
      </c>
      <c r="N154" t="s">
        <v>14</v>
      </c>
      <c r="O154" t="s">
        <v>44</v>
      </c>
      <c r="P154" t="b">
        <v>0</v>
      </c>
      <c r="Q154" s="1" t="b">
        <f t="shared" si="38"/>
        <v>1</v>
      </c>
      <c r="R154" t="b">
        <f t="shared" si="39"/>
        <v>1</v>
      </c>
      <c r="S154" t="b">
        <f t="shared" si="40"/>
        <v>1</v>
      </c>
      <c r="T154" t="b">
        <f t="shared" si="41"/>
        <v>1</v>
      </c>
    </row>
    <row r="155" spans="1:20" x14ac:dyDescent="0.15">
      <c r="C155" t="s">
        <v>704</v>
      </c>
      <c r="E155" s="9" t="s">
        <v>706</v>
      </c>
      <c r="F155">
        <v>10</v>
      </c>
      <c r="G155" t="b">
        <v>1</v>
      </c>
      <c r="I155" s="1">
        <f t="shared" si="34"/>
        <v>0</v>
      </c>
      <c r="J155" t="str">
        <f t="shared" si="35"/>
        <v>1</v>
      </c>
      <c r="K155" t="str">
        <f t="shared" si="36"/>
        <v/>
      </c>
      <c r="L155" t="b">
        <f t="shared" si="37"/>
        <v>0</v>
      </c>
      <c r="M155" s="1">
        <v>0</v>
      </c>
      <c r="N155" t="s">
        <v>44</v>
      </c>
      <c r="O155" t="s">
        <v>45</v>
      </c>
      <c r="P155" t="b">
        <v>0</v>
      </c>
      <c r="Q155" s="1" t="b">
        <f t="shared" si="38"/>
        <v>1</v>
      </c>
      <c r="R155" t="b">
        <f t="shared" si="39"/>
        <v>1</v>
      </c>
      <c r="S155" t="b">
        <f t="shared" si="40"/>
        <v>1</v>
      </c>
      <c r="T155" t="b">
        <f t="shared" si="41"/>
        <v>1</v>
      </c>
    </row>
    <row r="156" spans="1:20" x14ac:dyDescent="0.15">
      <c r="C156" t="s">
        <v>705</v>
      </c>
      <c r="E156" s="9" t="s">
        <v>707</v>
      </c>
      <c r="F156">
        <v>10</v>
      </c>
      <c r="G156" t="b">
        <v>1</v>
      </c>
      <c r="I156" s="1">
        <f t="shared" ref="I156" si="42">TESTseparateToIntAndFrc(E156,F156,G156)</f>
        <v>0</v>
      </c>
      <c r="J156" t="str">
        <f t="shared" ref="J156" si="43">TESTseparateToIntAndFrcByRef1(E156,F156,G156)</f>
        <v>0</v>
      </c>
      <c r="K156" t="str">
        <f t="shared" ref="K156" si="44">TESTseparateToIntAndFrcByRef2(E156,F156,G156)</f>
        <v/>
      </c>
      <c r="L156" t="b">
        <f t="shared" ref="L156" si="45">TESTseparateToIntAndFrcByRef3(E156,F156,G156)</f>
        <v>0</v>
      </c>
      <c r="M156" s="1">
        <v>0</v>
      </c>
      <c r="N156" t="s">
        <v>14</v>
      </c>
      <c r="O156" t="s">
        <v>45</v>
      </c>
      <c r="P156" t="b">
        <v>0</v>
      </c>
      <c r="Q156" s="1" t="b">
        <f t="shared" si="38"/>
        <v>1</v>
      </c>
      <c r="R156" t="b">
        <f t="shared" si="39"/>
        <v>1</v>
      </c>
      <c r="S156" t="b">
        <f t="shared" si="40"/>
        <v>1</v>
      </c>
      <c r="T156" t="b">
        <f t="shared" si="41"/>
        <v>1</v>
      </c>
    </row>
    <row r="157" spans="1:20" s="2" customFormat="1" x14ac:dyDescent="0.15">
      <c r="A157" s="2" t="s">
        <v>572</v>
      </c>
      <c r="B157" s="2" t="s">
        <v>580</v>
      </c>
      <c r="D157" s="2" t="s">
        <v>573</v>
      </c>
      <c r="E157" s="3">
        <v>1</v>
      </c>
      <c r="F157" s="2">
        <v>1</v>
      </c>
      <c r="I157" s="3">
        <f>TESTcheckNPntStr(E157,F157)</f>
        <v>0</v>
      </c>
      <c r="J157" s="2" t="b">
        <f>TESTcheckNPntStrByRef1(E157,F157)</f>
        <v>0</v>
      </c>
      <c r="K157" s="2">
        <f>TESTcheckNPntStrByRef2(E157,F157)</f>
        <v>0</v>
      </c>
      <c r="L157" s="2" t="e">
        <f>TESTcheckNPntStrByRef3(E157,F157)</f>
        <v>#NUM!</v>
      </c>
      <c r="M157" s="3">
        <v>0</v>
      </c>
      <c r="N157" s="2" t="b">
        <v>0</v>
      </c>
      <c r="O157" s="2">
        <v>0</v>
      </c>
      <c r="P157" s="2" t="e">
        <v>#NUM!</v>
      </c>
      <c r="Q157" s="3" t="b">
        <f t="shared" ref="Q157:R161" si="46">getText(I157)=getText(M157)</f>
        <v>1</v>
      </c>
      <c r="R157" s="2" t="b">
        <f t="shared" si="46"/>
        <v>1</v>
      </c>
      <c r="S157" s="2" t="b">
        <f t="shared" ref="S157:T161" si="47">getText(K157)=getText(O157)</f>
        <v>1</v>
      </c>
      <c r="T157" s="2" t="b">
        <f t="shared" si="47"/>
        <v>1</v>
      </c>
    </row>
    <row r="158" spans="1:20" x14ac:dyDescent="0.15">
      <c r="D158" t="s">
        <v>574</v>
      </c>
      <c r="E158" s="1">
        <v>1</v>
      </c>
      <c r="F158">
        <v>2</v>
      </c>
      <c r="I158" s="1">
        <f t="shared" ref="I158:I161" si="48">TESTcheckNPntStr(E158,F158)</f>
        <v>2</v>
      </c>
      <c r="J158" t="b">
        <f>TESTcheckNPntStrByRef1(E158,F158)</f>
        <v>0</v>
      </c>
      <c r="K158">
        <f t="shared" ref="K158:K161" si="49">TESTcheckNPntStrByRef2(E158,F158)</f>
        <v>0</v>
      </c>
      <c r="L158">
        <f t="shared" ref="L158:L172" si="50">TESTcheckNPntStrByRef3(E158,F158)</f>
        <v>0</v>
      </c>
      <c r="M158" s="1">
        <v>2</v>
      </c>
      <c r="N158" t="b">
        <v>0</v>
      </c>
      <c r="O158">
        <v>0</v>
      </c>
      <c r="P158">
        <v>0</v>
      </c>
      <c r="Q158" s="1" t="b">
        <f t="shared" si="46"/>
        <v>1</v>
      </c>
      <c r="R158" t="b">
        <f t="shared" si="46"/>
        <v>1</v>
      </c>
      <c r="S158" t="b">
        <f t="shared" si="47"/>
        <v>1</v>
      </c>
      <c r="T158" t="b">
        <f t="shared" si="47"/>
        <v>1</v>
      </c>
    </row>
    <row r="159" spans="1:20" x14ac:dyDescent="0.15">
      <c r="D159" t="s">
        <v>575</v>
      </c>
      <c r="E159" s="1">
        <v>1</v>
      </c>
      <c r="F159">
        <v>10</v>
      </c>
      <c r="I159" s="1">
        <f t="shared" si="48"/>
        <v>2</v>
      </c>
      <c r="J159" t="b">
        <f t="shared" ref="J159:J161" si="51">TESTcheckNPntStrByRef1(E159,F159)</f>
        <v>0</v>
      </c>
      <c r="K159">
        <f t="shared" si="49"/>
        <v>0</v>
      </c>
      <c r="L159">
        <f t="shared" si="50"/>
        <v>0</v>
      </c>
      <c r="M159" s="1">
        <v>2</v>
      </c>
      <c r="N159" t="b">
        <v>0</v>
      </c>
      <c r="O159">
        <v>0</v>
      </c>
      <c r="P159">
        <v>0</v>
      </c>
      <c r="Q159" s="1" t="b">
        <f t="shared" si="46"/>
        <v>1</v>
      </c>
      <c r="R159" t="b">
        <f t="shared" si="46"/>
        <v>1</v>
      </c>
      <c r="S159" t="b">
        <f t="shared" si="47"/>
        <v>1</v>
      </c>
      <c r="T159" t="b">
        <f t="shared" si="47"/>
        <v>1</v>
      </c>
    </row>
    <row r="160" spans="1:20" x14ac:dyDescent="0.15">
      <c r="D160" t="s">
        <v>576</v>
      </c>
      <c r="E160" s="1">
        <v>1</v>
      </c>
      <c r="F160">
        <v>16</v>
      </c>
      <c r="I160" s="1">
        <f t="shared" si="48"/>
        <v>2</v>
      </c>
      <c r="J160" t="b">
        <f t="shared" si="51"/>
        <v>0</v>
      </c>
      <c r="K160">
        <f t="shared" si="49"/>
        <v>0</v>
      </c>
      <c r="L160">
        <f t="shared" si="50"/>
        <v>0</v>
      </c>
      <c r="M160" s="1">
        <v>2</v>
      </c>
      <c r="N160" t="b">
        <v>0</v>
      </c>
      <c r="O160">
        <v>0</v>
      </c>
      <c r="P160">
        <v>0</v>
      </c>
      <c r="Q160" s="1" t="b">
        <f t="shared" si="46"/>
        <v>1</v>
      </c>
      <c r="R160" t="b">
        <f t="shared" si="46"/>
        <v>1</v>
      </c>
      <c r="S160" t="b">
        <f t="shared" si="47"/>
        <v>1</v>
      </c>
      <c r="T160" t="b">
        <f t="shared" si="47"/>
        <v>1</v>
      </c>
    </row>
    <row r="161" spans="2:20" x14ac:dyDescent="0.15">
      <c r="D161" t="s">
        <v>577</v>
      </c>
      <c r="E161" s="1">
        <v>1</v>
      </c>
      <c r="F161">
        <v>17</v>
      </c>
      <c r="I161" s="1">
        <f t="shared" si="48"/>
        <v>0</v>
      </c>
      <c r="J161" t="b">
        <f t="shared" si="51"/>
        <v>0</v>
      </c>
      <c r="K161">
        <f t="shared" si="49"/>
        <v>0</v>
      </c>
      <c r="L161" t="e">
        <f t="shared" si="50"/>
        <v>#NUM!</v>
      </c>
      <c r="M161" s="1">
        <v>0</v>
      </c>
      <c r="N161" t="b">
        <v>0</v>
      </c>
      <c r="O161">
        <v>0</v>
      </c>
      <c r="P161" t="e">
        <v>#NUM!</v>
      </c>
      <c r="Q161" s="1" t="b">
        <f t="shared" si="46"/>
        <v>1</v>
      </c>
      <c r="R161" t="b">
        <f t="shared" si="46"/>
        <v>1</v>
      </c>
      <c r="S161" t="b">
        <f t="shared" si="47"/>
        <v>1</v>
      </c>
      <c r="T161" t="b">
        <f t="shared" si="47"/>
        <v>1</v>
      </c>
    </row>
    <row r="162" spans="2:20" x14ac:dyDescent="0.15">
      <c r="B162" s="2" t="s">
        <v>579</v>
      </c>
      <c r="C162" s="2"/>
      <c r="D162" s="2"/>
      <c r="E162" s="3"/>
      <c r="F162" s="2">
        <v>10</v>
      </c>
      <c r="G162" s="2"/>
      <c r="H162" s="2"/>
      <c r="I162" s="3">
        <f t="shared" ref="I162" si="52">TESTcheckNPntStr(E162,F162)</f>
        <v>0</v>
      </c>
      <c r="J162" s="2" t="b">
        <f t="shared" ref="J162" si="53">TESTcheckNPntStrByRef1(E162,F162)</f>
        <v>0</v>
      </c>
      <c r="K162" s="2">
        <f t="shared" ref="K162" si="54">TESTcheckNPntStrByRef2(E162,F162)</f>
        <v>0</v>
      </c>
      <c r="L162" s="2" t="e">
        <f t="shared" si="50"/>
        <v>#NULL!</v>
      </c>
      <c r="M162" s="3">
        <v>0</v>
      </c>
      <c r="N162" s="2" t="b">
        <v>0</v>
      </c>
      <c r="O162" s="2">
        <v>0</v>
      </c>
      <c r="P162" s="2" t="e">
        <v>#NULL!</v>
      </c>
      <c r="Q162" s="3" t="b">
        <f t="shared" ref="Q162" si="55">getText(I162)=getText(M162)</f>
        <v>1</v>
      </c>
      <c r="R162" s="2" t="b">
        <f t="shared" ref="R162" si="56">getText(J162)=getText(N162)</f>
        <v>1</v>
      </c>
      <c r="S162" s="2" t="b">
        <f t="shared" ref="S162:T162" si="57">getText(K162)=getText(O162)</f>
        <v>1</v>
      </c>
      <c r="T162" s="2" t="b">
        <f t="shared" si="57"/>
        <v>1</v>
      </c>
    </row>
    <row r="163" spans="2:20" x14ac:dyDescent="0.15">
      <c r="B163" s="2" t="s">
        <v>578</v>
      </c>
      <c r="C163" s="2" t="s">
        <v>583</v>
      </c>
      <c r="D163" s="2" t="s">
        <v>574</v>
      </c>
      <c r="E163" s="3">
        <v>0</v>
      </c>
      <c r="F163" s="2">
        <v>2</v>
      </c>
      <c r="G163" s="2"/>
      <c r="H163" s="2"/>
      <c r="I163" s="3">
        <f t="shared" ref="I163:I167" si="58">TESTcheckNPntStr(E163,F163)</f>
        <v>2</v>
      </c>
      <c r="J163" s="2" t="b">
        <f t="shared" ref="J163:J167" si="59">TESTcheckNPntStrByRef1(E163,F163)</f>
        <v>0</v>
      </c>
      <c r="K163" s="2">
        <f t="shared" ref="K163:K167" si="60">TESTcheckNPntStrByRef2(E163,F163)</f>
        <v>0</v>
      </c>
      <c r="L163" s="2">
        <f t="shared" si="50"/>
        <v>0</v>
      </c>
      <c r="M163" s="3">
        <v>2</v>
      </c>
      <c r="N163" s="2" t="b">
        <v>0</v>
      </c>
      <c r="O163" s="2">
        <v>0</v>
      </c>
      <c r="P163" s="2">
        <v>0</v>
      </c>
      <c r="Q163" s="3" t="b">
        <f t="shared" ref="Q163" si="61">getText(I163)=getText(M163)</f>
        <v>1</v>
      </c>
      <c r="R163" s="2" t="b">
        <f t="shared" ref="R163" si="62">getText(J163)=getText(N163)</f>
        <v>1</v>
      </c>
      <c r="S163" s="2" t="b">
        <f t="shared" ref="S163:T163" si="63">getText(K163)=getText(O163)</f>
        <v>1</v>
      </c>
      <c r="T163" s="2" t="b">
        <f t="shared" si="63"/>
        <v>1</v>
      </c>
    </row>
    <row r="164" spans="2:20" x14ac:dyDescent="0.15">
      <c r="B164" s="6"/>
      <c r="C164" s="6"/>
      <c r="D164" s="7" t="s">
        <v>581</v>
      </c>
      <c r="E164" s="1">
        <v>0</v>
      </c>
      <c r="F164" s="7">
        <v>9</v>
      </c>
      <c r="G164" s="6"/>
      <c r="H164" s="6"/>
      <c r="I164" s="1">
        <f t="shared" ref="I164" si="64">TESTcheckNPntStr(E164,F164)</f>
        <v>2</v>
      </c>
      <c r="J164" s="6" t="b">
        <f t="shared" ref="J164" si="65">TESTcheckNPntStrByRef1(E164,F164)</f>
        <v>0</v>
      </c>
      <c r="K164" s="6">
        <f t="shared" ref="K164" si="66">TESTcheckNPntStrByRef2(E164,F164)</f>
        <v>0</v>
      </c>
      <c r="L164" s="6">
        <f t="shared" ref="L164" si="67">TESTcheckNPntStrByRef3(E164,F164)</f>
        <v>0</v>
      </c>
      <c r="M164" s="1">
        <v>2</v>
      </c>
      <c r="N164" s="6" t="b">
        <v>0</v>
      </c>
      <c r="O164" s="6">
        <v>0</v>
      </c>
      <c r="P164" s="6">
        <v>0</v>
      </c>
      <c r="Q164" s="1" t="b">
        <f t="shared" ref="Q164:Q179" si="68">getText(I164)=getText(M164)</f>
        <v>1</v>
      </c>
      <c r="R164" s="6" t="b">
        <f t="shared" ref="R164:R179" si="69">getText(J164)=getText(N164)</f>
        <v>1</v>
      </c>
      <c r="S164" s="6" t="b">
        <f t="shared" ref="S164:S179" si="70">getText(K164)=getText(O164)</f>
        <v>1</v>
      </c>
      <c r="T164" s="6" t="b">
        <f t="shared" ref="T164:T179" si="71">getText(L164)=getText(P164)</f>
        <v>1</v>
      </c>
    </row>
    <row r="165" spans="2:20" x14ac:dyDescent="0.15">
      <c r="D165" t="s">
        <v>575</v>
      </c>
      <c r="E165" s="1">
        <v>0</v>
      </c>
      <c r="F165" s="7">
        <v>10</v>
      </c>
      <c r="I165" s="1">
        <f t="shared" si="58"/>
        <v>2</v>
      </c>
      <c r="J165" t="b">
        <f t="shared" si="59"/>
        <v>0</v>
      </c>
      <c r="K165">
        <f t="shared" si="60"/>
        <v>0</v>
      </c>
      <c r="L165">
        <f t="shared" si="50"/>
        <v>0</v>
      </c>
      <c r="M165" s="1">
        <v>2</v>
      </c>
      <c r="N165" t="b">
        <v>0</v>
      </c>
      <c r="O165">
        <v>0</v>
      </c>
      <c r="P165">
        <v>0</v>
      </c>
      <c r="Q165" s="1" t="b">
        <f t="shared" si="68"/>
        <v>1</v>
      </c>
      <c r="R165" t="b">
        <f t="shared" si="69"/>
        <v>1</v>
      </c>
      <c r="S165" t="b">
        <f t="shared" si="70"/>
        <v>1</v>
      </c>
      <c r="T165" t="b">
        <f t="shared" si="71"/>
        <v>1</v>
      </c>
    </row>
    <row r="166" spans="2:20" x14ac:dyDescent="0.15">
      <c r="D166" t="s">
        <v>582</v>
      </c>
      <c r="E166" s="1">
        <v>0</v>
      </c>
      <c r="F166" s="7">
        <v>11</v>
      </c>
      <c r="I166" s="1">
        <f t="shared" si="58"/>
        <v>2</v>
      </c>
      <c r="J166" t="b">
        <f t="shared" si="59"/>
        <v>0</v>
      </c>
      <c r="K166">
        <f t="shared" si="60"/>
        <v>0</v>
      </c>
      <c r="L166">
        <f t="shared" si="50"/>
        <v>0</v>
      </c>
      <c r="M166" s="1">
        <v>2</v>
      </c>
      <c r="N166" t="b">
        <v>0</v>
      </c>
      <c r="O166">
        <v>0</v>
      </c>
      <c r="P166">
        <v>0</v>
      </c>
      <c r="Q166" s="1" t="b">
        <f t="shared" si="68"/>
        <v>1</v>
      </c>
      <c r="R166" t="b">
        <f t="shared" si="69"/>
        <v>1</v>
      </c>
      <c r="S166" t="b">
        <f t="shared" si="70"/>
        <v>1</v>
      </c>
      <c r="T166" t="b">
        <f t="shared" si="71"/>
        <v>1</v>
      </c>
    </row>
    <row r="167" spans="2:20" x14ac:dyDescent="0.15">
      <c r="D167" t="s">
        <v>576</v>
      </c>
      <c r="E167" s="1">
        <v>0</v>
      </c>
      <c r="F167" s="7">
        <v>16</v>
      </c>
      <c r="I167" s="1">
        <f t="shared" si="58"/>
        <v>2</v>
      </c>
      <c r="J167" t="b">
        <f t="shared" si="59"/>
        <v>0</v>
      </c>
      <c r="K167">
        <f t="shared" si="60"/>
        <v>0</v>
      </c>
      <c r="L167">
        <f t="shared" si="50"/>
        <v>0</v>
      </c>
      <c r="M167" s="1">
        <v>2</v>
      </c>
      <c r="N167" t="b">
        <v>0</v>
      </c>
      <c r="O167">
        <v>0</v>
      </c>
      <c r="P167">
        <v>0</v>
      </c>
      <c r="Q167" s="1" t="b">
        <f t="shared" si="68"/>
        <v>1</v>
      </c>
      <c r="R167" t="b">
        <f t="shared" si="69"/>
        <v>1</v>
      </c>
      <c r="S167" t="b">
        <f t="shared" si="70"/>
        <v>1</v>
      </c>
      <c r="T167" t="b">
        <f t="shared" si="71"/>
        <v>1</v>
      </c>
    </row>
    <row r="168" spans="2:20" x14ac:dyDescent="0.15">
      <c r="C168" s="2" t="s">
        <v>584</v>
      </c>
      <c r="D168" s="2" t="s">
        <v>574</v>
      </c>
      <c r="E168" s="11">
        <v>1</v>
      </c>
      <c r="F168" s="2">
        <v>2</v>
      </c>
      <c r="G168" s="2"/>
      <c r="H168" s="2"/>
      <c r="I168" s="3">
        <f t="shared" ref="I168:I177" si="72">TESTcheckNPntStr(E168,F168)</f>
        <v>2</v>
      </c>
      <c r="J168" s="2" t="b">
        <f t="shared" ref="J168:J177" si="73">TESTcheckNPntStrByRef1(E168,F168)</f>
        <v>0</v>
      </c>
      <c r="K168" s="2">
        <f t="shared" ref="K168:K177" si="74">TESTcheckNPntStrByRef2(E168,F168)</f>
        <v>0</v>
      </c>
      <c r="L168" s="2">
        <f t="shared" si="50"/>
        <v>0</v>
      </c>
      <c r="M168" s="3">
        <v>2</v>
      </c>
      <c r="N168" s="2" t="b">
        <v>0</v>
      </c>
      <c r="O168" s="2">
        <v>0</v>
      </c>
      <c r="P168" s="2">
        <v>0</v>
      </c>
      <c r="Q168" s="3" t="b">
        <f t="shared" si="68"/>
        <v>1</v>
      </c>
      <c r="R168" s="2" t="b">
        <f t="shared" si="69"/>
        <v>1</v>
      </c>
      <c r="S168" s="2" t="b">
        <f t="shared" si="70"/>
        <v>1</v>
      </c>
      <c r="T168" s="2" t="b">
        <f t="shared" si="71"/>
        <v>1</v>
      </c>
    </row>
    <row r="169" spans="2:20" x14ac:dyDescent="0.15">
      <c r="C169" s="6"/>
      <c r="D169" s="7" t="s">
        <v>581</v>
      </c>
      <c r="E169" s="9" t="s">
        <v>605</v>
      </c>
      <c r="F169" s="7">
        <v>9</v>
      </c>
      <c r="G169" s="6"/>
      <c r="H169" s="6"/>
      <c r="I169" s="1">
        <f t="shared" ref="I169" si="75">TESTcheckNPntStr(E169,F169)</f>
        <v>2</v>
      </c>
      <c r="J169" s="6" t="b">
        <f t="shared" ref="J169" si="76">TESTcheckNPntStrByRef1(E169,F169)</f>
        <v>0</v>
      </c>
      <c r="K169" s="6">
        <f t="shared" ref="K169" si="77">TESTcheckNPntStrByRef2(E169,F169)</f>
        <v>0</v>
      </c>
      <c r="L169" s="6">
        <f t="shared" ref="L169" si="78">TESTcheckNPntStrByRef3(E169,F169)</f>
        <v>0</v>
      </c>
      <c r="M169" s="1">
        <v>2</v>
      </c>
      <c r="N169" s="6" t="b">
        <v>0</v>
      </c>
      <c r="O169" s="6">
        <v>0</v>
      </c>
      <c r="P169" s="6">
        <v>0</v>
      </c>
      <c r="Q169" s="1" t="b">
        <f t="shared" si="68"/>
        <v>1</v>
      </c>
      <c r="R169" s="6" t="b">
        <f t="shared" si="69"/>
        <v>1</v>
      </c>
      <c r="S169" s="6" t="b">
        <f t="shared" si="70"/>
        <v>1</v>
      </c>
      <c r="T169" s="6" t="b">
        <f t="shared" si="71"/>
        <v>1</v>
      </c>
    </row>
    <row r="170" spans="2:20" x14ac:dyDescent="0.15">
      <c r="D170" t="s">
        <v>575</v>
      </c>
      <c r="E170" s="9">
        <v>9</v>
      </c>
      <c r="F170" s="7">
        <v>10</v>
      </c>
      <c r="I170" s="1">
        <f t="shared" si="72"/>
        <v>2</v>
      </c>
      <c r="J170" t="b">
        <f t="shared" si="73"/>
        <v>0</v>
      </c>
      <c r="K170">
        <f t="shared" si="74"/>
        <v>0</v>
      </c>
      <c r="L170">
        <f t="shared" si="50"/>
        <v>0</v>
      </c>
      <c r="M170" s="1">
        <v>2</v>
      </c>
      <c r="N170" t="b">
        <v>0</v>
      </c>
      <c r="O170">
        <v>0</v>
      </c>
      <c r="P170">
        <v>0</v>
      </c>
      <c r="Q170" s="1" t="b">
        <f t="shared" si="68"/>
        <v>1</v>
      </c>
      <c r="R170" t="b">
        <f t="shared" si="69"/>
        <v>1</v>
      </c>
      <c r="S170" t="b">
        <f t="shared" si="70"/>
        <v>1</v>
      </c>
      <c r="T170" t="b">
        <f t="shared" si="71"/>
        <v>1</v>
      </c>
    </row>
    <row r="171" spans="2:20" x14ac:dyDescent="0.15">
      <c r="D171" t="s">
        <v>582</v>
      </c>
      <c r="E171" s="9" t="s">
        <v>585</v>
      </c>
      <c r="F171" s="7">
        <v>11</v>
      </c>
      <c r="I171" s="1">
        <f t="shared" si="72"/>
        <v>2</v>
      </c>
      <c r="J171" t="b">
        <f t="shared" si="73"/>
        <v>0</v>
      </c>
      <c r="K171">
        <f t="shared" si="74"/>
        <v>0</v>
      </c>
      <c r="L171">
        <f t="shared" si="50"/>
        <v>0</v>
      </c>
      <c r="M171" s="1">
        <v>2</v>
      </c>
      <c r="N171" t="b">
        <v>0</v>
      </c>
      <c r="O171">
        <v>0</v>
      </c>
      <c r="P171">
        <v>0</v>
      </c>
      <c r="Q171" s="1" t="b">
        <f t="shared" si="68"/>
        <v>1</v>
      </c>
      <c r="R171" t="b">
        <f t="shared" si="69"/>
        <v>1</v>
      </c>
      <c r="S171" t="b">
        <f t="shared" si="70"/>
        <v>1</v>
      </c>
      <c r="T171" t="b">
        <f t="shared" si="71"/>
        <v>1</v>
      </c>
    </row>
    <row r="172" spans="2:20" x14ac:dyDescent="0.15">
      <c r="D172" t="s">
        <v>576</v>
      </c>
      <c r="E172" s="9" t="s">
        <v>586</v>
      </c>
      <c r="F172" s="7">
        <v>16</v>
      </c>
      <c r="I172" s="1">
        <f t="shared" si="72"/>
        <v>2</v>
      </c>
      <c r="J172" t="b">
        <f t="shared" si="73"/>
        <v>0</v>
      </c>
      <c r="K172">
        <f t="shared" si="74"/>
        <v>0</v>
      </c>
      <c r="L172">
        <f t="shared" si="50"/>
        <v>0</v>
      </c>
      <c r="M172" s="1">
        <v>2</v>
      </c>
      <c r="N172" t="b">
        <v>0</v>
      </c>
      <c r="O172">
        <v>0</v>
      </c>
      <c r="P172">
        <v>0</v>
      </c>
      <c r="Q172" s="1" t="b">
        <f t="shared" si="68"/>
        <v>1</v>
      </c>
      <c r="R172" t="b">
        <f t="shared" si="69"/>
        <v>1</v>
      </c>
      <c r="S172" t="b">
        <f t="shared" si="70"/>
        <v>1</v>
      </c>
      <c r="T172" t="b">
        <f t="shared" si="71"/>
        <v>1</v>
      </c>
    </row>
    <row r="173" spans="2:20" x14ac:dyDescent="0.15">
      <c r="C173" s="2" t="s">
        <v>601</v>
      </c>
      <c r="D173" s="2" t="s">
        <v>574</v>
      </c>
      <c r="E173" s="11">
        <v>2</v>
      </c>
      <c r="F173" s="2">
        <v>2</v>
      </c>
      <c r="G173" s="2"/>
      <c r="H173" s="2"/>
      <c r="I173" s="3">
        <f t="shared" si="72"/>
        <v>1</v>
      </c>
      <c r="J173" s="2" t="b">
        <f t="shared" si="73"/>
        <v>0</v>
      </c>
      <c r="K173" s="2">
        <f t="shared" si="74"/>
        <v>0</v>
      </c>
      <c r="L173" s="2" t="e">
        <f t="shared" ref="L173:L177" si="79">TESTcheckNPntStrByRef3(E173,F173)</f>
        <v>#NUM!</v>
      </c>
      <c r="M173" s="3">
        <v>1</v>
      </c>
      <c r="N173" s="2" t="b">
        <v>0</v>
      </c>
      <c r="O173" s="2">
        <v>0</v>
      </c>
      <c r="P173" s="2" t="e">
        <v>#NUM!</v>
      </c>
      <c r="Q173" s="3" t="b">
        <f t="shared" si="68"/>
        <v>1</v>
      </c>
      <c r="R173" s="2" t="b">
        <f t="shared" si="69"/>
        <v>1</v>
      </c>
      <c r="S173" s="2" t="b">
        <f t="shared" si="70"/>
        <v>1</v>
      </c>
      <c r="T173" s="2" t="b">
        <f t="shared" si="71"/>
        <v>1</v>
      </c>
    </row>
    <row r="174" spans="2:20" x14ac:dyDescent="0.15">
      <c r="C174" s="6"/>
      <c r="D174" s="7" t="s">
        <v>581</v>
      </c>
      <c r="E174" s="9" t="s">
        <v>606</v>
      </c>
      <c r="F174" s="7">
        <v>9</v>
      </c>
      <c r="G174" s="6"/>
      <c r="H174" s="6"/>
      <c r="I174" s="1">
        <f t="shared" ref="I174" si="80">TESTcheckNPntStr(E174,F174)</f>
        <v>1</v>
      </c>
      <c r="J174" s="6" t="b">
        <f t="shared" ref="J174" si="81">TESTcheckNPntStrByRef1(E174,F174)</f>
        <v>0</v>
      </c>
      <c r="K174" s="6">
        <f t="shared" ref="K174" si="82">TESTcheckNPntStrByRef2(E174,F174)</f>
        <v>0</v>
      </c>
      <c r="L174" s="6" t="e">
        <f t="shared" ref="L174" si="83">TESTcheckNPntStrByRef3(E174,F174)</f>
        <v>#NUM!</v>
      </c>
      <c r="M174" s="1">
        <v>1</v>
      </c>
      <c r="N174" s="6" t="b">
        <v>0</v>
      </c>
      <c r="O174" s="6">
        <v>0</v>
      </c>
      <c r="P174" s="6" t="e">
        <v>#NUM!</v>
      </c>
      <c r="Q174" s="1" t="b">
        <f t="shared" si="68"/>
        <v>1</v>
      </c>
      <c r="R174" s="6" t="b">
        <f t="shared" si="69"/>
        <v>1</v>
      </c>
      <c r="S174" s="6" t="b">
        <f t="shared" si="70"/>
        <v>1</v>
      </c>
      <c r="T174" s="6" t="b">
        <f t="shared" si="71"/>
        <v>1</v>
      </c>
    </row>
    <row r="175" spans="2:20" x14ac:dyDescent="0.15">
      <c r="D175" t="s">
        <v>575</v>
      </c>
      <c r="E175" s="9" t="s">
        <v>602</v>
      </c>
      <c r="F175" s="7">
        <v>10</v>
      </c>
      <c r="I175" s="1">
        <f t="shared" si="72"/>
        <v>1</v>
      </c>
      <c r="J175" t="b">
        <f t="shared" si="73"/>
        <v>0</v>
      </c>
      <c r="K175">
        <f t="shared" si="74"/>
        <v>0</v>
      </c>
      <c r="L175" t="e">
        <f t="shared" si="79"/>
        <v>#NUM!</v>
      </c>
      <c r="M175" s="1">
        <v>1</v>
      </c>
      <c r="N175" t="b">
        <v>0</v>
      </c>
      <c r="O175">
        <v>0</v>
      </c>
      <c r="P175" t="e">
        <v>#NUM!</v>
      </c>
      <c r="Q175" s="1" t="b">
        <f t="shared" si="68"/>
        <v>1</v>
      </c>
      <c r="R175" t="b">
        <f t="shared" si="69"/>
        <v>1</v>
      </c>
      <c r="S175" t="b">
        <f t="shared" si="70"/>
        <v>1</v>
      </c>
      <c r="T175" t="b">
        <f t="shared" si="71"/>
        <v>1</v>
      </c>
    </row>
    <row r="176" spans="2:20" x14ac:dyDescent="0.15">
      <c r="D176" t="s">
        <v>582</v>
      </c>
      <c r="E176" s="9" t="s">
        <v>603</v>
      </c>
      <c r="F176" s="7">
        <v>11</v>
      </c>
      <c r="I176" s="1">
        <f t="shared" si="72"/>
        <v>1</v>
      </c>
      <c r="J176" t="b">
        <f t="shared" si="73"/>
        <v>0</v>
      </c>
      <c r="K176">
        <f t="shared" si="74"/>
        <v>0</v>
      </c>
      <c r="L176" t="e">
        <f t="shared" si="79"/>
        <v>#NUM!</v>
      </c>
      <c r="M176" s="1">
        <v>1</v>
      </c>
      <c r="N176" t="b">
        <v>0</v>
      </c>
      <c r="O176">
        <v>0</v>
      </c>
      <c r="P176" t="e">
        <v>#NUM!</v>
      </c>
      <c r="Q176" s="1" t="b">
        <f t="shared" si="68"/>
        <v>1</v>
      </c>
      <c r="R176" t="b">
        <f t="shared" si="69"/>
        <v>1</v>
      </c>
      <c r="S176" t="b">
        <f t="shared" si="70"/>
        <v>1</v>
      </c>
      <c r="T176" t="b">
        <f t="shared" si="71"/>
        <v>1</v>
      </c>
    </row>
    <row r="177" spans="2:20" x14ac:dyDescent="0.15">
      <c r="D177" t="s">
        <v>576</v>
      </c>
      <c r="E177" s="9" t="s">
        <v>604</v>
      </c>
      <c r="F177" s="7">
        <v>16</v>
      </c>
      <c r="I177" s="1">
        <f t="shared" si="72"/>
        <v>1</v>
      </c>
      <c r="J177" t="b">
        <f t="shared" si="73"/>
        <v>0</v>
      </c>
      <c r="K177">
        <f t="shared" si="74"/>
        <v>0</v>
      </c>
      <c r="L177" t="e">
        <f t="shared" si="79"/>
        <v>#NUM!</v>
      </c>
      <c r="M177" s="1">
        <v>1</v>
      </c>
      <c r="N177" t="b">
        <v>0</v>
      </c>
      <c r="O177">
        <v>0</v>
      </c>
      <c r="P177" t="e">
        <v>#NUM!</v>
      </c>
      <c r="Q177" s="1" t="b">
        <f t="shared" si="68"/>
        <v>1</v>
      </c>
      <c r="R177" t="b">
        <f t="shared" si="69"/>
        <v>1</v>
      </c>
      <c r="S177" t="b">
        <f t="shared" si="70"/>
        <v>1</v>
      </c>
      <c r="T177" t="b">
        <f t="shared" si="71"/>
        <v>1</v>
      </c>
    </row>
    <row r="178" spans="2:20" x14ac:dyDescent="0.15">
      <c r="B178" s="2" t="s">
        <v>607</v>
      </c>
      <c r="C178" s="2" t="s">
        <v>608</v>
      </c>
      <c r="D178" s="2" t="s">
        <v>574</v>
      </c>
      <c r="E178" s="11" t="s">
        <v>611</v>
      </c>
      <c r="F178" s="2">
        <v>2</v>
      </c>
      <c r="G178" s="2"/>
      <c r="H178" s="2"/>
      <c r="I178" s="3">
        <f t="shared" ref="I178:I182" si="84">TESTcheckNPntStr(E178,F178)</f>
        <v>2</v>
      </c>
      <c r="J178" s="2" t="b">
        <f t="shared" ref="J178:J182" si="85">TESTcheckNPntStrByRef1(E178,F178)</f>
        <v>0</v>
      </c>
      <c r="K178" s="2">
        <f t="shared" ref="K178:K182" si="86">TESTcheckNPntStrByRef2(E178,F178)</f>
        <v>0</v>
      </c>
      <c r="L178" s="2" t="e">
        <f t="shared" ref="L178:L182" si="87">TESTcheckNPntStrByRef3(E178,F178)</f>
        <v>#NUM!</v>
      </c>
      <c r="M178" s="3">
        <v>2</v>
      </c>
      <c r="N178" s="2" t="b">
        <v>0</v>
      </c>
      <c r="O178" s="2">
        <v>0</v>
      </c>
      <c r="P178" s="2" t="e">
        <v>#NUM!</v>
      </c>
      <c r="Q178" s="3" t="b">
        <f t="shared" si="68"/>
        <v>1</v>
      </c>
      <c r="R178" s="2" t="b">
        <f t="shared" si="69"/>
        <v>1</v>
      </c>
      <c r="S178" s="2" t="b">
        <f t="shared" si="70"/>
        <v>1</v>
      </c>
      <c r="T178" s="2" t="b">
        <f t="shared" si="71"/>
        <v>1</v>
      </c>
    </row>
    <row r="179" spans="2:20" x14ac:dyDescent="0.15">
      <c r="D179" s="7" t="s">
        <v>581</v>
      </c>
      <c r="E179" s="9" t="s">
        <v>612</v>
      </c>
      <c r="F179" s="7">
        <v>9</v>
      </c>
      <c r="I179" s="1">
        <f t="shared" si="84"/>
        <v>2</v>
      </c>
      <c r="J179" t="b">
        <f t="shared" si="85"/>
        <v>0</v>
      </c>
      <c r="K179">
        <f t="shared" si="86"/>
        <v>0</v>
      </c>
      <c r="L179" t="e">
        <f t="shared" si="87"/>
        <v>#NUM!</v>
      </c>
      <c r="M179" s="1">
        <v>2</v>
      </c>
      <c r="N179" t="b">
        <v>0</v>
      </c>
      <c r="O179">
        <v>0</v>
      </c>
      <c r="P179" t="e">
        <v>#NUM!</v>
      </c>
      <c r="Q179" s="1" t="b">
        <f t="shared" si="68"/>
        <v>1</v>
      </c>
      <c r="R179" t="b">
        <f t="shared" si="69"/>
        <v>1</v>
      </c>
      <c r="S179" t="b">
        <f t="shared" si="70"/>
        <v>1</v>
      </c>
      <c r="T179" t="b">
        <f t="shared" si="71"/>
        <v>1</v>
      </c>
    </row>
    <row r="180" spans="2:20" x14ac:dyDescent="0.15">
      <c r="D180" t="s">
        <v>575</v>
      </c>
      <c r="E180" s="9" t="s">
        <v>613</v>
      </c>
      <c r="F180" s="7">
        <v>10</v>
      </c>
      <c r="I180" s="1">
        <f t="shared" si="84"/>
        <v>2</v>
      </c>
      <c r="J180" t="b">
        <f t="shared" si="85"/>
        <v>0</v>
      </c>
      <c r="K180">
        <f t="shared" si="86"/>
        <v>0</v>
      </c>
      <c r="L180" t="e">
        <f t="shared" si="87"/>
        <v>#NUM!</v>
      </c>
      <c r="M180" s="1">
        <v>2</v>
      </c>
      <c r="N180" t="b">
        <v>0</v>
      </c>
      <c r="O180">
        <v>0</v>
      </c>
      <c r="P180" t="e">
        <v>#NUM!</v>
      </c>
      <c r="Q180" s="1" t="b">
        <f t="shared" ref="Q180:Q188" si="88">getText(I180)=getText(M180)</f>
        <v>1</v>
      </c>
      <c r="R180" t="b">
        <f t="shared" ref="R180:R188" si="89">getText(J180)=getText(N180)</f>
        <v>1</v>
      </c>
      <c r="S180" t="b">
        <f t="shared" ref="S180:S188" si="90">getText(K180)=getText(O180)</f>
        <v>1</v>
      </c>
      <c r="T180" t="b">
        <f t="shared" ref="T180:T188" si="91">getText(L180)=getText(P180)</f>
        <v>1</v>
      </c>
    </row>
    <row r="181" spans="2:20" x14ac:dyDescent="0.15">
      <c r="D181" t="s">
        <v>582</v>
      </c>
      <c r="E181" s="9" t="s">
        <v>614</v>
      </c>
      <c r="F181" s="7">
        <v>11</v>
      </c>
      <c r="I181" s="1">
        <f t="shared" si="84"/>
        <v>2</v>
      </c>
      <c r="J181" t="b">
        <f t="shared" si="85"/>
        <v>0</v>
      </c>
      <c r="K181">
        <f t="shared" si="86"/>
        <v>0</v>
      </c>
      <c r="L181" t="e">
        <f t="shared" si="87"/>
        <v>#NUM!</v>
      </c>
      <c r="M181" s="1">
        <v>2</v>
      </c>
      <c r="N181" t="b">
        <v>0</v>
      </c>
      <c r="O181">
        <v>0</v>
      </c>
      <c r="P181" t="e">
        <v>#NUM!</v>
      </c>
      <c r="Q181" s="1" t="b">
        <f t="shared" si="88"/>
        <v>1</v>
      </c>
      <c r="R181" t="b">
        <f t="shared" si="89"/>
        <v>1</v>
      </c>
      <c r="S181" t="b">
        <f t="shared" si="90"/>
        <v>1</v>
      </c>
      <c r="T181" t="b">
        <f t="shared" si="91"/>
        <v>1</v>
      </c>
    </row>
    <row r="182" spans="2:20" x14ac:dyDescent="0.15">
      <c r="D182" t="s">
        <v>576</v>
      </c>
      <c r="E182" s="9" t="s">
        <v>615</v>
      </c>
      <c r="F182" s="7">
        <v>16</v>
      </c>
      <c r="I182" s="1">
        <f t="shared" si="84"/>
        <v>2</v>
      </c>
      <c r="J182" t="b">
        <f t="shared" si="85"/>
        <v>0</v>
      </c>
      <c r="K182">
        <f t="shared" si="86"/>
        <v>0</v>
      </c>
      <c r="L182" t="e">
        <f t="shared" si="87"/>
        <v>#NUM!</v>
      </c>
      <c r="M182" s="1">
        <v>2</v>
      </c>
      <c r="N182" t="b">
        <v>0</v>
      </c>
      <c r="O182">
        <v>0</v>
      </c>
      <c r="P182" t="e">
        <v>#NUM!</v>
      </c>
      <c r="Q182" s="1" t="b">
        <f t="shared" si="88"/>
        <v>1</v>
      </c>
      <c r="R182" t="b">
        <f t="shared" si="89"/>
        <v>1</v>
      </c>
      <c r="S182" t="b">
        <f t="shared" si="90"/>
        <v>1</v>
      </c>
      <c r="T182" t="b">
        <f t="shared" si="91"/>
        <v>1</v>
      </c>
    </row>
    <row r="183" spans="2:20" x14ac:dyDescent="0.15">
      <c r="C183" s="2" t="s">
        <v>609</v>
      </c>
      <c r="D183" s="2" t="s">
        <v>574</v>
      </c>
      <c r="E183" s="11" t="s">
        <v>616</v>
      </c>
      <c r="F183" s="2">
        <v>2</v>
      </c>
      <c r="G183" s="2"/>
      <c r="H183" s="2"/>
      <c r="I183" s="3">
        <f t="shared" ref="I183:I190" si="92">TESTcheckNPntStr(E183,F183)</f>
        <v>3</v>
      </c>
      <c r="J183" s="2" t="b">
        <f t="shared" ref="J183:J190" si="93">TESTcheckNPntStrByRef1(E183,F183)</f>
        <v>0</v>
      </c>
      <c r="K183" s="2">
        <f t="shared" ref="K183:K190" si="94">TESTcheckNPntStrByRef2(E183,F183)</f>
        <v>0</v>
      </c>
      <c r="L183" s="2" t="e">
        <f t="shared" ref="L183:L190" si="95">TESTcheckNPntStrByRef3(E183,F183)</f>
        <v>#NUM!</v>
      </c>
      <c r="M183" s="3">
        <v>3</v>
      </c>
      <c r="N183" s="2" t="b">
        <v>0</v>
      </c>
      <c r="O183" s="2">
        <v>0</v>
      </c>
      <c r="P183" s="2" t="e">
        <v>#NUM!</v>
      </c>
      <c r="Q183" s="3" t="b">
        <f t="shared" si="88"/>
        <v>1</v>
      </c>
      <c r="R183" s="2" t="b">
        <f t="shared" si="89"/>
        <v>1</v>
      </c>
      <c r="S183" s="2" t="b">
        <f t="shared" si="90"/>
        <v>1</v>
      </c>
      <c r="T183" s="2" t="b">
        <f t="shared" si="91"/>
        <v>1</v>
      </c>
    </row>
    <row r="184" spans="2:20" x14ac:dyDescent="0.15">
      <c r="D184" s="7" t="s">
        <v>581</v>
      </c>
      <c r="E184" s="9" t="s">
        <v>617</v>
      </c>
      <c r="F184" s="7">
        <v>9</v>
      </c>
      <c r="I184" s="1">
        <f t="shared" si="92"/>
        <v>3</v>
      </c>
      <c r="J184" t="b">
        <f t="shared" si="93"/>
        <v>0</v>
      </c>
      <c r="K184">
        <f t="shared" si="94"/>
        <v>0</v>
      </c>
      <c r="L184" t="e">
        <f t="shared" si="95"/>
        <v>#NUM!</v>
      </c>
      <c r="M184" s="1">
        <v>3</v>
      </c>
      <c r="N184" t="b">
        <v>0</v>
      </c>
      <c r="O184">
        <v>0</v>
      </c>
      <c r="P184" t="e">
        <v>#NUM!</v>
      </c>
      <c r="Q184" s="1" t="b">
        <f t="shared" si="88"/>
        <v>1</v>
      </c>
      <c r="R184" t="b">
        <f t="shared" si="89"/>
        <v>1</v>
      </c>
      <c r="S184" t="b">
        <f t="shared" si="90"/>
        <v>1</v>
      </c>
      <c r="T184" t="b">
        <f t="shared" si="91"/>
        <v>1</v>
      </c>
    </row>
    <row r="185" spans="2:20" x14ac:dyDescent="0.15">
      <c r="D185" t="s">
        <v>575</v>
      </c>
      <c r="E185" s="9" t="s">
        <v>618</v>
      </c>
      <c r="F185" s="7">
        <v>10</v>
      </c>
      <c r="I185" s="1">
        <f t="shared" si="92"/>
        <v>3</v>
      </c>
      <c r="J185" t="b">
        <f t="shared" si="93"/>
        <v>0</v>
      </c>
      <c r="K185">
        <f t="shared" si="94"/>
        <v>0</v>
      </c>
      <c r="L185" t="e">
        <f t="shared" si="95"/>
        <v>#NUM!</v>
      </c>
      <c r="M185" s="1">
        <v>3</v>
      </c>
      <c r="N185" t="b">
        <v>0</v>
      </c>
      <c r="O185">
        <v>0</v>
      </c>
      <c r="P185" t="e">
        <v>#NUM!</v>
      </c>
      <c r="Q185" s="1" t="b">
        <f t="shared" si="88"/>
        <v>1</v>
      </c>
      <c r="R185" t="b">
        <f t="shared" si="89"/>
        <v>1</v>
      </c>
      <c r="S185" t="b">
        <f t="shared" si="90"/>
        <v>1</v>
      </c>
      <c r="T185" t="b">
        <f t="shared" si="91"/>
        <v>1</v>
      </c>
    </row>
    <row r="186" spans="2:20" x14ac:dyDescent="0.15">
      <c r="D186" t="s">
        <v>582</v>
      </c>
      <c r="E186" s="9" t="s">
        <v>619</v>
      </c>
      <c r="F186" s="7">
        <v>11</v>
      </c>
      <c r="I186" s="1">
        <f t="shared" si="92"/>
        <v>3</v>
      </c>
      <c r="J186" t="b">
        <f t="shared" si="93"/>
        <v>0</v>
      </c>
      <c r="K186">
        <f t="shared" si="94"/>
        <v>0</v>
      </c>
      <c r="L186" t="e">
        <f t="shared" si="95"/>
        <v>#NUM!</v>
      </c>
      <c r="M186" s="1">
        <v>3</v>
      </c>
      <c r="N186" t="b">
        <v>0</v>
      </c>
      <c r="O186">
        <v>0</v>
      </c>
      <c r="P186" t="e">
        <v>#NUM!</v>
      </c>
      <c r="Q186" s="1" t="b">
        <f t="shared" si="88"/>
        <v>1</v>
      </c>
      <c r="R186" t="b">
        <f t="shared" si="89"/>
        <v>1</v>
      </c>
      <c r="S186" t="b">
        <f t="shared" si="90"/>
        <v>1</v>
      </c>
      <c r="T186" t="b">
        <f t="shared" si="91"/>
        <v>1</v>
      </c>
    </row>
    <row r="187" spans="2:20" x14ac:dyDescent="0.15">
      <c r="D187" t="s">
        <v>576</v>
      </c>
      <c r="E187" s="9" t="s">
        <v>620</v>
      </c>
      <c r="F187" s="7">
        <v>16</v>
      </c>
      <c r="I187" s="1">
        <f t="shared" si="92"/>
        <v>3</v>
      </c>
      <c r="J187" t="b">
        <f t="shared" si="93"/>
        <v>0</v>
      </c>
      <c r="K187">
        <f t="shared" si="94"/>
        <v>0</v>
      </c>
      <c r="L187" t="e">
        <f t="shared" si="95"/>
        <v>#NUM!</v>
      </c>
      <c r="M187" s="1">
        <v>3</v>
      </c>
      <c r="N187" t="b">
        <v>0</v>
      </c>
      <c r="O187">
        <v>0</v>
      </c>
      <c r="P187" t="e">
        <v>#NUM!</v>
      </c>
      <c r="Q187" s="1" t="b">
        <f t="shared" si="88"/>
        <v>1</v>
      </c>
      <c r="R187" t="b">
        <f t="shared" si="89"/>
        <v>1</v>
      </c>
      <c r="S187" t="b">
        <f t="shared" si="90"/>
        <v>1</v>
      </c>
      <c r="T187" t="b">
        <f t="shared" si="91"/>
        <v>1</v>
      </c>
    </row>
    <row r="188" spans="2:20" x14ac:dyDescent="0.15">
      <c r="C188" s="2" t="s">
        <v>610</v>
      </c>
      <c r="D188" s="2" t="s">
        <v>574</v>
      </c>
      <c r="E188" s="11" t="s">
        <v>621</v>
      </c>
      <c r="F188" s="2">
        <v>2</v>
      </c>
      <c r="G188" s="2"/>
      <c r="H188" s="2"/>
      <c r="I188" s="3">
        <f t="shared" si="92"/>
        <v>5</v>
      </c>
      <c r="J188" s="2" t="b">
        <f t="shared" si="93"/>
        <v>0</v>
      </c>
      <c r="K188" s="2">
        <f t="shared" si="94"/>
        <v>0</v>
      </c>
      <c r="L188" s="2" t="e">
        <f t="shared" si="95"/>
        <v>#NUM!</v>
      </c>
      <c r="M188" s="3">
        <v>5</v>
      </c>
      <c r="N188" s="2" t="b">
        <v>0</v>
      </c>
      <c r="O188" s="2">
        <v>0</v>
      </c>
      <c r="P188" s="2" t="e">
        <v>#NUM!</v>
      </c>
      <c r="Q188" s="3" t="b">
        <f t="shared" si="88"/>
        <v>1</v>
      </c>
      <c r="R188" s="2" t="b">
        <f t="shared" si="89"/>
        <v>1</v>
      </c>
      <c r="S188" s="2" t="b">
        <f t="shared" si="90"/>
        <v>1</v>
      </c>
      <c r="T188" s="2" t="b">
        <f t="shared" si="91"/>
        <v>1</v>
      </c>
    </row>
    <row r="189" spans="2:20" x14ac:dyDescent="0.15">
      <c r="D189" s="7" t="s">
        <v>581</v>
      </c>
      <c r="E189" s="9" t="s">
        <v>622</v>
      </c>
      <c r="F189" s="7">
        <v>9</v>
      </c>
      <c r="I189" s="1">
        <f t="shared" si="92"/>
        <v>5</v>
      </c>
      <c r="J189" t="b">
        <f t="shared" si="93"/>
        <v>0</v>
      </c>
      <c r="K189">
        <f t="shared" si="94"/>
        <v>0</v>
      </c>
      <c r="L189" t="e">
        <f t="shared" si="95"/>
        <v>#NUM!</v>
      </c>
      <c r="M189" s="1">
        <v>5</v>
      </c>
      <c r="N189" t="b">
        <v>0</v>
      </c>
      <c r="O189">
        <v>0</v>
      </c>
      <c r="P189" t="e">
        <v>#NUM!</v>
      </c>
      <c r="Q189" s="1" t="b">
        <f t="shared" ref="Q189:Q193" si="96">getText(I189)=getText(M189)</f>
        <v>1</v>
      </c>
      <c r="R189" t="b">
        <f t="shared" ref="R189:R193" si="97">getText(J189)=getText(N189)</f>
        <v>1</v>
      </c>
      <c r="S189" t="b">
        <f t="shared" ref="S189:S193" si="98">getText(K189)=getText(O189)</f>
        <v>1</v>
      </c>
      <c r="T189" t="b">
        <f t="shared" ref="T189:T193" si="99">getText(L189)=getText(P189)</f>
        <v>1</v>
      </c>
    </row>
    <row r="190" spans="2:20" x14ac:dyDescent="0.15">
      <c r="D190" t="s">
        <v>575</v>
      </c>
      <c r="E190" s="9" t="s">
        <v>623</v>
      </c>
      <c r="F190" s="7">
        <v>10</v>
      </c>
      <c r="I190" s="1">
        <f t="shared" si="92"/>
        <v>5</v>
      </c>
      <c r="J190" t="b">
        <f t="shared" si="93"/>
        <v>0</v>
      </c>
      <c r="K190">
        <f t="shared" si="94"/>
        <v>0</v>
      </c>
      <c r="L190" t="e">
        <f t="shared" si="95"/>
        <v>#NUM!</v>
      </c>
      <c r="M190" s="1">
        <v>5</v>
      </c>
      <c r="N190" t="b">
        <v>0</v>
      </c>
      <c r="O190">
        <v>0</v>
      </c>
      <c r="P190" t="e">
        <v>#NUM!</v>
      </c>
      <c r="Q190" s="1" t="b">
        <f t="shared" si="96"/>
        <v>1</v>
      </c>
      <c r="R190" t="b">
        <f t="shared" si="97"/>
        <v>1</v>
      </c>
      <c r="S190" t="b">
        <f t="shared" si="98"/>
        <v>1</v>
      </c>
      <c r="T190" t="b">
        <f t="shared" si="99"/>
        <v>1</v>
      </c>
    </row>
    <row r="191" spans="2:20" x14ac:dyDescent="0.15">
      <c r="D191" t="s">
        <v>582</v>
      </c>
      <c r="E191" s="9" t="s">
        <v>624</v>
      </c>
      <c r="F191" s="7">
        <v>11</v>
      </c>
      <c r="I191" s="1">
        <f t="shared" ref="I191:I195" si="100">TESTcheckNPntStr(E191,F191)</f>
        <v>5</v>
      </c>
      <c r="J191" t="b">
        <f t="shared" ref="J191:J195" si="101">TESTcheckNPntStrByRef1(E191,F191)</f>
        <v>0</v>
      </c>
      <c r="K191">
        <f t="shared" ref="K191:K195" si="102">TESTcheckNPntStrByRef2(E191,F191)</f>
        <v>0</v>
      </c>
      <c r="L191" t="e">
        <f t="shared" ref="L191:L195" si="103">TESTcheckNPntStrByRef3(E191,F191)</f>
        <v>#NUM!</v>
      </c>
      <c r="M191" s="1">
        <v>5</v>
      </c>
      <c r="N191" t="b">
        <v>0</v>
      </c>
      <c r="O191">
        <v>0</v>
      </c>
      <c r="P191" t="e">
        <v>#NUM!</v>
      </c>
      <c r="Q191" s="1" t="b">
        <f t="shared" si="96"/>
        <v>1</v>
      </c>
      <c r="R191" t="b">
        <f t="shared" si="97"/>
        <v>1</v>
      </c>
      <c r="S191" t="b">
        <f t="shared" si="98"/>
        <v>1</v>
      </c>
      <c r="T191" t="b">
        <f t="shared" si="99"/>
        <v>1</v>
      </c>
    </row>
    <row r="192" spans="2:20" x14ac:dyDescent="0.15">
      <c r="D192" t="s">
        <v>576</v>
      </c>
      <c r="E192" s="9" t="s">
        <v>625</v>
      </c>
      <c r="F192" s="7">
        <v>16</v>
      </c>
      <c r="I192" s="1">
        <f t="shared" si="100"/>
        <v>5</v>
      </c>
      <c r="J192" t="b">
        <f t="shared" si="101"/>
        <v>0</v>
      </c>
      <c r="K192">
        <f t="shared" si="102"/>
        <v>0</v>
      </c>
      <c r="L192" t="e">
        <f t="shared" si="103"/>
        <v>#NUM!</v>
      </c>
      <c r="M192" s="1">
        <v>5</v>
      </c>
      <c r="N192" t="b">
        <v>0</v>
      </c>
      <c r="O192">
        <v>0</v>
      </c>
      <c r="P192" t="e">
        <v>#NUM!</v>
      </c>
      <c r="Q192" s="1" t="b">
        <f t="shared" si="96"/>
        <v>1</v>
      </c>
      <c r="R192" t="b">
        <f t="shared" si="97"/>
        <v>1</v>
      </c>
      <c r="S192" t="b">
        <f t="shared" si="98"/>
        <v>1</v>
      </c>
      <c r="T192" t="b">
        <f t="shared" si="99"/>
        <v>1</v>
      </c>
    </row>
    <row r="193" spans="2:20" x14ac:dyDescent="0.15">
      <c r="C193" s="2" t="s">
        <v>626</v>
      </c>
      <c r="D193" s="2" t="s">
        <v>574</v>
      </c>
      <c r="E193" s="11" t="s">
        <v>627</v>
      </c>
      <c r="F193" s="2">
        <v>2</v>
      </c>
      <c r="G193" s="2"/>
      <c r="H193" s="2"/>
      <c r="I193" s="3">
        <f t="shared" si="100"/>
        <v>3</v>
      </c>
      <c r="J193" s="2" t="b">
        <f t="shared" si="101"/>
        <v>0</v>
      </c>
      <c r="K193" s="2">
        <f t="shared" si="102"/>
        <v>0</v>
      </c>
      <c r="L193" s="2">
        <f t="shared" si="103"/>
        <v>0</v>
      </c>
      <c r="M193" s="3">
        <v>3</v>
      </c>
      <c r="N193" s="2" t="b">
        <v>0</v>
      </c>
      <c r="O193" s="2">
        <v>0</v>
      </c>
      <c r="P193" s="2">
        <v>0</v>
      </c>
      <c r="Q193" s="3" t="b">
        <f t="shared" si="96"/>
        <v>1</v>
      </c>
      <c r="R193" s="2" t="b">
        <f t="shared" si="97"/>
        <v>1</v>
      </c>
      <c r="S193" s="2" t="b">
        <f t="shared" si="98"/>
        <v>1</v>
      </c>
      <c r="T193" s="2" t="b">
        <f t="shared" si="99"/>
        <v>1</v>
      </c>
    </row>
    <row r="194" spans="2:20" x14ac:dyDescent="0.15">
      <c r="D194" s="7" t="s">
        <v>581</v>
      </c>
      <c r="E194" s="9" t="s">
        <v>629</v>
      </c>
      <c r="F194" s="7">
        <v>9</v>
      </c>
      <c r="I194" s="1">
        <f t="shared" si="100"/>
        <v>11</v>
      </c>
      <c r="J194" t="b">
        <f t="shared" si="101"/>
        <v>0</v>
      </c>
      <c r="K194">
        <f t="shared" si="102"/>
        <v>0</v>
      </c>
      <c r="L194">
        <f t="shared" si="103"/>
        <v>0</v>
      </c>
      <c r="M194" s="1">
        <v>11</v>
      </c>
      <c r="N194" t="b">
        <v>0</v>
      </c>
      <c r="O194">
        <v>0</v>
      </c>
      <c r="P194">
        <v>0</v>
      </c>
      <c r="Q194" s="1" t="b">
        <f t="shared" ref="Q194:Q197" si="104">getText(I194)=getText(M194)</f>
        <v>1</v>
      </c>
      <c r="R194" t="b">
        <f t="shared" ref="R194:R197" si="105">getText(J194)=getText(N194)</f>
        <v>1</v>
      </c>
      <c r="S194" t="b">
        <f t="shared" ref="S194:S197" si="106">getText(K194)=getText(O194)</f>
        <v>1</v>
      </c>
      <c r="T194" t="b">
        <f t="shared" ref="T194:T197" si="107">getText(L194)=getText(P194)</f>
        <v>1</v>
      </c>
    </row>
    <row r="195" spans="2:20" x14ac:dyDescent="0.15">
      <c r="D195" t="s">
        <v>575</v>
      </c>
      <c r="E195" s="9" t="s">
        <v>628</v>
      </c>
      <c r="F195" s="7">
        <v>10</v>
      </c>
      <c r="I195" s="1">
        <f t="shared" si="100"/>
        <v>12</v>
      </c>
      <c r="J195" t="b">
        <f t="shared" si="101"/>
        <v>0</v>
      </c>
      <c r="K195">
        <f t="shared" si="102"/>
        <v>0</v>
      </c>
      <c r="L195">
        <f t="shared" si="103"/>
        <v>0</v>
      </c>
      <c r="M195" s="1">
        <v>12</v>
      </c>
      <c r="N195" t="b">
        <v>0</v>
      </c>
      <c r="O195">
        <v>0</v>
      </c>
      <c r="P195">
        <v>0</v>
      </c>
      <c r="Q195" s="1" t="b">
        <f t="shared" si="104"/>
        <v>1</v>
      </c>
      <c r="R195" t="b">
        <f t="shared" si="105"/>
        <v>1</v>
      </c>
      <c r="S195" t="b">
        <f t="shared" si="106"/>
        <v>1</v>
      </c>
      <c r="T195" t="b">
        <f t="shared" si="107"/>
        <v>1</v>
      </c>
    </row>
    <row r="196" spans="2:20" x14ac:dyDescent="0.15">
      <c r="D196" t="s">
        <v>582</v>
      </c>
      <c r="E196" s="9" t="s">
        <v>630</v>
      </c>
      <c r="F196" s="7">
        <v>11</v>
      </c>
      <c r="I196" s="1">
        <f t="shared" ref="I196:I197" si="108">TESTcheckNPntStr(E196,F196)</f>
        <v>13</v>
      </c>
      <c r="J196" t="b">
        <f t="shared" ref="J196:J197" si="109">TESTcheckNPntStrByRef1(E196,F196)</f>
        <v>0</v>
      </c>
      <c r="K196">
        <f t="shared" ref="K196:K197" si="110">TESTcheckNPntStrByRef2(E196,F196)</f>
        <v>0</v>
      </c>
      <c r="L196">
        <f t="shared" ref="L196:L197" si="111">TESTcheckNPntStrByRef3(E196,F196)</f>
        <v>0</v>
      </c>
      <c r="M196" s="1">
        <v>13</v>
      </c>
      <c r="N196" t="b">
        <v>0</v>
      </c>
      <c r="O196">
        <v>0</v>
      </c>
      <c r="P196">
        <v>0</v>
      </c>
      <c r="Q196" s="1" t="b">
        <f t="shared" si="104"/>
        <v>1</v>
      </c>
      <c r="R196" t="b">
        <f t="shared" si="105"/>
        <v>1</v>
      </c>
      <c r="S196" t="b">
        <f t="shared" si="106"/>
        <v>1</v>
      </c>
      <c r="T196" t="b">
        <f t="shared" si="107"/>
        <v>1</v>
      </c>
    </row>
    <row r="197" spans="2:20" x14ac:dyDescent="0.15">
      <c r="D197" t="s">
        <v>576</v>
      </c>
      <c r="E197" s="9" t="s">
        <v>631</v>
      </c>
      <c r="F197" s="7">
        <v>16</v>
      </c>
      <c r="I197" s="1">
        <f t="shared" si="108"/>
        <v>18</v>
      </c>
      <c r="J197" t="b">
        <f t="shared" si="109"/>
        <v>0</v>
      </c>
      <c r="K197">
        <f t="shared" si="110"/>
        <v>0</v>
      </c>
      <c r="L197">
        <f t="shared" si="111"/>
        <v>0</v>
      </c>
      <c r="M197" s="1">
        <v>18</v>
      </c>
      <c r="N197" t="b">
        <v>0</v>
      </c>
      <c r="O197">
        <v>0</v>
      </c>
      <c r="P197">
        <v>0</v>
      </c>
      <c r="Q197" s="1" t="b">
        <f t="shared" si="104"/>
        <v>1</v>
      </c>
      <c r="R197" t="b">
        <f t="shared" si="105"/>
        <v>1</v>
      </c>
      <c r="S197" t="b">
        <f t="shared" si="106"/>
        <v>1</v>
      </c>
      <c r="T197" t="b">
        <f t="shared" si="107"/>
        <v>1</v>
      </c>
    </row>
    <row r="198" spans="2:20" x14ac:dyDescent="0.15">
      <c r="B198" s="2" t="s">
        <v>632</v>
      </c>
      <c r="C198" s="2" t="s">
        <v>633</v>
      </c>
      <c r="D198" s="2"/>
      <c r="E198" s="11" t="s">
        <v>635</v>
      </c>
      <c r="F198" s="24">
        <v>10</v>
      </c>
      <c r="G198" s="2"/>
      <c r="H198" s="2"/>
      <c r="I198" s="3">
        <f t="shared" ref="I198:I199" si="112">TESTcheckNPntStr(E198,F198)</f>
        <v>3</v>
      </c>
      <c r="J198" s="2" t="b">
        <f t="shared" ref="J198:J199" si="113">TESTcheckNPntStrByRef1(E198,F198)</f>
        <v>1</v>
      </c>
      <c r="K198" s="2">
        <f t="shared" ref="K198:K199" si="114">TESTcheckNPntStrByRef2(E198,F198)</f>
        <v>0</v>
      </c>
      <c r="L198" s="2">
        <f t="shared" ref="L198:L199" si="115">TESTcheckNPntStrByRef3(E198,F198)</f>
        <v>0</v>
      </c>
      <c r="M198" s="3">
        <v>3</v>
      </c>
      <c r="N198" s="2" t="b">
        <v>1</v>
      </c>
      <c r="O198" s="2">
        <v>0</v>
      </c>
      <c r="P198" s="2">
        <v>0</v>
      </c>
      <c r="Q198" s="3" t="b">
        <f t="shared" ref="Q198:Q199" si="116">getText(I198)=getText(M198)</f>
        <v>1</v>
      </c>
      <c r="R198" s="2" t="b">
        <f t="shared" ref="R198:R199" si="117">getText(J198)=getText(N198)</f>
        <v>1</v>
      </c>
      <c r="S198" s="2" t="b">
        <f t="shared" ref="S198:S199" si="118">getText(K198)=getText(O198)</f>
        <v>1</v>
      </c>
      <c r="T198" s="2" t="b">
        <f t="shared" ref="T198:T199" si="119">getText(L198)=getText(P198)</f>
        <v>1</v>
      </c>
    </row>
    <row r="199" spans="2:20" x14ac:dyDescent="0.15">
      <c r="C199" t="s">
        <v>634</v>
      </c>
      <c r="E199" s="9" t="s">
        <v>636</v>
      </c>
      <c r="F199" s="7">
        <v>10</v>
      </c>
      <c r="I199" s="1">
        <f t="shared" si="112"/>
        <v>2</v>
      </c>
      <c r="J199" t="b">
        <f t="shared" si="113"/>
        <v>0</v>
      </c>
      <c r="K199">
        <f t="shared" si="114"/>
        <v>0</v>
      </c>
      <c r="L199" t="e">
        <f t="shared" si="115"/>
        <v>#NUM!</v>
      </c>
      <c r="M199" s="1">
        <v>2</v>
      </c>
      <c r="N199" t="b">
        <v>0</v>
      </c>
      <c r="O199">
        <v>0</v>
      </c>
      <c r="P199" t="e">
        <v>#NUM!</v>
      </c>
      <c r="Q199" s="1" t="b">
        <f t="shared" si="116"/>
        <v>1</v>
      </c>
      <c r="R199" t="b">
        <f t="shared" si="117"/>
        <v>1</v>
      </c>
      <c r="S199" t="b">
        <f t="shared" si="118"/>
        <v>1</v>
      </c>
      <c r="T199" t="b">
        <f t="shared" si="119"/>
        <v>1</v>
      </c>
    </row>
    <row r="200" spans="2:20" x14ac:dyDescent="0.15">
      <c r="B200" s="2" t="s">
        <v>637</v>
      </c>
      <c r="C200" s="2" t="s">
        <v>650</v>
      </c>
      <c r="D200" s="2" t="s">
        <v>659</v>
      </c>
      <c r="E200" s="11" t="s">
        <v>638</v>
      </c>
      <c r="F200" s="24">
        <v>10</v>
      </c>
      <c r="G200" s="2"/>
      <c r="H200" s="2"/>
      <c r="I200" s="3">
        <f>TESTcheckNPntStr(E200,F200)</f>
        <v>1</v>
      </c>
      <c r="J200" s="2" t="b">
        <f>TESTcheckNPntStrByRef1(E200,F200)</f>
        <v>0</v>
      </c>
      <c r="K200" s="2">
        <f t="shared" ref="K200" si="120">TESTcheckNPntStrByRef2(E200,F200)</f>
        <v>0</v>
      </c>
      <c r="L200" s="2" t="e">
        <f t="shared" ref="L200" si="121">TESTcheckNPntStrByRef3(E200,F200)</f>
        <v>#NUM!</v>
      </c>
      <c r="M200" s="3">
        <v>1</v>
      </c>
      <c r="N200" s="2" t="b">
        <v>0</v>
      </c>
      <c r="O200" s="2">
        <v>0</v>
      </c>
      <c r="P200" s="2" t="e">
        <v>#NUM!</v>
      </c>
      <c r="Q200" s="3" t="b">
        <f t="shared" ref="Q200" si="122">getText(I200)=getText(M200)</f>
        <v>1</v>
      </c>
      <c r="R200" s="2" t="b">
        <f t="shared" ref="R200" si="123">getText(J200)=getText(N200)</f>
        <v>1</v>
      </c>
      <c r="S200" s="2" t="b">
        <f t="shared" ref="S200" si="124">getText(K200)=getText(O200)</f>
        <v>1</v>
      </c>
      <c r="T200" s="2" t="b">
        <f t="shared" ref="T200" si="125">getText(L200)=getText(P200)</f>
        <v>1</v>
      </c>
    </row>
    <row r="201" spans="2:20" x14ac:dyDescent="0.15">
      <c r="B201" s="6"/>
      <c r="C201" s="6"/>
      <c r="D201" s="7" t="s">
        <v>660</v>
      </c>
      <c r="E201" s="9" t="s">
        <v>661</v>
      </c>
      <c r="F201" s="7">
        <v>10</v>
      </c>
      <c r="G201" s="6"/>
      <c r="H201" s="6"/>
      <c r="I201" s="1">
        <f t="shared" ref="I201:I209" si="126">TESTcheckNPntStr(E201,F201)</f>
        <v>2</v>
      </c>
      <c r="J201" s="6" t="b">
        <f t="shared" ref="J201:J209" si="127">TESTcheckNPntStrByRef1(E201,F201)</f>
        <v>1</v>
      </c>
      <c r="K201" s="6">
        <f t="shared" ref="K201:K209" si="128">TESTcheckNPntStrByRef2(E201,F201)</f>
        <v>0</v>
      </c>
      <c r="L201" s="6" t="e">
        <f t="shared" ref="L201:L209" si="129">TESTcheckNPntStrByRef3(E201,F201)</f>
        <v>#NUM!</v>
      </c>
      <c r="M201" s="1">
        <v>2</v>
      </c>
      <c r="N201" s="6" t="b">
        <v>1</v>
      </c>
      <c r="O201" s="6">
        <v>0</v>
      </c>
      <c r="P201" s="6" t="e">
        <v>#NUM!</v>
      </c>
      <c r="Q201" s="1" t="b">
        <f t="shared" ref="Q201:Q209" si="130">getText(I201)=getText(M201)</f>
        <v>1</v>
      </c>
      <c r="R201" s="6" t="b">
        <f t="shared" ref="R201:R209" si="131">getText(J201)=getText(N201)</f>
        <v>1</v>
      </c>
      <c r="S201" s="6" t="b">
        <f t="shared" ref="S201:S209" si="132">getText(K201)=getText(O201)</f>
        <v>1</v>
      </c>
      <c r="T201" s="6" t="b">
        <f t="shared" ref="T201:T209" si="133">getText(L201)=getText(P201)</f>
        <v>1</v>
      </c>
    </row>
    <row r="202" spans="2:20" x14ac:dyDescent="0.15">
      <c r="B202" s="6"/>
      <c r="C202" s="7" t="s">
        <v>651</v>
      </c>
      <c r="D202" s="6" t="s">
        <v>658</v>
      </c>
      <c r="E202" s="9" t="s">
        <v>649</v>
      </c>
      <c r="F202" s="7">
        <v>10</v>
      </c>
      <c r="G202" s="6"/>
      <c r="H202" s="6"/>
      <c r="I202" s="1">
        <f t="shared" si="126"/>
        <v>4</v>
      </c>
      <c r="J202" s="6" t="b">
        <f t="shared" si="127"/>
        <v>0</v>
      </c>
      <c r="K202" s="6">
        <f t="shared" si="128"/>
        <v>2</v>
      </c>
      <c r="L202" s="6">
        <f t="shared" si="129"/>
        <v>0</v>
      </c>
      <c r="M202" s="1">
        <v>4</v>
      </c>
      <c r="N202" s="6" t="b">
        <v>0</v>
      </c>
      <c r="O202" s="6">
        <v>2</v>
      </c>
      <c r="P202" s="6">
        <v>0</v>
      </c>
      <c r="Q202" s="1" t="b">
        <f t="shared" si="130"/>
        <v>1</v>
      </c>
      <c r="R202" s="6" t="b">
        <f t="shared" si="131"/>
        <v>1</v>
      </c>
      <c r="S202" s="6" t="b">
        <f t="shared" si="132"/>
        <v>1</v>
      </c>
      <c r="T202" s="6" t="b">
        <f t="shared" si="133"/>
        <v>1</v>
      </c>
    </row>
    <row r="203" spans="2:20" x14ac:dyDescent="0.15">
      <c r="B203" s="6"/>
      <c r="C203" s="7"/>
      <c r="D203" s="6" t="s">
        <v>359</v>
      </c>
      <c r="E203" s="9" t="s">
        <v>662</v>
      </c>
      <c r="F203" s="7">
        <v>10</v>
      </c>
      <c r="G203" s="6"/>
      <c r="H203" s="6"/>
      <c r="I203" s="1">
        <f t="shared" si="126"/>
        <v>5</v>
      </c>
      <c r="J203" s="6" t="b">
        <f t="shared" si="127"/>
        <v>1</v>
      </c>
      <c r="K203" s="6">
        <f t="shared" si="128"/>
        <v>3</v>
      </c>
      <c r="L203" s="6">
        <f t="shared" si="129"/>
        <v>0</v>
      </c>
      <c r="M203" s="1">
        <v>5</v>
      </c>
      <c r="N203" s="6" t="b">
        <v>1</v>
      </c>
      <c r="O203" s="6">
        <v>3</v>
      </c>
      <c r="P203" s="6">
        <v>0</v>
      </c>
      <c r="Q203" s="1" t="b">
        <f t="shared" si="130"/>
        <v>1</v>
      </c>
      <c r="R203" s="6" t="b">
        <f t="shared" si="131"/>
        <v>1</v>
      </c>
      <c r="S203" s="6" t="b">
        <f t="shared" si="132"/>
        <v>1</v>
      </c>
      <c r="T203" s="6" t="b">
        <f t="shared" si="133"/>
        <v>1</v>
      </c>
    </row>
    <row r="204" spans="2:20" x14ac:dyDescent="0.15">
      <c r="B204" s="6"/>
      <c r="C204" s="7" t="s">
        <v>653</v>
      </c>
      <c r="D204" s="6" t="s">
        <v>658</v>
      </c>
      <c r="E204" s="9" t="s">
        <v>654</v>
      </c>
      <c r="F204" s="7">
        <v>10</v>
      </c>
      <c r="G204" s="6"/>
      <c r="H204" s="6"/>
      <c r="I204" s="1">
        <f t="shared" si="126"/>
        <v>3</v>
      </c>
      <c r="J204" s="6" t="b">
        <f t="shared" si="127"/>
        <v>0</v>
      </c>
      <c r="K204" s="6">
        <f t="shared" si="128"/>
        <v>0</v>
      </c>
      <c r="L204" s="6" t="e">
        <f t="shared" si="129"/>
        <v>#NUM!</v>
      </c>
      <c r="M204" s="1">
        <v>3</v>
      </c>
      <c r="N204" s="6" t="b">
        <v>0</v>
      </c>
      <c r="O204" s="6">
        <v>0</v>
      </c>
      <c r="P204" s="6" t="e">
        <v>#NUM!</v>
      </c>
      <c r="Q204" s="1" t="b">
        <f t="shared" si="130"/>
        <v>1</v>
      </c>
      <c r="R204" s="6" t="b">
        <f t="shared" si="131"/>
        <v>1</v>
      </c>
      <c r="S204" s="6" t="b">
        <f t="shared" si="132"/>
        <v>1</v>
      </c>
      <c r="T204" s="6" t="b">
        <f t="shared" si="133"/>
        <v>1</v>
      </c>
    </row>
    <row r="205" spans="2:20" x14ac:dyDescent="0.15">
      <c r="B205" s="6"/>
      <c r="C205" s="7"/>
      <c r="D205" s="6" t="s">
        <v>359</v>
      </c>
      <c r="E205" s="9" t="s">
        <v>663</v>
      </c>
      <c r="F205" s="7">
        <v>10</v>
      </c>
      <c r="G205" s="6"/>
      <c r="H205" s="6"/>
      <c r="I205" s="1">
        <f t="shared" si="126"/>
        <v>4</v>
      </c>
      <c r="J205" s="6" t="b">
        <f t="shared" si="127"/>
        <v>1</v>
      </c>
      <c r="K205" s="6">
        <f t="shared" si="128"/>
        <v>0</v>
      </c>
      <c r="L205" s="6" t="e">
        <f t="shared" si="129"/>
        <v>#NUM!</v>
      </c>
      <c r="M205" s="1">
        <v>4</v>
      </c>
      <c r="N205" s="6" t="b">
        <v>1</v>
      </c>
      <c r="O205" s="6">
        <v>0</v>
      </c>
      <c r="P205" s="6" t="e">
        <v>#NUM!</v>
      </c>
      <c r="Q205" s="1" t="b">
        <f t="shared" si="130"/>
        <v>1</v>
      </c>
      <c r="R205" s="6" t="b">
        <f t="shared" si="131"/>
        <v>1</v>
      </c>
      <c r="S205" s="6" t="b">
        <f t="shared" si="132"/>
        <v>1</v>
      </c>
      <c r="T205" s="6" t="b">
        <f t="shared" si="133"/>
        <v>1</v>
      </c>
    </row>
    <row r="206" spans="2:20" x14ac:dyDescent="0.15">
      <c r="B206" s="6"/>
      <c r="C206" s="7" t="s">
        <v>652</v>
      </c>
      <c r="D206" s="6" t="s">
        <v>658</v>
      </c>
      <c r="E206" s="9" t="s">
        <v>655</v>
      </c>
      <c r="F206" s="7">
        <v>10</v>
      </c>
      <c r="G206" s="6"/>
      <c r="H206" s="6"/>
      <c r="I206" s="1">
        <f t="shared" si="126"/>
        <v>7</v>
      </c>
      <c r="J206" s="6" t="b">
        <f t="shared" si="127"/>
        <v>0</v>
      </c>
      <c r="K206" s="6">
        <f t="shared" si="128"/>
        <v>5</v>
      </c>
      <c r="L206" s="6">
        <f t="shared" si="129"/>
        <v>0</v>
      </c>
      <c r="M206" s="1">
        <v>7</v>
      </c>
      <c r="N206" s="6" t="b">
        <v>0</v>
      </c>
      <c r="O206" s="6">
        <v>5</v>
      </c>
      <c r="P206" s="6">
        <v>0</v>
      </c>
      <c r="Q206" s="1" t="b">
        <f t="shared" si="130"/>
        <v>1</v>
      </c>
      <c r="R206" s="6" t="b">
        <f t="shared" si="131"/>
        <v>1</v>
      </c>
      <c r="S206" s="6" t="b">
        <f t="shared" si="132"/>
        <v>1</v>
      </c>
      <c r="T206" s="6" t="b">
        <f t="shared" si="133"/>
        <v>1</v>
      </c>
    </row>
    <row r="207" spans="2:20" x14ac:dyDescent="0.15">
      <c r="B207" s="6"/>
      <c r="C207" s="7"/>
      <c r="D207" s="6" t="s">
        <v>359</v>
      </c>
      <c r="E207" s="9" t="s">
        <v>664</v>
      </c>
      <c r="F207" s="7">
        <v>10</v>
      </c>
      <c r="G207" s="6"/>
      <c r="H207" s="6"/>
      <c r="I207" s="1">
        <f t="shared" si="126"/>
        <v>8</v>
      </c>
      <c r="J207" s="6" t="b">
        <f t="shared" si="127"/>
        <v>1</v>
      </c>
      <c r="K207" s="6">
        <f t="shared" si="128"/>
        <v>6</v>
      </c>
      <c r="L207" s="6">
        <f t="shared" si="129"/>
        <v>0</v>
      </c>
      <c r="M207" s="1">
        <v>8</v>
      </c>
      <c r="N207" s="6" t="b">
        <v>1</v>
      </c>
      <c r="O207" s="6">
        <v>6</v>
      </c>
      <c r="P207" s="6">
        <v>0</v>
      </c>
      <c r="Q207" s="1" t="b">
        <f t="shared" si="130"/>
        <v>1</v>
      </c>
      <c r="R207" s="6" t="b">
        <f t="shared" si="131"/>
        <v>1</v>
      </c>
      <c r="S207" s="6" t="b">
        <f t="shared" si="132"/>
        <v>1</v>
      </c>
      <c r="T207" s="6" t="b">
        <f t="shared" si="133"/>
        <v>1</v>
      </c>
    </row>
    <row r="208" spans="2:20" x14ac:dyDescent="0.15">
      <c r="B208" s="6"/>
      <c r="C208" s="7" t="s">
        <v>656</v>
      </c>
      <c r="D208" s="6" t="s">
        <v>658</v>
      </c>
      <c r="E208" s="9" t="s">
        <v>657</v>
      </c>
      <c r="F208" s="7">
        <v>10</v>
      </c>
      <c r="G208" s="6"/>
      <c r="H208" s="6"/>
      <c r="I208" s="1">
        <f t="shared" si="126"/>
        <v>9</v>
      </c>
      <c r="J208" s="6" t="b">
        <f t="shared" si="127"/>
        <v>0</v>
      </c>
      <c r="K208" s="6">
        <f t="shared" si="128"/>
        <v>0</v>
      </c>
      <c r="L208" s="6" t="e">
        <f t="shared" si="129"/>
        <v>#NUM!</v>
      </c>
      <c r="M208" s="1">
        <v>9</v>
      </c>
      <c r="N208" s="6" t="b">
        <v>0</v>
      </c>
      <c r="O208" s="6">
        <v>0</v>
      </c>
      <c r="P208" s="6" t="e">
        <v>#NUM!</v>
      </c>
      <c r="Q208" s="1" t="b">
        <f t="shared" si="130"/>
        <v>1</v>
      </c>
      <c r="R208" s="6" t="b">
        <f t="shared" si="131"/>
        <v>1</v>
      </c>
      <c r="S208" s="6" t="b">
        <f t="shared" si="132"/>
        <v>1</v>
      </c>
      <c r="T208" s="6" t="b">
        <f t="shared" si="133"/>
        <v>1</v>
      </c>
    </row>
    <row r="209" spans="1:20" x14ac:dyDescent="0.15">
      <c r="B209" s="6"/>
      <c r="C209" s="6"/>
      <c r="D209" s="6" t="s">
        <v>359</v>
      </c>
      <c r="E209" s="9" t="s">
        <v>665</v>
      </c>
      <c r="F209" s="7">
        <v>10</v>
      </c>
      <c r="G209" s="6"/>
      <c r="H209" s="6"/>
      <c r="I209" s="1">
        <f t="shared" si="126"/>
        <v>10</v>
      </c>
      <c r="J209" s="6" t="b">
        <f t="shared" si="127"/>
        <v>1</v>
      </c>
      <c r="K209" s="6">
        <f t="shared" si="128"/>
        <v>0</v>
      </c>
      <c r="L209" s="6" t="e">
        <f t="shared" si="129"/>
        <v>#NUM!</v>
      </c>
      <c r="M209" s="1">
        <v>10</v>
      </c>
      <c r="N209" s="6" t="b">
        <v>1</v>
      </c>
      <c r="O209" s="6">
        <v>0</v>
      </c>
      <c r="P209" s="6" t="e">
        <v>#NUM!</v>
      </c>
      <c r="Q209" s="1" t="b">
        <f t="shared" si="130"/>
        <v>1</v>
      </c>
      <c r="R209" s="6" t="b">
        <f t="shared" si="131"/>
        <v>1</v>
      </c>
      <c r="S209" s="6" t="b">
        <f t="shared" si="132"/>
        <v>1</v>
      </c>
      <c r="T209" s="6" t="b">
        <f t="shared" si="133"/>
        <v>1</v>
      </c>
    </row>
    <row r="210" spans="1:20" s="2" customFormat="1" x14ac:dyDescent="0.15">
      <c r="A210" s="2" t="s">
        <v>212</v>
      </c>
      <c r="B210" s="2" t="s">
        <v>213</v>
      </c>
      <c r="C210" s="2" t="s">
        <v>214</v>
      </c>
      <c r="E210" s="11">
        <v>0</v>
      </c>
      <c r="F210" s="13">
        <v>0</v>
      </c>
      <c r="G210" s="2">
        <v>2</v>
      </c>
      <c r="I210" s="3" t="str">
        <f>TESTadd(E210,F210,G210)</f>
        <v>0</v>
      </c>
      <c r="M210" s="3" t="s">
        <v>14</v>
      </c>
      <c r="Q210" s="3" t="b">
        <f t="shared" ref="Q210:Q213" si="134">getText(I210)=getText(M210)</f>
        <v>1</v>
      </c>
    </row>
    <row r="211" spans="1:20" x14ac:dyDescent="0.15">
      <c r="C211" t="s">
        <v>215</v>
      </c>
      <c r="E211" s="9">
        <v>0</v>
      </c>
      <c r="F211" s="17" t="s">
        <v>217</v>
      </c>
      <c r="G211">
        <v>2</v>
      </c>
      <c r="I211" s="1" t="str">
        <f t="shared" ref="I211:I213" si="135">TESTadd(E211,F211,G211)</f>
        <v>00</v>
      </c>
      <c r="M211" s="1" t="s">
        <v>98</v>
      </c>
      <c r="Q211" s="1" t="b">
        <f t="shared" si="134"/>
        <v>1</v>
      </c>
      <c r="R211" s="6"/>
      <c r="S211" s="6"/>
    </row>
    <row r="212" spans="1:20" x14ac:dyDescent="0.15">
      <c r="C212" t="s">
        <v>216</v>
      </c>
      <c r="E212" s="9" t="s">
        <v>217</v>
      </c>
      <c r="F212" s="17" t="s">
        <v>121</v>
      </c>
      <c r="G212">
        <v>2</v>
      </c>
      <c r="I212" s="1" t="str">
        <f t="shared" si="135"/>
        <v>00</v>
      </c>
      <c r="M212" s="1" t="s">
        <v>98</v>
      </c>
      <c r="Q212" s="1" t="b">
        <f>getText(I212)=getText(M212)</f>
        <v>1</v>
      </c>
      <c r="R212" s="6"/>
      <c r="S212" s="6"/>
    </row>
    <row r="213" spans="1:20" x14ac:dyDescent="0.15">
      <c r="B213" s="2" t="s">
        <v>218</v>
      </c>
      <c r="C213" s="2" t="s">
        <v>219</v>
      </c>
      <c r="D213" s="2" t="s">
        <v>220</v>
      </c>
      <c r="E213" s="3">
        <v>1</v>
      </c>
      <c r="F213" s="2">
        <v>1</v>
      </c>
      <c r="G213" s="2">
        <v>2</v>
      </c>
      <c r="H213" s="2"/>
      <c r="I213" s="3" t="str">
        <f t="shared" si="135"/>
        <v>10</v>
      </c>
      <c r="J213" s="2"/>
      <c r="K213" s="2"/>
      <c r="L213" s="2"/>
      <c r="M213" s="3" t="s">
        <v>15</v>
      </c>
      <c r="N213" s="2"/>
      <c r="O213" s="2"/>
      <c r="P213" s="2"/>
      <c r="Q213" s="3" t="b">
        <f t="shared" si="134"/>
        <v>1</v>
      </c>
      <c r="R213" s="6"/>
      <c r="S213" s="6"/>
    </row>
    <row r="214" spans="1:20" x14ac:dyDescent="0.15">
      <c r="D214" t="s">
        <v>221</v>
      </c>
      <c r="E214" s="1">
        <v>9</v>
      </c>
      <c r="F214">
        <v>1</v>
      </c>
      <c r="G214">
        <v>10</v>
      </c>
      <c r="I214" s="1" t="str">
        <f t="shared" ref="I214:I215" si="136">TESTadd(E214,F214,G214)</f>
        <v>10</v>
      </c>
      <c r="M214" s="1" t="s">
        <v>15</v>
      </c>
      <c r="Q214" s="1" t="b">
        <f t="shared" ref="Q214:Q215" si="137">getText(I214)=getText(M214)</f>
        <v>1</v>
      </c>
      <c r="R214" s="6"/>
      <c r="S214" s="6"/>
    </row>
    <row r="215" spans="1:20" x14ac:dyDescent="0.15">
      <c r="D215" t="s">
        <v>222</v>
      </c>
      <c r="E215" s="9" t="s">
        <v>223</v>
      </c>
      <c r="F215" s="17">
        <v>1</v>
      </c>
      <c r="G215">
        <v>16</v>
      </c>
      <c r="I215" s="1" t="str">
        <f t="shared" si="136"/>
        <v>10</v>
      </c>
      <c r="M215" s="1" t="s">
        <v>15</v>
      </c>
      <c r="Q215" s="1" t="b">
        <f t="shared" si="137"/>
        <v>1</v>
      </c>
      <c r="R215" s="6"/>
      <c r="S215" s="6"/>
    </row>
    <row r="216" spans="1:20" x14ac:dyDescent="0.15">
      <c r="C216" s="2" t="s">
        <v>224</v>
      </c>
      <c r="D216" s="2" t="s">
        <v>220</v>
      </c>
      <c r="E216" s="11" t="s">
        <v>226</v>
      </c>
      <c r="F216" s="13" t="s">
        <v>227</v>
      </c>
      <c r="G216" s="2">
        <v>2</v>
      </c>
      <c r="H216" s="2"/>
      <c r="I216" s="3" t="str">
        <f t="shared" ref="I216" si="138">TESTadd(E216,F216,G216)</f>
        <v>100</v>
      </c>
      <c r="J216" s="2"/>
      <c r="K216" s="2"/>
      <c r="L216" s="2"/>
      <c r="M216" s="3" t="s">
        <v>21</v>
      </c>
      <c r="N216" s="2"/>
      <c r="O216" s="2"/>
      <c r="P216" s="2"/>
      <c r="Q216" s="3" t="b">
        <f t="shared" ref="Q216:Q218" si="139">getText(I216)=getText(M216)</f>
        <v>1</v>
      </c>
      <c r="R216" s="6"/>
      <c r="S216" s="6"/>
    </row>
    <row r="217" spans="1:20" x14ac:dyDescent="0.15">
      <c r="D217" t="s">
        <v>221</v>
      </c>
      <c r="E217" s="9" t="s">
        <v>229</v>
      </c>
      <c r="F217" s="17" t="s">
        <v>230</v>
      </c>
      <c r="G217">
        <v>10</v>
      </c>
      <c r="I217" s="1" t="str">
        <f t="shared" ref="I217" si="140">TESTadd(E217,F217,G217)</f>
        <v>100</v>
      </c>
      <c r="M217" s="1" t="s">
        <v>21</v>
      </c>
      <c r="Q217" s="1" t="b">
        <f t="shared" si="139"/>
        <v>1</v>
      </c>
      <c r="R217" s="6"/>
      <c r="S217" s="6"/>
    </row>
    <row r="218" spans="1:20" x14ac:dyDescent="0.15">
      <c r="D218" t="s">
        <v>222</v>
      </c>
      <c r="E218" s="9" t="s">
        <v>231</v>
      </c>
      <c r="F218" s="17" t="s">
        <v>232</v>
      </c>
      <c r="G218">
        <v>16</v>
      </c>
      <c r="I218" s="1" t="str">
        <f t="shared" ref="I218" si="141">TESTadd(E218,F218,G218)</f>
        <v>100</v>
      </c>
      <c r="M218" s="1" t="s">
        <v>21</v>
      </c>
      <c r="Q218" s="1" t="b">
        <f t="shared" si="139"/>
        <v>1</v>
      </c>
      <c r="R218" s="6"/>
      <c r="S218" s="6"/>
    </row>
    <row r="219" spans="1:20" x14ac:dyDescent="0.15">
      <c r="C219" s="2" t="s">
        <v>225</v>
      </c>
      <c r="D219" s="2" t="s">
        <v>220</v>
      </c>
      <c r="E219" s="11" t="s">
        <v>233</v>
      </c>
      <c r="F219" s="13" t="s">
        <v>234</v>
      </c>
      <c r="G219" s="2">
        <v>2</v>
      </c>
      <c r="H219" s="2"/>
      <c r="I219" s="3" t="str">
        <f t="shared" ref="I219" si="142">TESTadd(E219,F219,G219)</f>
        <v>1000</v>
      </c>
      <c r="J219" s="2"/>
      <c r="K219" s="2"/>
      <c r="L219" s="2"/>
      <c r="M219" s="3" t="s">
        <v>34</v>
      </c>
      <c r="N219" s="2"/>
      <c r="O219" s="2"/>
      <c r="P219" s="2"/>
      <c r="Q219" s="3" t="b">
        <f t="shared" ref="Q219:Q221" si="143">getText(I219)=getText(M219)</f>
        <v>1</v>
      </c>
      <c r="R219" s="6"/>
      <c r="S219" s="6"/>
    </row>
    <row r="220" spans="1:20" x14ac:dyDescent="0.15">
      <c r="C220" s="6"/>
      <c r="D220" s="6" t="s">
        <v>221</v>
      </c>
      <c r="E220" s="9" t="s">
        <v>235</v>
      </c>
      <c r="F220" s="14" t="s">
        <v>236</v>
      </c>
      <c r="G220" s="6">
        <v>10</v>
      </c>
      <c r="H220" s="6"/>
      <c r="I220" s="1" t="str">
        <f t="shared" ref="I220:I221" si="144">TESTadd(E220,F220,G220)</f>
        <v>1000</v>
      </c>
      <c r="J220" s="6"/>
      <c r="K220" s="6"/>
      <c r="L220" s="6"/>
      <c r="M220" s="1" t="s">
        <v>34</v>
      </c>
      <c r="N220" s="6"/>
      <c r="O220" s="6"/>
      <c r="P220" s="6"/>
      <c r="Q220" s="1" t="b">
        <f t="shared" si="143"/>
        <v>1</v>
      </c>
      <c r="R220" s="6"/>
      <c r="S220" s="6"/>
    </row>
    <row r="221" spans="1:20" x14ac:dyDescent="0.15">
      <c r="D221" t="s">
        <v>222</v>
      </c>
      <c r="E221" s="9" t="s">
        <v>237</v>
      </c>
      <c r="F221" s="17" t="s">
        <v>236</v>
      </c>
      <c r="G221">
        <v>16</v>
      </c>
      <c r="I221" s="1" t="str">
        <f t="shared" si="144"/>
        <v>1000</v>
      </c>
      <c r="M221" s="1" t="s">
        <v>34</v>
      </c>
      <c r="Q221" s="1" t="b">
        <f t="shared" si="143"/>
        <v>1</v>
      </c>
      <c r="R221" s="6"/>
      <c r="S221" s="6"/>
    </row>
    <row r="222" spans="1:20" x14ac:dyDescent="0.15">
      <c r="B222" s="2" t="s">
        <v>246</v>
      </c>
      <c r="C222" s="2" t="s">
        <v>265</v>
      </c>
      <c r="D222" s="2" t="s">
        <v>220</v>
      </c>
      <c r="E222" s="11" t="s">
        <v>269</v>
      </c>
      <c r="F222" s="13" t="s">
        <v>269</v>
      </c>
      <c r="G222" s="2">
        <v>2</v>
      </c>
      <c r="H222" s="2"/>
      <c r="I222" s="3" t="str">
        <f t="shared" ref="I222:I232" si="145">TESTadd(E222,F222,G222)</f>
        <v>0</v>
      </c>
      <c r="J222" s="2"/>
      <c r="K222" s="2"/>
      <c r="L222" s="2"/>
      <c r="M222" s="3" t="s">
        <v>14</v>
      </c>
      <c r="N222" s="2"/>
      <c r="O222" s="2"/>
      <c r="P222" s="2"/>
      <c r="Q222" s="3" t="b">
        <f t="shared" ref="Q222:Q224" si="146">getText(I222)=getText(M222)</f>
        <v>1</v>
      </c>
      <c r="R222" s="6"/>
      <c r="S222" s="6"/>
    </row>
    <row r="223" spans="1:20" x14ac:dyDescent="0.15">
      <c r="B223" t="s">
        <v>333</v>
      </c>
      <c r="D223" s="6" t="s">
        <v>221</v>
      </c>
      <c r="E223" s="9" t="s">
        <v>270</v>
      </c>
      <c r="F223" s="17" t="s">
        <v>271</v>
      </c>
      <c r="G223" s="6">
        <v>10</v>
      </c>
      <c r="I223" s="1" t="str">
        <f t="shared" si="145"/>
        <v>0</v>
      </c>
      <c r="M223" s="1" t="s">
        <v>14</v>
      </c>
      <c r="Q223" s="1" t="b">
        <f t="shared" si="146"/>
        <v>1</v>
      </c>
      <c r="R223" s="6"/>
      <c r="S223" s="6"/>
    </row>
    <row r="224" spans="1:20" x14ac:dyDescent="0.15">
      <c r="B224" t="s">
        <v>334</v>
      </c>
      <c r="D224" t="s">
        <v>222</v>
      </c>
      <c r="E224" s="9" t="s">
        <v>271</v>
      </c>
      <c r="F224" s="17" t="s">
        <v>271</v>
      </c>
      <c r="G224">
        <v>16</v>
      </c>
      <c r="I224" s="1" t="str">
        <f t="shared" si="145"/>
        <v>0</v>
      </c>
      <c r="M224" s="1" t="s">
        <v>14</v>
      </c>
      <c r="Q224" s="1" t="b">
        <f t="shared" si="146"/>
        <v>1</v>
      </c>
      <c r="R224" s="6"/>
      <c r="S224" s="6"/>
    </row>
    <row r="225" spans="2:19" x14ac:dyDescent="0.15">
      <c r="C225" s="2" t="s">
        <v>266</v>
      </c>
      <c r="D225" s="2" t="s">
        <v>220</v>
      </c>
      <c r="E225" s="11" t="s">
        <v>269</v>
      </c>
      <c r="F225" s="13" t="s">
        <v>272</v>
      </c>
      <c r="G225" s="2">
        <v>2</v>
      </c>
      <c r="H225" s="2"/>
      <c r="I225" s="3" t="str">
        <f t="shared" si="145"/>
        <v>1</v>
      </c>
      <c r="J225" s="2"/>
      <c r="K225" s="2"/>
      <c r="L225" s="2"/>
      <c r="M225" s="3" t="s">
        <v>44</v>
      </c>
      <c r="N225" s="2"/>
      <c r="O225" s="2"/>
      <c r="P225" s="2"/>
      <c r="Q225" s="3" t="b">
        <f t="shared" ref="Q225:Q231" si="147">getText(I225)=getText(M225)</f>
        <v>1</v>
      </c>
      <c r="R225" s="6"/>
      <c r="S225" s="6"/>
    </row>
    <row r="226" spans="2:19" x14ac:dyDescent="0.15">
      <c r="D226" s="6" t="s">
        <v>221</v>
      </c>
      <c r="E226" s="9" t="s">
        <v>270</v>
      </c>
      <c r="F226" s="17" t="s">
        <v>273</v>
      </c>
      <c r="G226" s="6">
        <v>10</v>
      </c>
      <c r="I226" s="1" t="str">
        <f t="shared" si="145"/>
        <v>9</v>
      </c>
      <c r="M226" s="1" t="s">
        <v>101</v>
      </c>
      <c r="Q226" s="1" t="b">
        <f t="shared" si="147"/>
        <v>1</v>
      </c>
      <c r="R226" s="6"/>
      <c r="S226" s="6"/>
    </row>
    <row r="227" spans="2:19" x14ac:dyDescent="0.15">
      <c r="D227" t="s">
        <v>222</v>
      </c>
      <c r="E227" s="9" t="s">
        <v>269</v>
      </c>
      <c r="F227" s="17" t="s">
        <v>274</v>
      </c>
      <c r="G227">
        <v>16</v>
      </c>
      <c r="I227" s="1" t="str">
        <f t="shared" si="145"/>
        <v>F</v>
      </c>
      <c r="M227" s="1" t="s">
        <v>99</v>
      </c>
      <c r="Q227" s="1" t="b">
        <f t="shared" si="147"/>
        <v>1</v>
      </c>
      <c r="R227" s="6"/>
      <c r="S227" s="6"/>
    </row>
    <row r="228" spans="2:19" x14ac:dyDescent="0.15">
      <c r="C228" s="2" t="s">
        <v>267</v>
      </c>
      <c r="D228" s="2" t="s">
        <v>220</v>
      </c>
      <c r="E228" s="11" t="s">
        <v>44</v>
      </c>
      <c r="F228" s="13" t="s">
        <v>271</v>
      </c>
      <c r="G228" s="2">
        <v>2</v>
      </c>
      <c r="H228" s="2"/>
      <c r="I228" s="3" t="str">
        <f t="shared" si="145"/>
        <v>1</v>
      </c>
      <c r="J228" s="2"/>
      <c r="K228" s="2"/>
      <c r="L228" s="2"/>
      <c r="M228" s="3" t="s">
        <v>44</v>
      </c>
      <c r="N228" s="2"/>
      <c r="O228" s="2"/>
      <c r="P228" s="2"/>
      <c r="Q228" s="3" t="b">
        <f t="shared" si="147"/>
        <v>1</v>
      </c>
      <c r="R228" s="6"/>
      <c r="S228" s="6"/>
    </row>
    <row r="229" spans="2:19" x14ac:dyDescent="0.15">
      <c r="D229" s="6" t="s">
        <v>221</v>
      </c>
      <c r="E229" s="9" t="s">
        <v>101</v>
      </c>
      <c r="F229" s="14" t="s">
        <v>275</v>
      </c>
      <c r="G229" s="6">
        <v>10</v>
      </c>
      <c r="H229" s="6"/>
      <c r="I229" s="1" t="str">
        <f t="shared" si="145"/>
        <v>9</v>
      </c>
      <c r="J229" s="6"/>
      <c r="K229" s="6"/>
      <c r="L229" s="6"/>
      <c r="M229" s="1" t="s">
        <v>101</v>
      </c>
      <c r="N229" s="6"/>
      <c r="O229" s="6"/>
      <c r="P229" s="6"/>
      <c r="Q229" s="1" t="b">
        <f t="shared" si="147"/>
        <v>1</v>
      </c>
      <c r="R229" s="6"/>
      <c r="S229" s="6"/>
    </row>
    <row r="230" spans="2:19" x14ac:dyDescent="0.15">
      <c r="D230" t="s">
        <v>222</v>
      </c>
      <c r="E230" s="9" t="s">
        <v>99</v>
      </c>
      <c r="F230" s="17" t="s">
        <v>271</v>
      </c>
      <c r="G230">
        <v>16</v>
      </c>
      <c r="I230" s="1" t="str">
        <f t="shared" si="145"/>
        <v>F</v>
      </c>
      <c r="M230" s="1" t="s">
        <v>99</v>
      </c>
      <c r="Q230" s="1" t="b">
        <f t="shared" si="147"/>
        <v>1</v>
      </c>
      <c r="R230" s="6"/>
      <c r="S230" s="6"/>
    </row>
    <row r="231" spans="2:19" x14ac:dyDescent="0.15">
      <c r="C231" s="2" t="s">
        <v>268</v>
      </c>
      <c r="D231" s="2" t="s">
        <v>220</v>
      </c>
      <c r="E231" s="11" t="s">
        <v>44</v>
      </c>
      <c r="F231" s="13" t="s">
        <v>44</v>
      </c>
      <c r="G231" s="2">
        <v>2</v>
      </c>
      <c r="H231" s="2"/>
      <c r="I231" s="3" t="str">
        <f t="shared" si="145"/>
        <v>10</v>
      </c>
      <c r="J231" s="2"/>
      <c r="K231" s="2"/>
      <c r="L231" s="2"/>
      <c r="M231" s="3" t="s">
        <v>15</v>
      </c>
      <c r="N231" s="2"/>
      <c r="O231" s="2"/>
      <c r="P231" s="2"/>
      <c r="Q231" s="3" t="b">
        <f t="shared" si="147"/>
        <v>1</v>
      </c>
      <c r="R231" s="6"/>
      <c r="S231" s="6"/>
    </row>
    <row r="232" spans="2:19" x14ac:dyDescent="0.15">
      <c r="D232" s="6" t="s">
        <v>284</v>
      </c>
      <c r="E232" s="9" t="s">
        <v>101</v>
      </c>
      <c r="F232" s="17" t="s">
        <v>101</v>
      </c>
      <c r="G232" s="6">
        <v>10</v>
      </c>
      <c r="I232" s="1" t="str">
        <f t="shared" si="145"/>
        <v>18</v>
      </c>
      <c r="M232" s="1" t="s">
        <v>255</v>
      </c>
      <c r="Q232" s="1" t="b">
        <f t="shared" ref="Q232:Q235" si="148">getText(I232)=getText(M232)</f>
        <v>1</v>
      </c>
      <c r="R232" s="6"/>
      <c r="S232" s="6"/>
    </row>
    <row r="233" spans="2:19" x14ac:dyDescent="0.15">
      <c r="D233" t="s">
        <v>285</v>
      </c>
      <c r="E233" s="9" t="s">
        <v>288</v>
      </c>
      <c r="F233" s="17" t="s">
        <v>283</v>
      </c>
      <c r="G233" s="7">
        <v>10</v>
      </c>
      <c r="I233" s="1" t="str">
        <f t="shared" ref="I233:I235" si="149">TESTadd(E233,F233,G233)</f>
        <v>10</v>
      </c>
      <c r="M233" s="1" t="s">
        <v>15</v>
      </c>
      <c r="Q233" s="1" t="b">
        <f t="shared" si="148"/>
        <v>1</v>
      </c>
      <c r="R233" s="6"/>
      <c r="S233" s="6"/>
    </row>
    <row r="234" spans="2:19" x14ac:dyDescent="0.15">
      <c r="D234" t="s">
        <v>286</v>
      </c>
      <c r="E234" s="9" t="s">
        <v>99</v>
      </c>
      <c r="F234" s="17" t="s">
        <v>99</v>
      </c>
      <c r="G234">
        <v>16</v>
      </c>
      <c r="I234" s="1" t="str">
        <f t="shared" si="149"/>
        <v>1E</v>
      </c>
      <c r="M234" s="1" t="s">
        <v>256</v>
      </c>
      <c r="Q234" s="1" t="b">
        <f t="shared" si="148"/>
        <v>1</v>
      </c>
      <c r="R234" s="6"/>
      <c r="S234" s="6"/>
    </row>
    <row r="235" spans="2:19" x14ac:dyDescent="0.15">
      <c r="D235" t="s">
        <v>287</v>
      </c>
      <c r="E235" s="9" t="s">
        <v>289</v>
      </c>
      <c r="F235" s="17" t="s">
        <v>290</v>
      </c>
      <c r="G235">
        <v>16</v>
      </c>
      <c r="I235" s="1" t="str">
        <f t="shared" si="149"/>
        <v>10</v>
      </c>
      <c r="M235" s="1" t="s">
        <v>15</v>
      </c>
      <c r="Q235" s="1" t="b">
        <f t="shared" si="148"/>
        <v>1</v>
      </c>
      <c r="R235" s="6"/>
      <c r="S235" s="6"/>
    </row>
    <row r="236" spans="2:19" x14ac:dyDescent="0.15">
      <c r="B236" s="6"/>
      <c r="C236" s="2" t="s">
        <v>238</v>
      </c>
      <c r="D236" s="2" t="s">
        <v>220</v>
      </c>
      <c r="E236" s="11" t="s">
        <v>248</v>
      </c>
      <c r="F236" s="13" t="s">
        <v>259</v>
      </c>
      <c r="G236" s="2">
        <v>2</v>
      </c>
      <c r="H236" s="2"/>
      <c r="I236" s="3" t="str">
        <f t="shared" ref="I236" si="150">TESTadd(E236,F236,G236)</f>
        <v>01</v>
      </c>
      <c r="J236" s="2"/>
      <c r="K236" s="2"/>
      <c r="L236" s="2"/>
      <c r="M236" s="3" t="s">
        <v>248</v>
      </c>
      <c r="N236" s="2"/>
      <c r="O236" s="2"/>
      <c r="P236" s="2"/>
      <c r="Q236" s="3" t="b">
        <f t="shared" ref="Q236:Q238" si="151">getText(I236)=getText(M236)</f>
        <v>1</v>
      </c>
      <c r="R236" s="6"/>
      <c r="S236" s="6"/>
    </row>
    <row r="237" spans="2:19" x14ac:dyDescent="0.15">
      <c r="D237" t="s">
        <v>221</v>
      </c>
      <c r="E237" s="9" t="s">
        <v>250</v>
      </c>
      <c r="F237" s="17" t="s">
        <v>259</v>
      </c>
      <c r="G237">
        <v>10</v>
      </c>
      <c r="I237" s="1" t="str">
        <f t="shared" ref="I237" si="152">TESTadd(E237,F237,G237)</f>
        <v>09</v>
      </c>
      <c r="M237" s="1" t="s">
        <v>250</v>
      </c>
      <c r="Q237" s="1" t="b">
        <f t="shared" si="151"/>
        <v>1</v>
      </c>
      <c r="R237" s="6"/>
      <c r="S237" s="6"/>
    </row>
    <row r="238" spans="2:19" x14ac:dyDescent="0.15">
      <c r="D238" t="s">
        <v>222</v>
      </c>
      <c r="E238" s="9" t="s">
        <v>253</v>
      </c>
      <c r="F238" s="17" t="s">
        <v>247</v>
      </c>
      <c r="G238">
        <v>16</v>
      </c>
      <c r="I238" s="1" t="str">
        <f t="shared" ref="I238" si="153">TESTadd(E238,F238,G238)</f>
        <v>0F</v>
      </c>
      <c r="M238" s="1" t="s">
        <v>253</v>
      </c>
      <c r="Q238" s="1" t="b">
        <f t="shared" si="151"/>
        <v>1</v>
      </c>
      <c r="R238" s="6"/>
      <c r="S238" s="6"/>
    </row>
    <row r="239" spans="2:19" x14ac:dyDescent="0.15">
      <c r="C239" s="2" t="s">
        <v>239</v>
      </c>
      <c r="D239" s="2" t="s">
        <v>220</v>
      </c>
      <c r="E239" s="11" t="s">
        <v>249</v>
      </c>
      <c r="F239" s="13" t="s">
        <v>249</v>
      </c>
      <c r="G239" s="2">
        <v>2</v>
      </c>
      <c r="H239" s="2"/>
      <c r="I239" s="3" t="str">
        <f t="shared" ref="I239" si="154">TESTadd(E239,F239,G239)</f>
        <v>10</v>
      </c>
      <c r="J239" s="2"/>
      <c r="K239" s="2"/>
      <c r="L239" s="2"/>
      <c r="M239" s="3" t="s">
        <v>15</v>
      </c>
      <c r="N239" s="2"/>
      <c r="O239" s="2"/>
      <c r="P239" s="2"/>
      <c r="Q239" s="3" t="b">
        <f t="shared" ref="Q239:Q241" si="155">getText(I239)=getText(M239)</f>
        <v>1</v>
      </c>
      <c r="R239" s="6"/>
      <c r="S239" s="6"/>
    </row>
    <row r="240" spans="2:19" x14ac:dyDescent="0.15">
      <c r="D240" t="s">
        <v>221</v>
      </c>
      <c r="E240" s="9" t="s">
        <v>251</v>
      </c>
      <c r="F240" s="17" t="s">
        <v>252</v>
      </c>
      <c r="G240">
        <v>10</v>
      </c>
      <c r="I240" s="1" t="str">
        <f t="shared" ref="I240" si="156">TESTadd(E240,F240,G240)</f>
        <v>18</v>
      </c>
      <c r="M240" s="1" t="s">
        <v>255</v>
      </c>
      <c r="Q240" s="1" t="b">
        <f t="shared" si="155"/>
        <v>1</v>
      </c>
      <c r="R240" s="6"/>
      <c r="S240" s="6"/>
    </row>
    <row r="241" spans="3:19" x14ac:dyDescent="0.15">
      <c r="D241" t="s">
        <v>222</v>
      </c>
      <c r="E241" s="9" t="s">
        <v>254</v>
      </c>
      <c r="F241" s="17" t="s">
        <v>254</v>
      </c>
      <c r="G241">
        <v>16</v>
      </c>
      <c r="I241" s="1" t="str">
        <f t="shared" ref="I241" si="157">TESTadd(E241,F241,G241)</f>
        <v>1E</v>
      </c>
      <c r="M241" s="1" t="s">
        <v>256</v>
      </c>
      <c r="Q241" s="1" t="b">
        <f t="shared" si="155"/>
        <v>1</v>
      </c>
      <c r="R241" s="6"/>
      <c r="S241" s="6"/>
    </row>
    <row r="242" spans="3:19" x14ac:dyDescent="0.15">
      <c r="C242" s="2" t="s">
        <v>240</v>
      </c>
      <c r="D242" s="2" t="s">
        <v>220</v>
      </c>
      <c r="E242" s="11" t="s">
        <v>248</v>
      </c>
      <c r="F242" s="13" t="s">
        <v>257</v>
      </c>
      <c r="G242" s="2">
        <v>2</v>
      </c>
      <c r="H242" s="2"/>
      <c r="I242" s="3" t="str">
        <f t="shared" ref="I242:I244" si="158">TESTadd(E242,F242,G242)</f>
        <v>11</v>
      </c>
      <c r="J242" s="2"/>
      <c r="K242" s="2"/>
      <c r="L242" s="2"/>
      <c r="M242" s="3" t="s">
        <v>18</v>
      </c>
      <c r="N242" s="2"/>
      <c r="O242" s="2"/>
      <c r="P242" s="2"/>
      <c r="Q242" s="3" t="b">
        <f t="shared" ref="Q242:Q244" si="159">getText(I242)=getText(M242)</f>
        <v>1</v>
      </c>
      <c r="R242" s="6"/>
      <c r="S242" s="6"/>
    </row>
    <row r="243" spans="3:19" x14ac:dyDescent="0.15">
      <c r="D243" t="s">
        <v>221</v>
      </c>
      <c r="E243" s="9" t="s">
        <v>250</v>
      </c>
      <c r="F243" s="17" t="s">
        <v>260</v>
      </c>
      <c r="G243">
        <v>10</v>
      </c>
      <c r="I243" s="1" t="str">
        <f t="shared" si="158"/>
        <v>99</v>
      </c>
      <c r="M243" s="1" t="s">
        <v>228</v>
      </c>
      <c r="Q243" s="1" t="b">
        <f t="shared" si="159"/>
        <v>1</v>
      </c>
      <c r="R243" s="6"/>
      <c r="S243" s="6"/>
    </row>
    <row r="244" spans="3:19" x14ac:dyDescent="0.15">
      <c r="D244" t="s">
        <v>222</v>
      </c>
      <c r="E244" s="9" t="s">
        <v>253</v>
      </c>
      <c r="F244" s="17" t="s">
        <v>261</v>
      </c>
      <c r="G244">
        <v>16</v>
      </c>
      <c r="I244" s="1" t="str">
        <f t="shared" si="158"/>
        <v>FF</v>
      </c>
      <c r="M244" s="1" t="s">
        <v>22</v>
      </c>
      <c r="Q244" s="1" t="b">
        <f t="shared" si="159"/>
        <v>1</v>
      </c>
      <c r="R244" s="6"/>
      <c r="S244" s="6"/>
    </row>
    <row r="245" spans="3:19" x14ac:dyDescent="0.15">
      <c r="C245" s="2" t="s">
        <v>241</v>
      </c>
      <c r="D245" s="2" t="s">
        <v>220</v>
      </c>
      <c r="E245" s="11" t="s">
        <v>249</v>
      </c>
      <c r="F245" s="13" t="s">
        <v>226</v>
      </c>
      <c r="G245" s="2">
        <v>2</v>
      </c>
      <c r="H245" s="2"/>
      <c r="I245" s="3" t="str">
        <f t="shared" ref="I245:I247" si="160">TESTadd(E245,F245,G245)</f>
        <v>100</v>
      </c>
      <c r="J245" s="2"/>
      <c r="K245" s="2"/>
      <c r="L245" s="2"/>
      <c r="M245" s="3" t="s">
        <v>21</v>
      </c>
      <c r="N245" s="2"/>
      <c r="O245" s="2"/>
      <c r="P245" s="2"/>
      <c r="Q245" s="3" t="b">
        <f t="shared" ref="Q245:Q247" si="161">getText(I245)=getText(M245)</f>
        <v>1</v>
      </c>
      <c r="R245" s="6"/>
      <c r="S245" s="6"/>
    </row>
    <row r="246" spans="3:19" x14ac:dyDescent="0.15">
      <c r="C246" s="6"/>
      <c r="D246" s="6" t="s">
        <v>221</v>
      </c>
      <c r="E246" s="9" t="s">
        <v>251</v>
      </c>
      <c r="F246" s="14" t="s">
        <v>262</v>
      </c>
      <c r="G246" s="6">
        <v>10</v>
      </c>
      <c r="H246" s="6"/>
      <c r="I246" s="1" t="str">
        <f t="shared" si="160"/>
        <v>108</v>
      </c>
      <c r="J246" s="6"/>
      <c r="K246" s="6"/>
      <c r="L246" s="6"/>
      <c r="M246" s="1" t="s">
        <v>263</v>
      </c>
      <c r="N246" s="6"/>
      <c r="O246" s="6"/>
      <c r="P246" s="6"/>
      <c r="Q246" s="1" t="b">
        <f t="shared" si="161"/>
        <v>1</v>
      </c>
      <c r="R246" s="6"/>
      <c r="S246" s="6"/>
    </row>
    <row r="247" spans="3:19" x14ac:dyDescent="0.15">
      <c r="D247" t="s">
        <v>222</v>
      </c>
      <c r="E247" s="9" t="s">
        <v>254</v>
      </c>
      <c r="F247" s="17" t="s">
        <v>231</v>
      </c>
      <c r="G247">
        <v>16</v>
      </c>
      <c r="I247" s="1" t="str">
        <f t="shared" si="160"/>
        <v>10E</v>
      </c>
      <c r="M247" s="1" t="s">
        <v>264</v>
      </c>
      <c r="Q247" s="1" t="b">
        <f t="shared" si="161"/>
        <v>1</v>
      </c>
      <c r="R247" s="6"/>
      <c r="S247" s="6"/>
    </row>
    <row r="248" spans="3:19" x14ac:dyDescent="0.15">
      <c r="C248" s="2" t="s">
        <v>242</v>
      </c>
      <c r="D248" s="2" t="s">
        <v>220</v>
      </c>
      <c r="E248" s="11" t="s">
        <v>276</v>
      </c>
      <c r="F248" s="13" t="s">
        <v>258</v>
      </c>
      <c r="G248" s="2">
        <v>2</v>
      </c>
      <c r="H248" s="2"/>
      <c r="I248" s="3" t="str">
        <f t="shared" ref="I248:I250" si="162">TESTadd(E248,F248,G248)</f>
        <v>100</v>
      </c>
      <c r="J248" s="2"/>
      <c r="K248" s="2"/>
      <c r="L248" s="2"/>
      <c r="M248" s="3" t="s">
        <v>21</v>
      </c>
      <c r="N248" s="2"/>
      <c r="O248" s="2"/>
      <c r="P248" s="2"/>
      <c r="Q248" s="3" t="b">
        <f t="shared" ref="Q248:Q250" si="163">getText(I248)=getText(M248)</f>
        <v>1</v>
      </c>
      <c r="R248" s="6"/>
      <c r="S248" s="6"/>
    </row>
    <row r="249" spans="3:19" x14ac:dyDescent="0.15">
      <c r="C249" s="6"/>
      <c r="D249" s="6" t="s">
        <v>221</v>
      </c>
      <c r="E249" s="9" t="s">
        <v>262</v>
      </c>
      <c r="F249" s="14" t="s">
        <v>251</v>
      </c>
      <c r="G249" s="6">
        <v>10</v>
      </c>
      <c r="H249" s="6"/>
      <c r="I249" s="1" t="str">
        <f t="shared" si="162"/>
        <v>108</v>
      </c>
      <c r="J249" s="6"/>
      <c r="K249" s="6"/>
      <c r="L249" s="6"/>
      <c r="M249" s="1" t="s">
        <v>263</v>
      </c>
      <c r="N249" s="6"/>
      <c r="O249" s="6"/>
      <c r="P249" s="6"/>
      <c r="Q249" s="1" t="b">
        <f t="shared" si="163"/>
        <v>1</v>
      </c>
      <c r="R249" s="6"/>
      <c r="S249" s="6"/>
    </row>
    <row r="250" spans="3:19" x14ac:dyDescent="0.15">
      <c r="C250" s="6"/>
      <c r="D250" s="6" t="s">
        <v>222</v>
      </c>
      <c r="E250" s="9" t="s">
        <v>231</v>
      </c>
      <c r="F250" s="14" t="s">
        <v>254</v>
      </c>
      <c r="G250" s="6">
        <v>16</v>
      </c>
      <c r="H250" s="6"/>
      <c r="I250" s="1" t="str">
        <f t="shared" si="162"/>
        <v>10E</v>
      </c>
      <c r="J250" s="6"/>
      <c r="K250" s="6"/>
      <c r="L250" s="6"/>
      <c r="M250" s="1" t="s">
        <v>264</v>
      </c>
      <c r="N250" s="6"/>
      <c r="O250" s="6"/>
      <c r="P250" s="6"/>
      <c r="Q250" s="1" t="b">
        <f t="shared" si="163"/>
        <v>1</v>
      </c>
      <c r="R250" s="6"/>
      <c r="S250" s="6"/>
    </row>
    <row r="251" spans="3:19" x14ac:dyDescent="0.15">
      <c r="C251" s="2" t="s">
        <v>243</v>
      </c>
      <c r="D251" s="2" t="s">
        <v>220</v>
      </c>
      <c r="E251" s="11" t="s">
        <v>276</v>
      </c>
      <c r="F251" s="13" t="s">
        <v>258</v>
      </c>
      <c r="G251" s="2">
        <v>2</v>
      </c>
      <c r="H251" s="2"/>
      <c r="I251" s="3" t="str">
        <f t="shared" ref="I251:I253" si="164">TESTadd(E251,F251,G251)</f>
        <v>100</v>
      </c>
      <c r="J251" s="2"/>
      <c r="K251" s="2"/>
      <c r="L251" s="2"/>
      <c r="M251" s="3" t="s">
        <v>21</v>
      </c>
      <c r="N251" s="2"/>
      <c r="O251" s="2"/>
      <c r="P251" s="2"/>
      <c r="Q251" s="3" t="b">
        <f t="shared" ref="Q251:Q253" si="165">getText(I251)=getText(M251)</f>
        <v>1</v>
      </c>
      <c r="R251" s="6"/>
      <c r="S251" s="6"/>
    </row>
    <row r="252" spans="3:19" x14ac:dyDescent="0.15">
      <c r="C252" s="6"/>
      <c r="D252" s="6" t="s">
        <v>221</v>
      </c>
      <c r="E252" s="9" t="s">
        <v>262</v>
      </c>
      <c r="F252" s="14" t="s">
        <v>251</v>
      </c>
      <c r="G252" s="6">
        <v>10</v>
      </c>
      <c r="H252" s="6"/>
      <c r="I252" s="1" t="str">
        <f t="shared" si="164"/>
        <v>108</v>
      </c>
      <c r="J252" s="6"/>
      <c r="K252" s="6"/>
      <c r="L252" s="6"/>
      <c r="M252" s="1" t="s">
        <v>263</v>
      </c>
      <c r="N252" s="6"/>
      <c r="O252" s="6"/>
      <c r="P252" s="6"/>
      <c r="Q252" s="1" t="b">
        <f t="shared" si="165"/>
        <v>1</v>
      </c>
      <c r="R252" s="6"/>
      <c r="S252" s="6"/>
    </row>
    <row r="253" spans="3:19" x14ac:dyDescent="0.15">
      <c r="C253" s="6"/>
      <c r="D253" s="6" t="s">
        <v>222</v>
      </c>
      <c r="E253" s="9" t="s">
        <v>231</v>
      </c>
      <c r="F253" s="14" t="s">
        <v>254</v>
      </c>
      <c r="G253" s="6">
        <v>16</v>
      </c>
      <c r="H253" s="6"/>
      <c r="I253" s="1" t="str">
        <f t="shared" si="164"/>
        <v>10E</v>
      </c>
      <c r="J253" s="6"/>
      <c r="K253" s="6"/>
      <c r="L253" s="6"/>
      <c r="M253" s="1" t="s">
        <v>264</v>
      </c>
      <c r="N253" s="6"/>
      <c r="O253" s="6"/>
      <c r="P253" s="6"/>
      <c r="Q253" s="1" t="b">
        <f t="shared" si="165"/>
        <v>1</v>
      </c>
      <c r="R253" s="6"/>
      <c r="S253" s="6"/>
    </row>
    <row r="254" spans="3:19" x14ac:dyDescent="0.15">
      <c r="C254" s="2" t="s">
        <v>244</v>
      </c>
      <c r="D254" s="2" t="s">
        <v>220</v>
      </c>
      <c r="E254" s="11" t="s">
        <v>276</v>
      </c>
      <c r="F254" s="13" t="s">
        <v>277</v>
      </c>
      <c r="G254" s="2">
        <v>2</v>
      </c>
      <c r="H254" s="2"/>
      <c r="I254" s="3" t="str">
        <f t="shared" ref="I254:I256" si="166">TESTadd(E254,F254,G254)</f>
        <v>101</v>
      </c>
      <c r="J254" s="2"/>
      <c r="K254" s="2"/>
      <c r="L254" s="2"/>
      <c r="M254" s="3" t="s">
        <v>280</v>
      </c>
      <c r="N254" s="2"/>
      <c r="O254" s="2"/>
      <c r="P254" s="2"/>
      <c r="Q254" s="3" t="b">
        <f t="shared" ref="Q254:Q256" si="167">getText(I254)=getText(M254)</f>
        <v>1</v>
      </c>
      <c r="R254" s="6"/>
      <c r="S254" s="6"/>
    </row>
    <row r="255" spans="3:19" x14ac:dyDescent="0.15">
      <c r="C255" s="6"/>
      <c r="D255" s="6" t="s">
        <v>221</v>
      </c>
      <c r="E255" s="9" t="s">
        <v>262</v>
      </c>
      <c r="F255" s="14" t="s">
        <v>278</v>
      </c>
      <c r="G255" s="6">
        <v>10</v>
      </c>
      <c r="H255" s="6"/>
      <c r="I255" s="1" t="str">
        <f t="shared" si="166"/>
        <v>189</v>
      </c>
      <c r="J255" s="6"/>
      <c r="K255" s="6"/>
      <c r="L255" s="6"/>
      <c r="M255" s="1" t="s">
        <v>281</v>
      </c>
      <c r="N255" s="6"/>
      <c r="O255" s="6"/>
      <c r="P255" s="6"/>
      <c r="Q255" s="1" t="b">
        <f t="shared" si="167"/>
        <v>1</v>
      </c>
      <c r="R255" s="6"/>
      <c r="S255" s="6"/>
    </row>
    <row r="256" spans="3:19" x14ac:dyDescent="0.15">
      <c r="C256" s="6"/>
      <c r="D256" s="6" t="s">
        <v>222</v>
      </c>
      <c r="E256" s="9" t="s">
        <v>231</v>
      </c>
      <c r="F256" s="14" t="s">
        <v>279</v>
      </c>
      <c r="G256" s="6">
        <v>16</v>
      </c>
      <c r="H256" s="6"/>
      <c r="I256" s="1" t="str">
        <f t="shared" si="166"/>
        <v>1EF</v>
      </c>
      <c r="J256" s="6"/>
      <c r="K256" s="6"/>
      <c r="L256" s="6"/>
      <c r="M256" s="1" t="s">
        <v>282</v>
      </c>
      <c r="N256" s="6"/>
      <c r="O256" s="6"/>
      <c r="P256" s="6"/>
      <c r="Q256" s="1" t="b">
        <f t="shared" si="167"/>
        <v>1</v>
      </c>
      <c r="R256" s="6"/>
      <c r="S256" s="6"/>
    </row>
    <row r="257" spans="1:19" x14ac:dyDescent="0.15">
      <c r="C257" s="2" t="s">
        <v>245</v>
      </c>
      <c r="D257" s="2" t="s">
        <v>220</v>
      </c>
      <c r="E257" s="11" t="s">
        <v>276</v>
      </c>
      <c r="F257" s="13" t="s">
        <v>276</v>
      </c>
      <c r="G257" s="2">
        <v>2</v>
      </c>
      <c r="H257" s="2"/>
      <c r="I257" s="3" t="str">
        <f t="shared" ref="I257:I259" si="168">TESTadd(E257,F257,G257)</f>
        <v>110</v>
      </c>
      <c r="J257" s="2"/>
      <c r="K257" s="2"/>
      <c r="L257" s="2"/>
      <c r="M257" s="3" t="s">
        <v>291</v>
      </c>
      <c r="N257" s="2"/>
      <c r="O257" s="2"/>
      <c r="P257" s="2"/>
      <c r="Q257" s="3" t="b">
        <f t="shared" ref="Q257:Q283" si="169">getText(I257)=getText(M257)</f>
        <v>1</v>
      </c>
      <c r="R257" s="6"/>
      <c r="S257" s="6"/>
    </row>
    <row r="258" spans="1:19" x14ac:dyDescent="0.15">
      <c r="C258" s="6"/>
      <c r="D258" s="6" t="s">
        <v>221</v>
      </c>
      <c r="E258" s="9" t="s">
        <v>262</v>
      </c>
      <c r="F258" s="14" t="s">
        <v>262</v>
      </c>
      <c r="G258" s="6">
        <v>10</v>
      </c>
      <c r="H258" s="6"/>
      <c r="I258" s="1" t="str">
        <f t="shared" si="168"/>
        <v>198</v>
      </c>
      <c r="J258" s="6"/>
      <c r="K258" s="6"/>
      <c r="L258" s="6"/>
      <c r="M258" s="1" t="s">
        <v>292</v>
      </c>
      <c r="N258" s="6"/>
      <c r="O258" s="6"/>
      <c r="P258" s="6"/>
      <c r="Q258" s="1" t="b">
        <f t="shared" si="169"/>
        <v>1</v>
      </c>
      <c r="R258" s="6"/>
      <c r="S258" s="6"/>
    </row>
    <row r="259" spans="1:19" x14ac:dyDescent="0.15">
      <c r="C259" s="6"/>
      <c r="D259" s="6" t="s">
        <v>222</v>
      </c>
      <c r="E259" s="9" t="s">
        <v>231</v>
      </c>
      <c r="F259" s="14" t="s">
        <v>231</v>
      </c>
      <c r="G259" s="6">
        <v>16</v>
      </c>
      <c r="H259" s="6"/>
      <c r="I259" s="1" t="str">
        <f t="shared" si="168"/>
        <v>1FE</v>
      </c>
      <c r="J259" s="6"/>
      <c r="K259" s="6"/>
      <c r="L259" s="6"/>
      <c r="M259" s="1" t="s">
        <v>293</v>
      </c>
      <c r="N259" s="6"/>
      <c r="O259" s="6"/>
      <c r="P259" s="6"/>
      <c r="Q259" s="1" t="b">
        <f t="shared" si="169"/>
        <v>1</v>
      </c>
      <c r="R259" s="6"/>
      <c r="S259" s="6"/>
    </row>
    <row r="260" spans="1:19" x14ac:dyDescent="0.15">
      <c r="A260" s="2" t="s">
        <v>477</v>
      </c>
      <c r="B260" s="2" t="s">
        <v>213</v>
      </c>
      <c r="C260" s="2" t="s">
        <v>214</v>
      </c>
      <c r="D260" s="2"/>
      <c r="E260" s="11">
        <v>0</v>
      </c>
      <c r="F260" s="13">
        <v>0</v>
      </c>
      <c r="G260" s="2">
        <v>2</v>
      </c>
      <c r="H260" s="2"/>
      <c r="I260" s="3" t="str">
        <f>TESTsubtract(E260,F260,G260)</f>
        <v>0</v>
      </c>
      <c r="J260" s="2" t="b">
        <f>TESTsubtractByRef1(E260,F260,G260)</f>
        <v>0</v>
      </c>
      <c r="K260" s="2"/>
      <c r="L260" s="2"/>
      <c r="M260" s="3" t="s">
        <v>14</v>
      </c>
      <c r="N260" s="2" t="b">
        <v>0</v>
      </c>
      <c r="O260" s="2"/>
      <c r="P260" s="2"/>
      <c r="Q260" s="3" t="b">
        <f t="shared" si="169"/>
        <v>1</v>
      </c>
      <c r="R260" s="2" t="b">
        <f t="shared" ref="R260:R283" si="170">getText(J260)=getText(N260)</f>
        <v>1</v>
      </c>
      <c r="S260" s="6"/>
    </row>
    <row r="261" spans="1:19" x14ac:dyDescent="0.15">
      <c r="C261" t="s">
        <v>215</v>
      </c>
      <c r="D261" s="6"/>
      <c r="E261" s="9">
        <v>0</v>
      </c>
      <c r="F261" s="17" t="s">
        <v>217</v>
      </c>
      <c r="G261">
        <v>2</v>
      </c>
      <c r="H261" s="6"/>
      <c r="I261" s="1" t="str">
        <f t="shared" ref="I261:I262" si="171">TESTsubtract(E261,F261,G261)</f>
        <v>00</v>
      </c>
      <c r="J261" s="6" t="b">
        <f t="shared" ref="J261:J262" si="172">TESTsubtractByRef1(E261,F261,G261)</f>
        <v>0</v>
      </c>
      <c r="K261" s="6"/>
      <c r="L261" s="6"/>
      <c r="M261" s="1" t="s">
        <v>98</v>
      </c>
      <c r="N261" s="6" t="b">
        <v>0</v>
      </c>
      <c r="O261" s="6"/>
      <c r="P261" s="6"/>
      <c r="Q261" s="1" t="b">
        <f t="shared" si="169"/>
        <v>1</v>
      </c>
      <c r="R261" s="6" t="b">
        <f t="shared" si="170"/>
        <v>1</v>
      </c>
      <c r="S261" s="6"/>
    </row>
    <row r="262" spans="1:19" x14ac:dyDescent="0.15">
      <c r="C262" t="s">
        <v>216</v>
      </c>
      <c r="D262" s="6"/>
      <c r="E262" s="9" t="s">
        <v>217</v>
      </c>
      <c r="F262" s="17" t="s">
        <v>121</v>
      </c>
      <c r="G262">
        <v>2</v>
      </c>
      <c r="H262" s="6"/>
      <c r="I262" s="1" t="str">
        <f t="shared" si="171"/>
        <v>00</v>
      </c>
      <c r="J262" s="6" t="b">
        <f t="shared" si="172"/>
        <v>0</v>
      </c>
      <c r="K262" s="6"/>
      <c r="L262" s="6"/>
      <c r="M262" s="1" t="s">
        <v>98</v>
      </c>
      <c r="N262" s="6" t="b">
        <v>0</v>
      </c>
      <c r="O262" s="6"/>
      <c r="P262" s="6"/>
      <c r="Q262" s="1" t="b">
        <f t="shared" si="169"/>
        <v>1</v>
      </c>
      <c r="R262" s="6" t="b">
        <f t="shared" si="170"/>
        <v>1</v>
      </c>
      <c r="S262" s="6"/>
    </row>
    <row r="263" spans="1:19" x14ac:dyDescent="0.15">
      <c r="B263" s="2" t="s">
        <v>478</v>
      </c>
      <c r="C263" s="2" t="s">
        <v>219</v>
      </c>
      <c r="D263" s="2" t="s">
        <v>46</v>
      </c>
      <c r="E263" s="11" t="s">
        <v>479</v>
      </c>
      <c r="F263" s="13" t="s">
        <v>480</v>
      </c>
      <c r="G263" s="2">
        <v>2</v>
      </c>
      <c r="H263" s="2"/>
      <c r="I263" s="3" t="str">
        <f t="shared" ref="I263" si="173">TESTsubtract(E263,F263,G263)</f>
        <v>0</v>
      </c>
      <c r="J263" s="2" t="b">
        <f t="shared" ref="J263" si="174">TESTsubtractByRef1(E263,F263,G263)</f>
        <v>0</v>
      </c>
      <c r="K263" s="2"/>
      <c r="L263" s="2"/>
      <c r="M263" s="3" t="s">
        <v>14</v>
      </c>
      <c r="N263" s="2" t="b">
        <v>0</v>
      </c>
      <c r="O263" s="2"/>
      <c r="P263" s="2"/>
      <c r="Q263" s="3" t="b">
        <f t="shared" si="169"/>
        <v>1</v>
      </c>
      <c r="R263" s="2" t="b">
        <f t="shared" si="170"/>
        <v>1</v>
      </c>
      <c r="S263" s="6"/>
    </row>
    <row r="264" spans="1:19" x14ac:dyDescent="0.15">
      <c r="D264" t="s">
        <v>47</v>
      </c>
      <c r="E264" s="9" t="s">
        <v>481</v>
      </c>
      <c r="F264" s="14" t="s">
        <v>481</v>
      </c>
      <c r="G264">
        <v>10</v>
      </c>
      <c r="H264" s="6"/>
      <c r="I264" s="1" t="str">
        <f t="shared" ref="I264" si="175">TESTsubtract(E264,F264,G264)</f>
        <v>0</v>
      </c>
      <c r="J264" s="6" t="b">
        <f t="shared" ref="J264" si="176">TESTsubtractByRef1(E264,F264,G264)</f>
        <v>0</v>
      </c>
      <c r="K264" s="6"/>
      <c r="L264" s="6"/>
      <c r="M264" s="1" t="s">
        <v>14</v>
      </c>
      <c r="N264" s="6" t="b">
        <v>0</v>
      </c>
      <c r="O264" s="6"/>
      <c r="P264" s="6"/>
      <c r="Q264" s="1" t="b">
        <f t="shared" si="169"/>
        <v>1</v>
      </c>
      <c r="R264" s="6" t="b">
        <f t="shared" si="170"/>
        <v>1</v>
      </c>
      <c r="S264" s="6"/>
    </row>
    <row r="265" spans="1:19" x14ac:dyDescent="0.15">
      <c r="D265" t="s">
        <v>49</v>
      </c>
      <c r="E265" s="9" t="s">
        <v>482</v>
      </c>
      <c r="F265" s="14" t="s">
        <v>482</v>
      </c>
      <c r="G265">
        <v>16</v>
      </c>
      <c r="H265" s="6"/>
      <c r="I265" s="1" t="str">
        <f t="shared" ref="I265:I268" si="177">TESTsubtract(E265,F265,G265)</f>
        <v>0</v>
      </c>
      <c r="J265" s="6" t="b">
        <f t="shared" ref="J265:J268" si="178">TESTsubtractByRef1(E265,F265,G265)</f>
        <v>0</v>
      </c>
      <c r="K265" s="6"/>
      <c r="L265" s="6"/>
      <c r="M265" s="1" t="s">
        <v>14</v>
      </c>
      <c r="N265" s="6" t="b">
        <v>0</v>
      </c>
      <c r="O265" s="6"/>
      <c r="P265" s="6"/>
      <c r="Q265" s="1" t="b">
        <f t="shared" si="169"/>
        <v>1</v>
      </c>
      <c r="R265" s="6" t="b">
        <f t="shared" si="170"/>
        <v>1</v>
      </c>
      <c r="S265" s="6"/>
    </row>
    <row r="266" spans="1:19" x14ac:dyDescent="0.15">
      <c r="C266" s="2" t="s">
        <v>224</v>
      </c>
      <c r="D266" s="2" t="s">
        <v>46</v>
      </c>
      <c r="E266" s="11" t="s">
        <v>483</v>
      </c>
      <c r="F266" s="13" t="s">
        <v>484</v>
      </c>
      <c r="G266" s="2">
        <v>2</v>
      </c>
      <c r="H266" s="2"/>
      <c r="I266" s="3" t="str">
        <f t="shared" si="177"/>
        <v>01</v>
      </c>
      <c r="J266" s="2" t="b">
        <f t="shared" si="178"/>
        <v>0</v>
      </c>
      <c r="K266" s="2"/>
      <c r="L266" s="2"/>
      <c r="M266" s="3" t="s">
        <v>248</v>
      </c>
      <c r="N266" s="2" t="b">
        <v>0</v>
      </c>
      <c r="O266" s="2"/>
      <c r="P266" s="2"/>
      <c r="Q266" s="3" t="b">
        <f t="shared" si="169"/>
        <v>1</v>
      </c>
      <c r="R266" s="2" t="b">
        <f t="shared" si="170"/>
        <v>1</v>
      </c>
      <c r="S266" s="6"/>
    </row>
    <row r="267" spans="1:19" x14ac:dyDescent="0.15">
      <c r="D267" t="s">
        <v>47</v>
      </c>
      <c r="E267" s="9" t="s">
        <v>483</v>
      </c>
      <c r="F267" s="14" t="s">
        <v>479</v>
      </c>
      <c r="G267">
        <v>10</v>
      </c>
      <c r="H267" s="6"/>
      <c r="I267" s="1" t="str">
        <f t="shared" si="177"/>
        <v>09</v>
      </c>
      <c r="J267" s="6" t="b">
        <f t="shared" si="178"/>
        <v>0</v>
      </c>
      <c r="K267" s="6"/>
      <c r="L267" s="6"/>
      <c r="M267" s="1" t="s">
        <v>250</v>
      </c>
      <c r="N267" s="6" t="b">
        <v>0</v>
      </c>
      <c r="O267" s="6"/>
      <c r="P267" s="6"/>
      <c r="Q267" s="1" t="b">
        <f t="shared" si="169"/>
        <v>1</v>
      </c>
      <c r="R267" s="6" t="b">
        <f t="shared" si="170"/>
        <v>1</v>
      </c>
      <c r="S267" s="6"/>
    </row>
    <row r="268" spans="1:19" x14ac:dyDescent="0.15">
      <c r="D268" t="s">
        <v>49</v>
      </c>
      <c r="E268" s="9" t="s">
        <v>483</v>
      </c>
      <c r="F268" s="14" t="s">
        <v>479</v>
      </c>
      <c r="G268">
        <v>16</v>
      </c>
      <c r="H268" s="6"/>
      <c r="I268" s="1" t="str">
        <f t="shared" si="177"/>
        <v>0F</v>
      </c>
      <c r="J268" s="6" t="b">
        <f t="shared" si="178"/>
        <v>0</v>
      </c>
      <c r="K268" s="6"/>
      <c r="L268" s="6"/>
      <c r="M268" s="1" t="s">
        <v>253</v>
      </c>
      <c r="N268" s="6" t="b">
        <v>0</v>
      </c>
      <c r="O268" s="6"/>
      <c r="P268" s="6"/>
      <c r="Q268" s="1" t="b">
        <f t="shared" si="169"/>
        <v>1</v>
      </c>
      <c r="R268" s="6" t="b">
        <f t="shared" si="170"/>
        <v>1</v>
      </c>
      <c r="S268" s="6"/>
    </row>
    <row r="269" spans="1:19" x14ac:dyDescent="0.15">
      <c r="C269" s="2" t="s">
        <v>225</v>
      </c>
      <c r="D269" s="2" t="s">
        <v>46</v>
      </c>
      <c r="E269" s="11" t="s">
        <v>485</v>
      </c>
      <c r="F269" s="13" t="s">
        <v>479</v>
      </c>
      <c r="G269" s="2">
        <v>2</v>
      </c>
      <c r="H269" s="2"/>
      <c r="I269" s="3" t="str">
        <f t="shared" ref="I269:I271" si="179">TESTsubtract(E269,F269,G269)</f>
        <v>011</v>
      </c>
      <c r="J269" s="2" t="b">
        <f t="shared" ref="J269:J271" si="180">TESTsubtractByRef1(E269,F269,G269)</f>
        <v>0</v>
      </c>
      <c r="K269" s="2"/>
      <c r="L269" s="2"/>
      <c r="M269" s="3" t="s">
        <v>78</v>
      </c>
      <c r="N269" s="2" t="b">
        <v>0</v>
      </c>
      <c r="O269" s="2"/>
      <c r="P269" s="2"/>
      <c r="Q269" s="3" t="b">
        <f t="shared" si="169"/>
        <v>1</v>
      </c>
      <c r="R269" s="2" t="b">
        <f t="shared" si="170"/>
        <v>1</v>
      </c>
      <c r="S269" s="6"/>
    </row>
    <row r="270" spans="1:19" x14ac:dyDescent="0.15">
      <c r="C270" s="6"/>
      <c r="D270" s="6" t="s">
        <v>47</v>
      </c>
      <c r="E270" s="9" t="s">
        <v>21</v>
      </c>
      <c r="F270" s="14" t="s">
        <v>486</v>
      </c>
      <c r="G270" s="6">
        <v>10</v>
      </c>
      <c r="H270" s="6"/>
      <c r="I270" s="1" t="str">
        <f t="shared" si="179"/>
        <v>099</v>
      </c>
      <c r="J270" s="6" t="b">
        <f t="shared" si="180"/>
        <v>0</v>
      </c>
      <c r="K270" s="6"/>
      <c r="L270" s="6"/>
      <c r="M270" s="1" t="s">
        <v>154</v>
      </c>
      <c r="N270" s="6" t="b">
        <v>0</v>
      </c>
      <c r="O270" s="6"/>
      <c r="P270" s="6"/>
      <c r="Q270" s="1" t="b">
        <f t="shared" si="169"/>
        <v>1</v>
      </c>
      <c r="R270" s="6" t="b">
        <f t="shared" si="170"/>
        <v>1</v>
      </c>
      <c r="S270" s="6"/>
    </row>
    <row r="271" spans="1:19" x14ac:dyDescent="0.15">
      <c r="D271" t="s">
        <v>49</v>
      </c>
      <c r="E271" s="9" t="s">
        <v>21</v>
      </c>
      <c r="F271" s="14" t="s">
        <v>479</v>
      </c>
      <c r="G271">
        <v>16</v>
      </c>
      <c r="H271" s="6"/>
      <c r="I271" s="1" t="str">
        <f t="shared" si="179"/>
        <v>0FF</v>
      </c>
      <c r="J271" s="6" t="b">
        <f t="shared" si="180"/>
        <v>0</v>
      </c>
      <c r="K271" s="6"/>
      <c r="L271" s="6"/>
      <c r="M271" s="1" t="s">
        <v>157</v>
      </c>
      <c r="N271" s="6" t="b">
        <v>0</v>
      </c>
      <c r="O271" s="6"/>
      <c r="P271" s="6"/>
      <c r="Q271" s="1" t="b">
        <f t="shared" si="169"/>
        <v>1</v>
      </c>
      <c r="R271" s="6" t="b">
        <f t="shared" si="170"/>
        <v>1</v>
      </c>
      <c r="S271" s="6"/>
    </row>
    <row r="272" spans="1:19" x14ac:dyDescent="0.15">
      <c r="B272" s="2" t="s">
        <v>487</v>
      </c>
      <c r="C272" s="2" t="s">
        <v>488</v>
      </c>
      <c r="D272" s="2" t="s">
        <v>46</v>
      </c>
      <c r="E272" s="11" t="s">
        <v>491</v>
      </c>
      <c r="F272" s="13" t="s">
        <v>493</v>
      </c>
      <c r="G272" s="2">
        <v>2</v>
      </c>
      <c r="H272" s="2"/>
      <c r="I272" s="3" t="str">
        <f t="shared" ref="I272:I280" si="181">TESTsubtract(E272,F272,G272)</f>
        <v>100</v>
      </c>
      <c r="J272" s="2" t="b">
        <f t="shared" ref="J272:J280" si="182">TESTsubtractByRef1(E272,F272,G272)</f>
        <v>0</v>
      </c>
      <c r="K272" s="2"/>
      <c r="L272" s="2"/>
      <c r="M272" s="3" t="s">
        <v>21</v>
      </c>
      <c r="N272" s="2" t="b">
        <v>0</v>
      </c>
      <c r="O272" s="2"/>
      <c r="P272" s="2"/>
      <c r="Q272" s="3" t="b">
        <f t="shared" si="169"/>
        <v>1</v>
      </c>
      <c r="R272" s="2" t="b">
        <f t="shared" si="170"/>
        <v>1</v>
      </c>
      <c r="S272" s="6"/>
    </row>
    <row r="273" spans="3:19" x14ac:dyDescent="0.15">
      <c r="C273" s="6"/>
      <c r="D273" s="6" t="s">
        <v>47</v>
      </c>
      <c r="E273" s="9" t="s">
        <v>496</v>
      </c>
      <c r="F273" s="14" t="s">
        <v>492</v>
      </c>
      <c r="G273" s="6">
        <v>10</v>
      </c>
      <c r="H273" s="6"/>
      <c r="I273" s="1" t="str">
        <f t="shared" si="181"/>
        <v>100</v>
      </c>
      <c r="J273" s="6" t="b">
        <f t="shared" si="182"/>
        <v>0</v>
      </c>
      <c r="K273" s="6"/>
      <c r="L273" s="6"/>
      <c r="M273" s="1" t="s">
        <v>21</v>
      </c>
      <c r="N273" s="6" t="b">
        <v>0</v>
      </c>
      <c r="O273" s="6"/>
      <c r="P273" s="6"/>
      <c r="Q273" s="1" t="b">
        <f t="shared" si="169"/>
        <v>1</v>
      </c>
      <c r="R273" s="6" t="b">
        <f t="shared" si="170"/>
        <v>1</v>
      </c>
      <c r="S273" s="6"/>
    </row>
    <row r="274" spans="3:19" x14ac:dyDescent="0.15">
      <c r="C274" s="6"/>
      <c r="D274" t="s">
        <v>49</v>
      </c>
      <c r="E274" s="9" t="s">
        <v>497</v>
      </c>
      <c r="F274" s="14" t="s">
        <v>495</v>
      </c>
      <c r="G274">
        <v>16</v>
      </c>
      <c r="H274" s="6"/>
      <c r="I274" s="1" t="str">
        <f t="shared" si="181"/>
        <v>100</v>
      </c>
      <c r="J274" s="6" t="b">
        <f t="shared" si="182"/>
        <v>0</v>
      </c>
      <c r="K274" s="6"/>
      <c r="L274" s="6"/>
      <c r="M274" s="1" t="s">
        <v>21</v>
      </c>
      <c r="N274" s="6" t="b">
        <v>0</v>
      </c>
      <c r="O274" s="6"/>
      <c r="P274" s="6"/>
      <c r="Q274" s="1" t="b">
        <f t="shared" si="169"/>
        <v>1</v>
      </c>
      <c r="R274" s="6" t="b">
        <f t="shared" si="170"/>
        <v>1</v>
      </c>
      <c r="S274" s="6"/>
    </row>
    <row r="275" spans="3:19" x14ac:dyDescent="0.15">
      <c r="C275" s="2" t="s">
        <v>489</v>
      </c>
      <c r="D275" s="2" t="s">
        <v>46</v>
      </c>
      <c r="E275" s="11" t="s">
        <v>18</v>
      </c>
      <c r="F275" s="13" t="s">
        <v>31</v>
      </c>
      <c r="G275" s="2">
        <v>2</v>
      </c>
      <c r="H275" s="2"/>
      <c r="I275" s="3" t="str">
        <f t="shared" si="181"/>
        <v>100</v>
      </c>
      <c r="J275" s="2" t="b">
        <f t="shared" si="182"/>
        <v>1</v>
      </c>
      <c r="K275" s="2"/>
      <c r="L275" s="2"/>
      <c r="M275" s="3" t="s">
        <v>21</v>
      </c>
      <c r="N275" s="2" t="b">
        <v>1</v>
      </c>
      <c r="O275" s="2"/>
      <c r="P275" s="2"/>
      <c r="Q275" s="3" t="b">
        <f t="shared" si="169"/>
        <v>1</v>
      </c>
      <c r="R275" s="2" t="b">
        <f t="shared" si="170"/>
        <v>1</v>
      </c>
      <c r="S275" s="6"/>
    </row>
    <row r="276" spans="3:19" x14ac:dyDescent="0.15">
      <c r="C276" s="6"/>
      <c r="D276" s="6" t="s">
        <v>47</v>
      </c>
      <c r="E276" s="9" t="s">
        <v>228</v>
      </c>
      <c r="F276" s="14" t="s">
        <v>496</v>
      </c>
      <c r="G276" s="6">
        <v>10</v>
      </c>
      <c r="H276" s="6"/>
      <c r="I276" s="1" t="str">
        <f t="shared" si="181"/>
        <v>100</v>
      </c>
      <c r="J276" s="6" t="b">
        <f t="shared" si="182"/>
        <v>1</v>
      </c>
      <c r="K276" s="6"/>
      <c r="L276" s="6"/>
      <c r="M276" s="1" t="s">
        <v>21</v>
      </c>
      <c r="N276" s="6" t="b">
        <v>1</v>
      </c>
      <c r="O276" s="6"/>
      <c r="P276" s="6"/>
      <c r="Q276" s="1" t="b">
        <f t="shared" si="169"/>
        <v>1</v>
      </c>
      <c r="R276" s="6" t="b">
        <f t="shared" si="170"/>
        <v>1</v>
      </c>
      <c r="S276" s="6"/>
    </row>
    <row r="277" spans="3:19" x14ac:dyDescent="0.15">
      <c r="C277" s="6"/>
      <c r="D277" t="s">
        <v>49</v>
      </c>
      <c r="E277" s="9" t="s">
        <v>22</v>
      </c>
      <c r="F277" s="14" t="s">
        <v>497</v>
      </c>
      <c r="G277">
        <v>16</v>
      </c>
      <c r="H277" s="6"/>
      <c r="I277" s="1" t="str">
        <f t="shared" si="181"/>
        <v>100</v>
      </c>
      <c r="J277" s="6" t="b">
        <f t="shared" si="182"/>
        <v>1</v>
      </c>
      <c r="K277" s="6"/>
      <c r="L277" s="6"/>
      <c r="M277" s="1" t="s">
        <v>21</v>
      </c>
      <c r="N277" s="6" t="b">
        <v>1</v>
      </c>
      <c r="O277" s="6"/>
      <c r="P277" s="6"/>
      <c r="Q277" s="1" t="b">
        <f t="shared" si="169"/>
        <v>1</v>
      </c>
      <c r="R277" s="6" t="b">
        <f t="shared" si="170"/>
        <v>1</v>
      </c>
      <c r="S277" s="6"/>
    </row>
    <row r="278" spans="3:19" x14ac:dyDescent="0.15">
      <c r="C278" s="2" t="s">
        <v>490</v>
      </c>
      <c r="D278" s="2" t="s">
        <v>46</v>
      </c>
      <c r="E278" s="11" t="s">
        <v>498</v>
      </c>
      <c r="F278" s="13" t="s">
        <v>499</v>
      </c>
      <c r="G278" s="2">
        <v>2</v>
      </c>
      <c r="H278" s="2"/>
      <c r="I278" s="3" t="str">
        <f t="shared" si="181"/>
        <v>001</v>
      </c>
      <c r="J278" s="2" t="b">
        <f t="shared" si="182"/>
        <v>0</v>
      </c>
      <c r="K278" s="2"/>
      <c r="L278" s="2"/>
      <c r="M278" s="3" t="s">
        <v>82</v>
      </c>
      <c r="N278" s="2" t="b">
        <v>0</v>
      </c>
      <c r="O278" s="2"/>
      <c r="P278" s="2"/>
      <c r="Q278" s="3" t="b">
        <f t="shared" si="169"/>
        <v>1</v>
      </c>
      <c r="R278" s="2" t="b">
        <f t="shared" si="170"/>
        <v>1</v>
      </c>
      <c r="S278" s="6"/>
    </row>
    <row r="279" spans="3:19" x14ac:dyDescent="0.15">
      <c r="C279" s="6"/>
      <c r="D279" s="6" t="s">
        <v>47</v>
      </c>
      <c r="E279" s="9" t="s">
        <v>500</v>
      </c>
      <c r="F279" s="14" t="s">
        <v>501</v>
      </c>
      <c r="G279" s="6">
        <v>10</v>
      </c>
      <c r="H279" s="6"/>
      <c r="I279" s="1" t="str">
        <f t="shared" si="181"/>
        <v>001</v>
      </c>
      <c r="J279" s="6" t="b">
        <f t="shared" si="182"/>
        <v>0</v>
      </c>
      <c r="K279" s="6"/>
      <c r="L279" s="6"/>
      <c r="M279" s="1" t="s">
        <v>82</v>
      </c>
      <c r="N279" s="6" t="b">
        <v>0</v>
      </c>
      <c r="O279" s="6"/>
      <c r="P279" s="6"/>
      <c r="Q279" s="1" t="b">
        <f t="shared" si="169"/>
        <v>1</v>
      </c>
      <c r="R279" s="6" t="b">
        <f t="shared" si="170"/>
        <v>1</v>
      </c>
      <c r="S279" s="6"/>
    </row>
    <row r="280" spans="3:19" x14ac:dyDescent="0.15">
      <c r="C280" s="6"/>
      <c r="D280" t="s">
        <v>49</v>
      </c>
      <c r="E280" s="9" t="s">
        <v>502</v>
      </c>
      <c r="F280" s="14" t="s">
        <v>503</v>
      </c>
      <c r="G280">
        <v>16</v>
      </c>
      <c r="H280" s="6"/>
      <c r="I280" s="1" t="str">
        <f t="shared" si="181"/>
        <v>001</v>
      </c>
      <c r="J280" s="6" t="b">
        <f t="shared" si="182"/>
        <v>0</v>
      </c>
      <c r="K280" s="6"/>
      <c r="L280" s="6"/>
      <c r="M280" s="1" t="s">
        <v>82</v>
      </c>
      <c r="N280" s="6" t="b">
        <v>0</v>
      </c>
      <c r="O280" s="6"/>
      <c r="P280" s="6"/>
      <c r="Q280" s="1" t="b">
        <f t="shared" si="169"/>
        <v>1</v>
      </c>
      <c r="R280" s="6" t="b">
        <f t="shared" si="170"/>
        <v>1</v>
      </c>
      <c r="S280" s="6"/>
    </row>
    <row r="281" spans="3:19" x14ac:dyDescent="0.15">
      <c r="C281" s="2" t="s">
        <v>504</v>
      </c>
      <c r="D281" s="2" t="s">
        <v>46</v>
      </c>
      <c r="E281" s="11" t="s">
        <v>505</v>
      </c>
      <c r="F281" s="13" t="s">
        <v>491</v>
      </c>
      <c r="G281" s="2">
        <v>2</v>
      </c>
      <c r="H281" s="2"/>
      <c r="I281" s="3" t="str">
        <f t="shared" ref="I281:I283" si="183">TESTsubtract(E281,F281,G281)</f>
        <v>001</v>
      </c>
      <c r="J281" s="2" t="b">
        <f t="shared" ref="J281:J283" si="184">TESTsubtractByRef1(E281,F281,G281)</f>
        <v>1</v>
      </c>
      <c r="K281" s="2"/>
      <c r="L281" s="2"/>
      <c r="M281" s="3" t="str">
        <f t="shared" ref="M281:M283" si="185">TESTsubtract(H281,I281,J281)</f>
        <v>001</v>
      </c>
      <c r="N281" s="2" t="b">
        <f t="shared" ref="N281:N283" si="186">TESTsubtractByRef1(H281,I281,J281)</f>
        <v>1</v>
      </c>
      <c r="O281" s="2"/>
      <c r="P281" s="2"/>
      <c r="Q281" s="3" t="b">
        <f t="shared" si="169"/>
        <v>1</v>
      </c>
      <c r="R281" s="2" t="b">
        <f t="shared" si="170"/>
        <v>1</v>
      </c>
      <c r="S281" s="6"/>
    </row>
    <row r="282" spans="3:19" x14ac:dyDescent="0.15">
      <c r="C282" s="6"/>
      <c r="D282" s="6" t="s">
        <v>47</v>
      </c>
      <c r="E282" s="9" t="s">
        <v>501</v>
      </c>
      <c r="F282" s="14" t="s">
        <v>500</v>
      </c>
      <c r="G282" s="6">
        <v>10</v>
      </c>
      <c r="H282" s="6"/>
      <c r="I282" s="1" t="str">
        <f t="shared" si="183"/>
        <v>001</v>
      </c>
      <c r="J282" s="6" t="b">
        <f t="shared" si="184"/>
        <v>1</v>
      </c>
      <c r="K282" s="6"/>
      <c r="L282" s="6"/>
      <c r="M282" s="1" t="str">
        <f t="shared" si="185"/>
        <v>001</v>
      </c>
      <c r="N282" s="6" t="b">
        <f t="shared" si="186"/>
        <v>1</v>
      </c>
      <c r="O282" s="6"/>
      <c r="P282" s="6"/>
      <c r="Q282" s="1" t="b">
        <f t="shared" si="169"/>
        <v>1</v>
      </c>
      <c r="R282" s="6" t="b">
        <f t="shared" si="170"/>
        <v>1</v>
      </c>
      <c r="S282" s="6"/>
    </row>
    <row r="283" spans="3:19" x14ac:dyDescent="0.15">
      <c r="C283" s="6"/>
      <c r="D283" t="s">
        <v>49</v>
      </c>
      <c r="E283" s="9" t="s">
        <v>506</v>
      </c>
      <c r="F283" s="14" t="s">
        <v>494</v>
      </c>
      <c r="G283">
        <v>16</v>
      </c>
      <c r="H283" s="6"/>
      <c r="I283" s="1" t="str">
        <f t="shared" si="183"/>
        <v>001</v>
      </c>
      <c r="J283" s="6" t="b">
        <f t="shared" si="184"/>
        <v>1</v>
      </c>
      <c r="K283" s="6"/>
      <c r="L283" s="6"/>
      <c r="M283" s="1" t="str">
        <f t="shared" si="185"/>
        <v>001</v>
      </c>
      <c r="N283" s="6" t="b">
        <f t="shared" si="186"/>
        <v>1</v>
      </c>
      <c r="O283" s="6"/>
      <c r="P283" s="6"/>
      <c r="Q283" s="1" t="b">
        <f t="shared" si="169"/>
        <v>1</v>
      </c>
      <c r="R283" s="6" t="b">
        <f t="shared" si="170"/>
        <v>1</v>
      </c>
      <c r="S283" s="6"/>
    </row>
    <row r="284" spans="3:19" x14ac:dyDescent="0.15">
      <c r="C284" s="2" t="s">
        <v>507</v>
      </c>
      <c r="D284" s="2" t="s">
        <v>46</v>
      </c>
      <c r="E284" s="11" t="s">
        <v>510</v>
      </c>
      <c r="F284" s="13" t="s">
        <v>493</v>
      </c>
      <c r="G284" s="2">
        <v>2</v>
      </c>
      <c r="H284" s="2"/>
      <c r="I284" s="3" t="str">
        <f t="shared" ref="I284:I286" si="187">TESTsubtract(E284,F284,G284)</f>
        <v>00001</v>
      </c>
      <c r="J284" s="2" t="b">
        <f t="shared" ref="J284:J286" si="188">TESTsubtractByRef1(E284,F284,G284)</f>
        <v>0</v>
      </c>
      <c r="K284" s="2"/>
      <c r="L284" s="2"/>
      <c r="M284" s="3" t="s">
        <v>519</v>
      </c>
      <c r="N284" s="2" t="b">
        <v>0</v>
      </c>
      <c r="O284" s="2"/>
      <c r="P284" s="2"/>
      <c r="Q284" s="3" t="b">
        <f t="shared" ref="Q284:Q286" si="189">getText(I284)=getText(M284)</f>
        <v>1</v>
      </c>
      <c r="R284" s="2" t="b">
        <f t="shared" ref="R284:R286" si="190">getText(J284)=getText(N284)</f>
        <v>1</v>
      </c>
      <c r="S284" s="6"/>
    </row>
    <row r="285" spans="3:19" x14ac:dyDescent="0.15">
      <c r="C285" s="6"/>
      <c r="D285" s="6" t="s">
        <v>47</v>
      </c>
      <c r="E285" s="9" t="s">
        <v>516</v>
      </c>
      <c r="F285" s="14" t="s">
        <v>512</v>
      </c>
      <c r="G285" s="6">
        <v>10</v>
      </c>
      <c r="H285" s="6"/>
      <c r="I285" s="1" t="str">
        <f t="shared" si="187"/>
        <v>00001</v>
      </c>
      <c r="J285" s="6" t="b">
        <f t="shared" si="188"/>
        <v>0</v>
      </c>
      <c r="K285" s="6"/>
      <c r="L285" s="6"/>
      <c r="M285" s="1" t="s">
        <v>519</v>
      </c>
      <c r="N285" s="6" t="b">
        <v>0</v>
      </c>
      <c r="O285" s="6"/>
      <c r="P285" s="6"/>
      <c r="Q285" s="1" t="b">
        <f t="shared" si="189"/>
        <v>1</v>
      </c>
      <c r="R285" s="6" t="b">
        <f t="shared" si="190"/>
        <v>1</v>
      </c>
      <c r="S285" s="6"/>
    </row>
    <row r="286" spans="3:19" x14ac:dyDescent="0.15">
      <c r="C286" s="6"/>
      <c r="D286" t="s">
        <v>49</v>
      </c>
      <c r="E286" s="9" t="s">
        <v>518</v>
      </c>
      <c r="F286" s="14" t="s">
        <v>514</v>
      </c>
      <c r="G286">
        <v>16</v>
      </c>
      <c r="H286" s="6"/>
      <c r="I286" s="1" t="str">
        <f t="shared" si="187"/>
        <v>00001</v>
      </c>
      <c r="J286" s="6" t="b">
        <f t="shared" si="188"/>
        <v>0</v>
      </c>
      <c r="K286" s="6"/>
      <c r="L286" s="6"/>
      <c r="M286" s="1" t="s">
        <v>519</v>
      </c>
      <c r="N286" s="6" t="b">
        <v>0</v>
      </c>
      <c r="O286" s="6"/>
      <c r="P286" s="6"/>
      <c r="Q286" s="1" t="b">
        <f t="shared" si="189"/>
        <v>1</v>
      </c>
      <c r="R286" s="6" t="b">
        <f t="shared" si="190"/>
        <v>1</v>
      </c>
      <c r="S286" s="6"/>
    </row>
    <row r="287" spans="3:19" x14ac:dyDescent="0.15">
      <c r="C287" s="2" t="s">
        <v>508</v>
      </c>
      <c r="D287" s="2" t="s">
        <v>46</v>
      </c>
      <c r="E287" s="11" t="s">
        <v>18</v>
      </c>
      <c r="F287" s="13" t="s">
        <v>509</v>
      </c>
      <c r="G287" s="2">
        <v>2</v>
      </c>
      <c r="H287" s="2"/>
      <c r="I287" s="3" t="str">
        <f t="shared" ref="I287:I289" si="191">TESTsubtract(E287,F287,G287)</f>
        <v>00001</v>
      </c>
      <c r="J287" s="2" t="b">
        <f t="shared" ref="J287:J289" si="192">TESTsubtractByRef1(E287,F287,G287)</f>
        <v>1</v>
      </c>
      <c r="K287" s="2"/>
      <c r="L287" s="2"/>
      <c r="M287" s="3" t="s">
        <v>519</v>
      </c>
      <c r="N287" s="2" t="b">
        <v>1</v>
      </c>
      <c r="O287" s="2"/>
      <c r="P287" s="2"/>
      <c r="Q287" s="3" t="b">
        <f t="shared" ref="Q287:Q289" si="193">getText(I287)=getText(M287)</f>
        <v>1</v>
      </c>
      <c r="R287" s="2" t="b">
        <f t="shared" ref="R287:R289" si="194">getText(J287)=getText(N287)</f>
        <v>1</v>
      </c>
      <c r="S287" s="6"/>
    </row>
    <row r="288" spans="3:19" x14ac:dyDescent="0.15">
      <c r="C288" s="6"/>
      <c r="D288" s="6" t="s">
        <v>47</v>
      </c>
      <c r="E288" s="9" t="s">
        <v>511</v>
      </c>
      <c r="F288" s="14" t="s">
        <v>515</v>
      </c>
      <c r="G288" s="6">
        <v>10</v>
      </c>
      <c r="H288" s="6"/>
      <c r="I288" s="1" t="str">
        <f t="shared" si="191"/>
        <v>00001</v>
      </c>
      <c r="J288" s="6" t="b">
        <f t="shared" si="192"/>
        <v>1</v>
      </c>
      <c r="K288" s="6"/>
      <c r="L288" s="6"/>
      <c r="M288" s="1" t="s">
        <v>519</v>
      </c>
      <c r="N288" s="6" t="b">
        <v>1</v>
      </c>
      <c r="O288" s="6"/>
      <c r="P288" s="6"/>
      <c r="Q288" s="1" t="b">
        <f t="shared" si="193"/>
        <v>1</v>
      </c>
      <c r="R288" s="6" t="b">
        <f t="shared" si="194"/>
        <v>1</v>
      </c>
      <c r="S288" s="6"/>
    </row>
    <row r="289" spans="2:19" x14ac:dyDescent="0.15">
      <c r="C289" s="6"/>
      <c r="D289" t="s">
        <v>49</v>
      </c>
      <c r="E289" s="9" t="s">
        <v>513</v>
      </c>
      <c r="F289" s="14" t="s">
        <v>517</v>
      </c>
      <c r="G289">
        <v>16</v>
      </c>
      <c r="H289" s="6"/>
      <c r="I289" s="1" t="str">
        <f t="shared" si="191"/>
        <v>00001</v>
      </c>
      <c r="J289" s="6" t="b">
        <f t="shared" si="192"/>
        <v>1</v>
      </c>
      <c r="K289" s="6"/>
      <c r="L289" s="6"/>
      <c r="M289" s="1" t="s">
        <v>519</v>
      </c>
      <c r="N289" s="6" t="b">
        <v>1</v>
      </c>
      <c r="O289" s="6"/>
      <c r="P289" s="6"/>
      <c r="Q289" s="1" t="b">
        <f t="shared" si="193"/>
        <v>1</v>
      </c>
      <c r="R289" s="6" t="b">
        <f t="shared" si="194"/>
        <v>1</v>
      </c>
      <c r="S289" s="6"/>
    </row>
    <row r="290" spans="2:19" x14ac:dyDescent="0.15">
      <c r="B290" s="2" t="s">
        <v>522</v>
      </c>
      <c r="C290" s="2" t="s">
        <v>265</v>
      </c>
      <c r="D290" s="2" t="s">
        <v>46</v>
      </c>
      <c r="E290" s="11" t="s">
        <v>520</v>
      </c>
      <c r="F290" s="13" t="s">
        <v>520</v>
      </c>
      <c r="G290" s="2">
        <v>2</v>
      </c>
      <c r="H290" s="2"/>
      <c r="I290" s="3" t="str">
        <f t="shared" ref="I290:I303" si="195">TESTsubtract(E290,F290,G290)</f>
        <v>00</v>
      </c>
      <c r="J290" s="2" t="b">
        <f t="shared" ref="J290:J303" si="196">TESTsubtractByRef1(E290,F290,G290)</f>
        <v>0</v>
      </c>
      <c r="K290" s="2"/>
      <c r="L290" s="2"/>
      <c r="M290" s="3" t="s">
        <v>98</v>
      </c>
      <c r="N290" s="2" t="b">
        <v>0</v>
      </c>
      <c r="O290" s="2"/>
      <c r="P290" s="2"/>
      <c r="Q290" s="3" t="b">
        <f t="shared" ref="Q290:Q303" si="197">getText(I290)=getText(M290)</f>
        <v>1</v>
      </c>
      <c r="R290" s="2" t="b">
        <f t="shared" ref="R290:R303" si="198">getText(J290)=getText(N290)</f>
        <v>1</v>
      </c>
      <c r="S290" s="6"/>
    </row>
    <row r="291" spans="2:19" x14ac:dyDescent="0.15">
      <c r="D291" s="6" t="s">
        <v>47</v>
      </c>
      <c r="E291" s="9" t="s">
        <v>521</v>
      </c>
      <c r="F291" s="17" t="s">
        <v>521</v>
      </c>
      <c r="G291" s="6">
        <v>10</v>
      </c>
      <c r="I291" s="1" t="str">
        <f t="shared" si="195"/>
        <v>00</v>
      </c>
      <c r="J291" t="b">
        <f t="shared" si="196"/>
        <v>0</v>
      </c>
      <c r="M291" s="1" t="s">
        <v>98</v>
      </c>
      <c r="N291" t="b">
        <v>0</v>
      </c>
      <c r="Q291" s="1" t="b">
        <f t="shared" si="197"/>
        <v>1</v>
      </c>
      <c r="R291" s="6" t="b">
        <f t="shared" si="198"/>
        <v>1</v>
      </c>
      <c r="S291" s="6"/>
    </row>
    <row r="292" spans="2:19" x14ac:dyDescent="0.15">
      <c r="D292" t="s">
        <v>49</v>
      </c>
      <c r="E292" s="9" t="s">
        <v>521</v>
      </c>
      <c r="F292" s="17" t="s">
        <v>521</v>
      </c>
      <c r="G292">
        <v>16</v>
      </c>
      <c r="I292" s="1" t="str">
        <f t="shared" si="195"/>
        <v>00</v>
      </c>
      <c r="J292" t="b">
        <f t="shared" si="196"/>
        <v>0</v>
      </c>
      <c r="M292" s="1" t="s">
        <v>98</v>
      </c>
      <c r="N292" t="b">
        <v>0</v>
      </c>
      <c r="Q292" s="1" t="b">
        <f t="shared" si="197"/>
        <v>1</v>
      </c>
      <c r="R292" s="6" t="b">
        <f t="shared" si="198"/>
        <v>1</v>
      </c>
      <c r="S292" s="6"/>
    </row>
    <row r="293" spans="2:19" x14ac:dyDescent="0.15">
      <c r="C293" s="2" t="s">
        <v>266</v>
      </c>
      <c r="D293" s="2" t="s">
        <v>46</v>
      </c>
      <c r="E293" s="11" t="s">
        <v>523</v>
      </c>
      <c r="F293" s="13" t="s">
        <v>538</v>
      </c>
      <c r="G293" s="2">
        <v>2</v>
      </c>
      <c r="H293" s="2"/>
      <c r="I293" s="3" t="str">
        <f t="shared" si="195"/>
        <v>01</v>
      </c>
      <c r="J293" s="2" t="b">
        <f t="shared" si="196"/>
        <v>0</v>
      </c>
      <c r="K293" s="2"/>
      <c r="L293" s="2"/>
      <c r="M293" s="3" t="s">
        <v>248</v>
      </c>
      <c r="N293" s="2" t="b">
        <v>0</v>
      </c>
      <c r="O293" s="2"/>
      <c r="P293" s="2"/>
      <c r="Q293" s="3" t="b">
        <f t="shared" si="197"/>
        <v>1</v>
      </c>
      <c r="R293" s="2" t="b">
        <f t="shared" si="198"/>
        <v>1</v>
      </c>
      <c r="S293" s="6"/>
    </row>
    <row r="294" spans="2:19" x14ac:dyDescent="0.15">
      <c r="D294" s="6" t="s">
        <v>47</v>
      </c>
      <c r="E294" s="9" t="s">
        <v>413</v>
      </c>
      <c r="F294" s="17" t="s">
        <v>113</v>
      </c>
      <c r="G294" s="6">
        <v>10</v>
      </c>
      <c r="I294" s="1" t="str">
        <f t="shared" si="195"/>
        <v>09</v>
      </c>
      <c r="J294" t="b">
        <f t="shared" si="196"/>
        <v>0</v>
      </c>
      <c r="M294" s="1" t="s">
        <v>250</v>
      </c>
      <c r="N294" t="b">
        <v>0</v>
      </c>
      <c r="Q294" s="1" t="b">
        <f t="shared" si="197"/>
        <v>1</v>
      </c>
      <c r="R294" s="6" t="b">
        <f t="shared" si="198"/>
        <v>1</v>
      </c>
      <c r="S294" s="6"/>
    </row>
    <row r="295" spans="2:19" x14ac:dyDescent="0.15">
      <c r="D295" t="s">
        <v>49</v>
      </c>
      <c r="E295" s="9" t="s">
        <v>558</v>
      </c>
      <c r="F295" s="17" t="s">
        <v>100</v>
      </c>
      <c r="G295">
        <v>16</v>
      </c>
      <c r="I295" s="1" t="str">
        <f t="shared" si="195"/>
        <v>0F</v>
      </c>
      <c r="J295" t="b">
        <f t="shared" si="196"/>
        <v>0</v>
      </c>
      <c r="M295" s="1" t="s">
        <v>253</v>
      </c>
      <c r="N295" t="b">
        <v>0</v>
      </c>
      <c r="Q295" s="1" t="b">
        <f t="shared" si="197"/>
        <v>1</v>
      </c>
      <c r="R295" s="6" t="b">
        <f t="shared" si="198"/>
        <v>1</v>
      </c>
      <c r="S295" s="6"/>
    </row>
    <row r="296" spans="2:19" x14ac:dyDescent="0.15">
      <c r="C296" s="2" t="s">
        <v>267</v>
      </c>
      <c r="D296" s="2" t="s">
        <v>46</v>
      </c>
      <c r="E296" s="11" t="s">
        <v>526</v>
      </c>
      <c r="F296" s="13" t="s">
        <v>524</v>
      </c>
      <c r="G296" s="2">
        <v>2</v>
      </c>
      <c r="H296" s="2"/>
      <c r="I296" s="3" t="str">
        <f t="shared" si="195"/>
        <v>1</v>
      </c>
      <c r="J296" s="2" t="b">
        <f t="shared" si="196"/>
        <v>0</v>
      </c>
      <c r="K296" s="2"/>
      <c r="L296" s="2"/>
      <c r="M296" s="3" t="s">
        <v>44</v>
      </c>
      <c r="N296" s="2" t="b">
        <v>0</v>
      </c>
      <c r="O296" s="2"/>
      <c r="P296" s="2"/>
      <c r="Q296" s="3" t="b">
        <f t="shared" si="197"/>
        <v>1</v>
      </c>
      <c r="R296" s="2" t="b">
        <f t="shared" si="198"/>
        <v>1</v>
      </c>
      <c r="S296" s="6"/>
    </row>
    <row r="297" spans="2:19" x14ac:dyDescent="0.15">
      <c r="D297" s="6" t="s">
        <v>47</v>
      </c>
      <c r="E297" s="9" t="s">
        <v>111</v>
      </c>
      <c r="F297" s="14" t="s">
        <v>524</v>
      </c>
      <c r="G297" s="6">
        <v>10</v>
      </c>
      <c r="H297" s="6"/>
      <c r="I297" s="1" t="str">
        <f t="shared" si="195"/>
        <v>1</v>
      </c>
      <c r="J297" s="6" t="b">
        <f t="shared" si="196"/>
        <v>0</v>
      </c>
      <c r="K297" s="6"/>
      <c r="L297" s="6"/>
      <c r="M297" s="1" t="s">
        <v>44</v>
      </c>
      <c r="N297" s="6" t="b">
        <v>0</v>
      </c>
      <c r="O297" s="6"/>
      <c r="P297" s="6"/>
      <c r="Q297" s="1" t="b">
        <f t="shared" si="197"/>
        <v>1</v>
      </c>
      <c r="R297" s="6" t="b">
        <f t="shared" si="198"/>
        <v>1</v>
      </c>
      <c r="S297" s="6"/>
    </row>
    <row r="298" spans="2:19" x14ac:dyDescent="0.15">
      <c r="D298" t="s">
        <v>49</v>
      </c>
      <c r="E298" s="9" t="s">
        <v>537</v>
      </c>
      <c r="F298" s="17" t="s">
        <v>525</v>
      </c>
      <c r="G298">
        <v>16</v>
      </c>
      <c r="I298" s="1" t="str">
        <f t="shared" si="195"/>
        <v>1</v>
      </c>
      <c r="J298" t="b">
        <f t="shared" si="196"/>
        <v>0</v>
      </c>
      <c r="M298" s="1" t="s">
        <v>44</v>
      </c>
      <c r="N298" t="b">
        <v>0</v>
      </c>
      <c r="Q298" s="1" t="b">
        <f t="shared" si="197"/>
        <v>1</v>
      </c>
      <c r="R298" s="6" t="b">
        <f t="shared" si="198"/>
        <v>1</v>
      </c>
      <c r="S298" s="6"/>
    </row>
    <row r="299" spans="2:19" x14ac:dyDescent="0.15">
      <c r="C299" s="2" t="s">
        <v>268</v>
      </c>
      <c r="D299" s="2" t="s">
        <v>46</v>
      </c>
      <c r="E299" s="11" t="s">
        <v>111</v>
      </c>
      <c r="F299" s="13" t="s">
        <v>111</v>
      </c>
      <c r="G299" s="2">
        <v>2</v>
      </c>
      <c r="H299" s="2"/>
      <c r="I299" s="3" t="str">
        <f t="shared" si="195"/>
        <v>0</v>
      </c>
      <c r="J299" s="2" t="b">
        <f t="shared" si="196"/>
        <v>0</v>
      </c>
      <c r="K299" s="2"/>
      <c r="L299" s="2"/>
      <c r="M299" s="3" t="s">
        <v>14</v>
      </c>
      <c r="N299" s="2" t="b">
        <v>0</v>
      </c>
      <c r="O299" s="2"/>
      <c r="P299" s="2"/>
      <c r="Q299" s="3" t="b">
        <f t="shared" si="197"/>
        <v>1</v>
      </c>
      <c r="R299" s="2" t="b">
        <f t="shared" si="198"/>
        <v>1</v>
      </c>
      <c r="S299" s="6"/>
    </row>
    <row r="300" spans="2:19" x14ac:dyDescent="0.15">
      <c r="D300" s="6" t="s">
        <v>284</v>
      </c>
      <c r="E300" s="9" t="s">
        <v>113</v>
      </c>
      <c r="F300" s="17" t="s">
        <v>113</v>
      </c>
      <c r="G300" s="6">
        <v>10</v>
      </c>
      <c r="I300" s="1" t="str">
        <f t="shared" si="195"/>
        <v>0</v>
      </c>
      <c r="J300" t="b">
        <f t="shared" si="196"/>
        <v>0</v>
      </c>
      <c r="M300" s="1" t="s">
        <v>14</v>
      </c>
      <c r="N300" t="b">
        <v>0</v>
      </c>
      <c r="Q300" s="1" t="b">
        <f t="shared" si="197"/>
        <v>1</v>
      </c>
      <c r="R300" s="6" t="b">
        <f t="shared" si="198"/>
        <v>1</v>
      </c>
      <c r="S300" s="6"/>
    </row>
    <row r="301" spans="2:19" x14ac:dyDescent="0.15">
      <c r="D301" t="s">
        <v>285</v>
      </c>
      <c r="E301" s="9" t="s">
        <v>111</v>
      </c>
      <c r="F301" s="17" t="s">
        <v>111</v>
      </c>
      <c r="G301" s="7">
        <v>10</v>
      </c>
      <c r="I301" s="1" t="str">
        <f t="shared" si="195"/>
        <v>0</v>
      </c>
      <c r="J301" t="b">
        <f t="shared" si="196"/>
        <v>0</v>
      </c>
      <c r="M301" s="1" t="s">
        <v>14</v>
      </c>
      <c r="N301" t="b">
        <v>0</v>
      </c>
      <c r="Q301" s="1" t="b">
        <f t="shared" si="197"/>
        <v>1</v>
      </c>
      <c r="R301" s="6" t="b">
        <f t="shared" si="198"/>
        <v>1</v>
      </c>
      <c r="S301" s="6"/>
    </row>
    <row r="302" spans="2:19" x14ac:dyDescent="0.15">
      <c r="D302" t="s">
        <v>286</v>
      </c>
      <c r="E302" s="9" t="s">
        <v>539</v>
      </c>
      <c r="F302" s="17" t="s">
        <v>539</v>
      </c>
      <c r="G302">
        <v>16</v>
      </c>
      <c r="I302" s="1" t="str">
        <f t="shared" si="195"/>
        <v>0</v>
      </c>
      <c r="J302" t="b">
        <f t="shared" si="196"/>
        <v>0</v>
      </c>
      <c r="M302" s="1" t="s">
        <v>14</v>
      </c>
      <c r="N302" t="b">
        <v>0</v>
      </c>
      <c r="Q302" s="1" t="b">
        <f t="shared" si="197"/>
        <v>1</v>
      </c>
      <c r="R302" s="6" t="b">
        <f t="shared" si="198"/>
        <v>1</v>
      </c>
      <c r="S302" s="6"/>
    </row>
    <row r="303" spans="2:19" x14ac:dyDescent="0.15">
      <c r="D303" t="s">
        <v>287</v>
      </c>
      <c r="E303" s="9" t="s">
        <v>111</v>
      </c>
      <c r="F303" s="17" t="s">
        <v>111</v>
      </c>
      <c r="G303">
        <v>16</v>
      </c>
      <c r="I303" s="1" t="str">
        <f t="shared" si="195"/>
        <v>0</v>
      </c>
      <c r="J303" t="b">
        <f t="shared" si="196"/>
        <v>0</v>
      </c>
      <c r="M303" s="1" t="s">
        <v>14</v>
      </c>
      <c r="N303" t="b">
        <v>0</v>
      </c>
      <c r="Q303" s="1" t="b">
        <f t="shared" si="197"/>
        <v>1</v>
      </c>
      <c r="R303" s="6" t="b">
        <f t="shared" si="198"/>
        <v>1</v>
      </c>
      <c r="S303" s="6"/>
    </row>
    <row r="304" spans="2:19" x14ac:dyDescent="0.15">
      <c r="B304" s="6"/>
      <c r="C304" s="2" t="s">
        <v>238</v>
      </c>
      <c r="D304" s="2" t="s">
        <v>46</v>
      </c>
      <c r="E304" s="11" t="s">
        <v>527</v>
      </c>
      <c r="F304" s="13" t="s">
        <v>527</v>
      </c>
      <c r="G304" s="2">
        <v>2</v>
      </c>
      <c r="H304" s="2"/>
      <c r="I304" s="3" t="str">
        <f t="shared" ref="I304:I306" si="199">TESTsubtract(E304,F304,G304)</f>
        <v>0</v>
      </c>
      <c r="J304" s="2" t="b">
        <f t="shared" ref="J304:J306" si="200">TESTsubtractByRef1(E304,F304,G304)</f>
        <v>0</v>
      </c>
      <c r="K304" s="2"/>
      <c r="L304" s="2"/>
      <c r="M304" s="3" t="s">
        <v>14</v>
      </c>
      <c r="N304" s="2" t="b">
        <v>0</v>
      </c>
      <c r="O304" s="2"/>
      <c r="P304" s="2"/>
      <c r="Q304" s="3" t="b">
        <f t="shared" ref="Q304:Q327" si="201">getText(I304)=getText(M304)</f>
        <v>1</v>
      </c>
      <c r="R304" s="2" t="b">
        <f t="shared" ref="R304:R327" si="202">getText(J304)=getText(N304)</f>
        <v>1</v>
      </c>
      <c r="S304" s="6"/>
    </row>
    <row r="305" spans="2:19" x14ac:dyDescent="0.15">
      <c r="B305" s="6"/>
      <c r="C305" s="6"/>
      <c r="D305" s="6" t="s">
        <v>47</v>
      </c>
      <c r="E305" s="9" t="s">
        <v>528</v>
      </c>
      <c r="F305" s="14" t="s">
        <v>529</v>
      </c>
      <c r="G305" s="6">
        <v>10</v>
      </c>
      <c r="H305" s="6"/>
      <c r="I305" s="1" t="str">
        <f t="shared" si="199"/>
        <v>0</v>
      </c>
      <c r="J305" s="6" t="b">
        <f t="shared" si="200"/>
        <v>0</v>
      </c>
      <c r="K305" s="6"/>
      <c r="L305" s="6"/>
      <c r="M305" s="1" t="s">
        <v>14</v>
      </c>
      <c r="N305" s="6" t="b">
        <v>0</v>
      </c>
      <c r="O305" s="6"/>
      <c r="P305" s="6"/>
      <c r="Q305" s="1" t="b">
        <f t="shared" si="201"/>
        <v>1</v>
      </c>
      <c r="R305" s="6" t="b">
        <f t="shared" si="202"/>
        <v>1</v>
      </c>
      <c r="S305" s="6"/>
    </row>
    <row r="306" spans="2:19" x14ac:dyDescent="0.15">
      <c r="B306" s="6"/>
      <c r="C306" s="6"/>
      <c r="D306" t="s">
        <v>49</v>
      </c>
      <c r="E306" s="9" t="s">
        <v>530</v>
      </c>
      <c r="F306" s="14" t="s">
        <v>531</v>
      </c>
      <c r="G306">
        <v>16</v>
      </c>
      <c r="H306" s="6"/>
      <c r="I306" s="1" t="str">
        <f t="shared" si="199"/>
        <v>0</v>
      </c>
      <c r="J306" s="6" t="b">
        <f t="shared" si="200"/>
        <v>0</v>
      </c>
      <c r="K306" s="6"/>
      <c r="L306" s="6"/>
      <c r="M306" s="1" t="s">
        <v>14</v>
      </c>
      <c r="N306" s="6" t="b">
        <v>0</v>
      </c>
      <c r="O306" s="6"/>
      <c r="P306" s="6"/>
      <c r="Q306" s="1" t="b">
        <f t="shared" si="201"/>
        <v>1</v>
      </c>
      <c r="R306" s="6" t="b">
        <f t="shared" si="202"/>
        <v>1</v>
      </c>
      <c r="S306" s="6"/>
    </row>
    <row r="307" spans="2:19" x14ac:dyDescent="0.15">
      <c r="B307" s="6"/>
      <c r="C307" s="2" t="s">
        <v>239</v>
      </c>
      <c r="D307" s="2" t="s">
        <v>46</v>
      </c>
      <c r="E307" s="11" t="s">
        <v>532</v>
      </c>
      <c r="F307" s="13" t="s">
        <v>527</v>
      </c>
      <c r="G307" s="2">
        <v>2</v>
      </c>
      <c r="H307" s="2"/>
      <c r="I307" s="3" t="str">
        <f t="shared" ref="I307:I327" si="203">TESTsubtract(E307,F307,G307)</f>
        <v>011</v>
      </c>
      <c r="J307" s="2" t="b">
        <f t="shared" ref="J307:J327" si="204">TESTsubtractByRef1(E307,F307,G307)</f>
        <v>0</v>
      </c>
      <c r="K307" s="2"/>
      <c r="L307" s="2"/>
      <c r="M307" s="3" t="s">
        <v>78</v>
      </c>
      <c r="N307" s="2" t="b">
        <v>0</v>
      </c>
      <c r="O307" s="2"/>
      <c r="P307" s="2"/>
      <c r="Q307" s="3" t="b">
        <f t="shared" si="201"/>
        <v>1</v>
      </c>
      <c r="R307" s="2" t="b">
        <f t="shared" si="202"/>
        <v>1</v>
      </c>
      <c r="S307" s="6"/>
    </row>
    <row r="308" spans="2:19" x14ac:dyDescent="0.15">
      <c r="B308" s="6"/>
      <c r="C308" s="6"/>
      <c r="D308" s="6" t="s">
        <v>47</v>
      </c>
      <c r="E308" s="9" t="s">
        <v>545</v>
      </c>
      <c r="F308" s="14" t="s">
        <v>546</v>
      </c>
      <c r="G308" s="6">
        <v>10</v>
      </c>
      <c r="H308" s="6"/>
      <c r="I308" s="1" t="str">
        <f t="shared" si="203"/>
        <v>099</v>
      </c>
      <c r="J308" s="6" t="b">
        <f t="shared" si="204"/>
        <v>0</v>
      </c>
      <c r="K308" s="6"/>
      <c r="L308" s="6"/>
      <c r="M308" s="1" t="s">
        <v>154</v>
      </c>
      <c r="N308" s="6" t="b">
        <v>0</v>
      </c>
      <c r="O308" s="6"/>
      <c r="P308" s="6"/>
      <c r="Q308" s="1" t="b">
        <f t="shared" si="201"/>
        <v>1</v>
      </c>
      <c r="R308" s="6" t="b">
        <f t="shared" si="202"/>
        <v>1</v>
      </c>
      <c r="S308" s="6"/>
    </row>
    <row r="309" spans="2:19" x14ac:dyDescent="0.15">
      <c r="B309" s="6"/>
      <c r="C309" s="6"/>
      <c r="D309" t="s">
        <v>49</v>
      </c>
      <c r="E309" s="9" t="s">
        <v>547</v>
      </c>
      <c r="F309" s="14" t="s">
        <v>548</v>
      </c>
      <c r="G309">
        <v>16</v>
      </c>
      <c r="H309" s="6"/>
      <c r="I309" s="1" t="str">
        <f t="shared" si="203"/>
        <v>0FF</v>
      </c>
      <c r="J309" s="6" t="b">
        <f t="shared" si="204"/>
        <v>0</v>
      </c>
      <c r="K309" s="6"/>
      <c r="L309" s="6"/>
      <c r="M309" s="1" t="s">
        <v>157</v>
      </c>
      <c r="N309" s="6" t="b">
        <v>0</v>
      </c>
      <c r="O309" s="6"/>
      <c r="P309" s="6"/>
      <c r="Q309" s="1" t="b">
        <f t="shared" si="201"/>
        <v>1</v>
      </c>
      <c r="R309" s="6" t="b">
        <f t="shared" si="202"/>
        <v>1</v>
      </c>
      <c r="S309" s="6"/>
    </row>
    <row r="310" spans="2:19" x14ac:dyDescent="0.15">
      <c r="B310" s="6"/>
      <c r="C310" s="2" t="s">
        <v>240</v>
      </c>
      <c r="D310" s="2" t="s">
        <v>46</v>
      </c>
      <c r="E310" s="11" t="s">
        <v>549</v>
      </c>
      <c r="F310" s="13" t="s">
        <v>535</v>
      </c>
      <c r="G310" s="2">
        <v>2</v>
      </c>
      <c r="H310" s="2"/>
      <c r="I310" s="3" t="str">
        <f t="shared" si="203"/>
        <v>010</v>
      </c>
      <c r="J310" s="2" t="b">
        <f t="shared" si="204"/>
        <v>0</v>
      </c>
      <c r="K310" s="2"/>
      <c r="L310" s="2"/>
      <c r="M310" s="3" t="s">
        <v>79</v>
      </c>
      <c r="N310" s="2" t="b">
        <v>0</v>
      </c>
      <c r="O310" s="2"/>
      <c r="P310" s="2"/>
      <c r="Q310" s="3" t="b">
        <f t="shared" si="201"/>
        <v>1</v>
      </c>
      <c r="R310" s="2" t="b">
        <f t="shared" si="202"/>
        <v>1</v>
      </c>
      <c r="S310" s="6"/>
    </row>
    <row r="311" spans="2:19" x14ac:dyDescent="0.15">
      <c r="B311" s="6"/>
      <c r="C311" s="6"/>
      <c r="D311" s="6" t="s">
        <v>47</v>
      </c>
      <c r="E311" s="9" t="s">
        <v>541</v>
      </c>
      <c r="F311" s="14" t="s">
        <v>542</v>
      </c>
      <c r="G311" s="6">
        <v>10</v>
      </c>
      <c r="H311" s="6"/>
      <c r="I311" s="1" t="str">
        <f t="shared" si="203"/>
        <v>090</v>
      </c>
      <c r="J311" s="6" t="b">
        <f t="shared" si="204"/>
        <v>0</v>
      </c>
      <c r="K311" s="6"/>
      <c r="L311" s="6"/>
      <c r="M311" s="1" t="s">
        <v>559</v>
      </c>
      <c r="N311" s="6" t="b">
        <v>0</v>
      </c>
      <c r="O311" s="6"/>
      <c r="P311" s="6"/>
      <c r="Q311" s="1" t="b">
        <f t="shared" si="201"/>
        <v>1</v>
      </c>
      <c r="R311" s="6" t="b">
        <f t="shared" si="202"/>
        <v>1</v>
      </c>
      <c r="S311" s="6"/>
    </row>
    <row r="312" spans="2:19" x14ac:dyDescent="0.15">
      <c r="B312" s="6"/>
      <c r="C312" s="6"/>
      <c r="D312" t="s">
        <v>49</v>
      </c>
      <c r="E312" s="9" t="s">
        <v>544</v>
      </c>
      <c r="F312" s="14" t="s">
        <v>551</v>
      </c>
      <c r="G312">
        <v>16</v>
      </c>
      <c r="H312" s="6"/>
      <c r="I312" s="1" t="str">
        <f t="shared" si="203"/>
        <v>0F0</v>
      </c>
      <c r="J312" s="6" t="b">
        <f t="shared" si="204"/>
        <v>0</v>
      </c>
      <c r="K312" s="6"/>
      <c r="L312" s="6"/>
      <c r="M312" s="1" t="s">
        <v>560</v>
      </c>
      <c r="N312" s="6" t="b">
        <v>0</v>
      </c>
      <c r="O312" s="6"/>
      <c r="P312" s="6"/>
      <c r="Q312" s="1" t="b">
        <f t="shared" si="201"/>
        <v>1</v>
      </c>
      <c r="R312" s="6" t="b">
        <f t="shared" si="202"/>
        <v>1</v>
      </c>
      <c r="S312" s="6"/>
    </row>
    <row r="313" spans="2:19" x14ac:dyDescent="0.15">
      <c r="B313" s="6"/>
      <c r="C313" s="2" t="s">
        <v>241</v>
      </c>
      <c r="D313" s="2" t="s">
        <v>46</v>
      </c>
      <c r="E313" s="11" t="s">
        <v>533</v>
      </c>
      <c r="F313" s="13" t="s">
        <v>535</v>
      </c>
      <c r="G313" s="2">
        <v>2</v>
      </c>
      <c r="H313" s="2"/>
      <c r="I313" s="3" t="str">
        <f t="shared" si="203"/>
        <v>001</v>
      </c>
      <c r="J313" s="2" t="b">
        <f t="shared" si="204"/>
        <v>0</v>
      </c>
      <c r="K313" s="2"/>
      <c r="L313" s="2"/>
      <c r="M313" s="3" t="s">
        <v>82</v>
      </c>
      <c r="N313" s="2" t="b">
        <v>0</v>
      </c>
      <c r="O313" s="2"/>
      <c r="P313" s="2"/>
      <c r="Q313" s="3" t="b">
        <f t="shared" si="201"/>
        <v>1</v>
      </c>
      <c r="R313" s="2" t="b">
        <f t="shared" si="202"/>
        <v>1</v>
      </c>
      <c r="S313" s="6"/>
    </row>
    <row r="314" spans="2:19" x14ac:dyDescent="0.15">
      <c r="B314" s="6"/>
      <c r="C314" s="6"/>
      <c r="D314" s="6" t="s">
        <v>47</v>
      </c>
      <c r="E314" s="9" t="s">
        <v>545</v>
      </c>
      <c r="F314" s="14" t="s">
        <v>542</v>
      </c>
      <c r="G314" s="6">
        <v>10</v>
      </c>
      <c r="H314" s="6"/>
      <c r="I314" s="1" t="str">
        <f t="shared" si="203"/>
        <v>089</v>
      </c>
      <c r="J314" s="6" t="b">
        <f t="shared" si="204"/>
        <v>0</v>
      </c>
      <c r="K314" s="6"/>
      <c r="L314" s="6"/>
      <c r="M314" s="1" t="s">
        <v>561</v>
      </c>
      <c r="N314" s="6" t="b">
        <v>0</v>
      </c>
      <c r="O314" s="6"/>
      <c r="P314" s="6"/>
      <c r="Q314" s="1" t="b">
        <f t="shared" si="201"/>
        <v>1</v>
      </c>
      <c r="R314" s="6" t="b">
        <f t="shared" si="202"/>
        <v>1</v>
      </c>
      <c r="S314" s="6"/>
    </row>
    <row r="315" spans="2:19" x14ac:dyDescent="0.15">
      <c r="B315" s="6"/>
      <c r="C315" s="6"/>
      <c r="D315" t="s">
        <v>49</v>
      </c>
      <c r="E315" s="9" t="s">
        <v>552</v>
      </c>
      <c r="F315" s="14" t="s">
        <v>553</v>
      </c>
      <c r="G315">
        <v>16</v>
      </c>
      <c r="H315" s="6"/>
      <c r="I315" s="1" t="str">
        <f t="shared" si="203"/>
        <v>0EF</v>
      </c>
      <c r="J315" s="6" t="b">
        <f t="shared" si="204"/>
        <v>0</v>
      </c>
      <c r="K315" s="6"/>
      <c r="L315" s="6"/>
      <c r="M315" s="1" t="s">
        <v>562</v>
      </c>
      <c r="N315" s="6" t="b">
        <v>0</v>
      </c>
      <c r="O315" s="6"/>
      <c r="P315" s="6"/>
      <c r="Q315" s="1" t="b">
        <f t="shared" si="201"/>
        <v>1</v>
      </c>
      <c r="R315" s="6" t="b">
        <f t="shared" si="202"/>
        <v>1</v>
      </c>
      <c r="S315" s="6"/>
    </row>
    <row r="316" spans="2:19" x14ac:dyDescent="0.15">
      <c r="B316" s="6"/>
      <c r="C316" s="2" t="s">
        <v>242</v>
      </c>
      <c r="D316" s="2" t="s">
        <v>46</v>
      </c>
      <c r="E316" s="11" t="s">
        <v>535</v>
      </c>
      <c r="F316" s="13" t="s">
        <v>550</v>
      </c>
      <c r="G316" s="2">
        <v>2</v>
      </c>
      <c r="H316" s="2"/>
      <c r="I316" s="3" t="str">
        <f t="shared" si="203"/>
        <v>10</v>
      </c>
      <c r="J316" s="2" t="b">
        <f t="shared" si="204"/>
        <v>0</v>
      </c>
      <c r="K316" s="2"/>
      <c r="L316" s="2"/>
      <c r="M316" s="3" t="s">
        <v>15</v>
      </c>
      <c r="N316" s="2" t="b">
        <v>0</v>
      </c>
      <c r="O316" s="2"/>
      <c r="P316" s="2"/>
      <c r="Q316" s="3" t="b">
        <f t="shared" si="201"/>
        <v>1</v>
      </c>
      <c r="R316" s="2" t="b">
        <f t="shared" si="202"/>
        <v>1</v>
      </c>
      <c r="S316" s="6"/>
    </row>
    <row r="317" spans="2:19" x14ac:dyDescent="0.15">
      <c r="B317" s="6"/>
      <c r="C317" s="6"/>
      <c r="D317" s="6" t="s">
        <v>47</v>
      </c>
      <c r="E317" s="9" t="s">
        <v>542</v>
      </c>
      <c r="F317" s="14" t="s">
        <v>546</v>
      </c>
      <c r="G317" s="6">
        <v>10</v>
      </c>
      <c r="H317" s="6"/>
      <c r="I317" s="1" t="str">
        <f t="shared" si="203"/>
        <v>10</v>
      </c>
      <c r="J317" s="6" t="b">
        <f t="shared" si="204"/>
        <v>0</v>
      </c>
      <c r="K317" s="6"/>
      <c r="L317" s="6"/>
      <c r="M317" s="1" t="s">
        <v>15</v>
      </c>
      <c r="N317" s="6" t="b">
        <v>0</v>
      </c>
      <c r="O317" s="6"/>
      <c r="P317" s="6"/>
      <c r="Q317" s="1" t="b">
        <f t="shared" si="201"/>
        <v>1</v>
      </c>
      <c r="R317" s="6" t="b">
        <f t="shared" si="202"/>
        <v>1</v>
      </c>
      <c r="S317" s="6"/>
    </row>
    <row r="318" spans="2:19" x14ac:dyDescent="0.15">
      <c r="B318" s="6"/>
      <c r="C318" s="6"/>
      <c r="D318" t="s">
        <v>49</v>
      </c>
      <c r="E318" s="9" t="s">
        <v>554</v>
      </c>
      <c r="F318" s="14" t="s">
        <v>548</v>
      </c>
      <c r="G318">
        <v>16</v>
      </c>
      <c r="H318" s="6"/>
      <c r="I318" s="1" t="str">
        <f t="shared" si="203"/>
        <v>10</v>
      </c>
      <c r="J318" s="6" t="b">
        <f t="shared" si="204"/>
        <v>0</v>
      </c>
      <c r="K318" s="6"/>
      <c r="L318" s="6"/>
      <c r="M318" s="1" t="s">
        <v>15</v>
      </c>
      <c r="N318" s="6" t="b">
        <v>0</v>
      </c>
      <c r="O318" s="6"/>
      <c r="P318" s="6"/>
      <c r="Q318" s="1" t="b">
        <f t="shared" si="201"/>
        <v>1</v>
      </c>
      <c r="R318" s="6" t="b">
        <f t="shared" si="202"/>
        <v>1</v>
      </c>
      <c r="S318" s="6"/>
    </row>
    <row r="319" spans="2:19" x14ac:dyDescent="0.15">
      <c r="B319" s="6"/>
      <c r="C319" s="2" t="s">
        <v>243</v>
      </c>
      <c r="D319" s="2" t="s">
        <v>46</v>
      </c>
      <c r="E319" s="11" t="s">
        <v>536</v>
      </c>
      <c r="F319" s="13" t="s">
        <v>534</v>
      </c>
      <c r="G319" s="2">
        <v>2</v>
      </c>
      <c r="H319" s="2"/>
      <c r="I319" s="3" t="str">
        <f t="shared" si="203"/>
        <v>101</v>
      </c>
      <c r="J319" s="2" t="b">
        <f t="shared" si="204"/>
        <v>0</v>
      </c>
      <c r="K319" s="2"/>
      <c r="L319" s="2"/>
      <c r="M319" s="3" t="s">
        <v>280</v>
      </c>
      <c r="N319" s="2" t="b">
        <v>0</v>
      </c>
      <c r="O319" s="2"/>
      <c r="P319" s="2"/>
      <c r="Q319" s="3" t="b">
        <f t="shared" si="201"/>
        <v>1</v>
      </c>
      <c r="R319" s="2" t="b">
        <f t="shared" si="202"/>
        <v>1</v>
      </c>
      <c r="S319" s="6"/>
    </row>
    <row r="320" spans="2:19" x14ac:dyDescent="0.15">
      <c r="B320" s="6"/>
      <c r="C320" s="6"/>
      <c r="D320" s="6" t="s">
        <v>47</v>
      </c>
      <c r="E320" s="9" t="s">
        <v>556</v>
      </c>
      <c r="F320" s="14" t="s">
        <v>546</v>
      </c>
      <c r="G320" s="6">
        <v>10</v>
      </c>
      <c r="H320" s="6"/>
      <c r="I320" s="1" t="str">
        <f t="shared" si="203"/>
        <v>109</v>
      </c>
      <c r="J320" s="6" t="b">
        <f t="shared" si="204"/>
        <v>0</v>
      </c>
      <c r="K320" s="6"/>
      <c r="L320" s="6"/>
      <c r="M320" s="1" t="s">
        <v>540</v>
      </c>
      <c r="N320" s="6" t="b">
        <v>0</v>
      </c>
      <c r="O320" s="6"/>
      <c r="P320" s="6"/>
      <c r="Q320" s="1" t="b">
        <f t="shared" si="201"/>
        <v>1</v>
      </c>
      <c r="R320" s="6" t="b">
        <f t="shared" si="202"/>
        <v>1</v>
      </c>
      <c r="S320" s="6"/>
    </row>
    <row r="321" spans="1:19" x14ac:dyDescent="0.15">
      <c r="B321" s="6"/>
      <c r="C321" s="6"/>
      <c r="D321" t="s">
        <v>49</v>
      </c>
      <c r="E321" s="9" t="s">
        <v>557</v>
      </c>
      <c r="F321" s="14" t="s">
        <v>555</v>
      </c>
      <c r="G321">
        <v>16</v>
      </c>
      <c r="H321" s="6"/>
      <c r="I321" s="1" t="str">
        <f t="shared" si="203"/>
        <v>10F</v>
      </c>
      <c r="J321" s="6" t="b">
        <f t="shared" si="204"/>
        <v>0</v>
      </c>
      <c r="K321" s="6"/>
      <c r="L321" s="6"/>
      <c r="M321" s="1" t="s">
        <v>543</v>
      </c>
      <c r="N321" s="6" t="b">
        <v>0</v>
      </c>
      <c r="O321" s="6"/>
      <c r="P321" s="6"/>
      <c r="Q321" s="1" t="b">
        <f t="shared" si="201"/>
        <v>1</v>
      </c>
      <c r="R321" s="6" t="b">
        <f t="shared" si="202"/>
        <v>1</v>
      </c>
      <c r="S321" s="6"/>
    </row>
    <row r="322" spans="1:19" x14ac:dyDescent="0.15">
      <c r="B322" s="6"/>
      <c r="C322" s="2" t="s">
        <v>244</v>
      </c>
      <c r="D322" s="2" t="s">
        <v>46</v>
      </c>
      <c r="E322" s="11" t="s">
        <v>535</v>
      </c>
      <c r="F322" s="13" t="s">
        <v>535</v>
      </c>
      <c r="G322" s="2">
        <v>2</v>
      </c>
      <c r="H322" s="2"/>
      <c r="I322" s="3" t="str">
        <f t="shared" si="203"/>
        <v>00</v>
      </c>
      <c r="J322" s="2" t="b">
        <f t="shared" si="204"/>
        <v>0</v>
      </c>
      <c r="K322" s="2"/>
      <c r="L322" s="2"/>
      <c r="M322" s="3" t="s">
        <v>98</v>
      </c>
      <c r="N322" s="2" t="b">
        <v>0</v>
      </c>
      <c r="O322" s="2"/>
      <c r="P322" s="2"/>
      <c r="Q322" s="3" t="b">
        <f t="shared" si="201"/>
        <v>1</v>
      </c>
      <c r="R322" s="2" t="b">
        <f t="shared" si="202"/>
        <v>1</v>
      </c>
      <c r="S322" s="6"/>
    </row>
    <row r="323" spans="1:19" x14ac:dyDescent="0.15">
      <c r="B323" s="6"/>
      <c r="C323" s="6"/>
      <c r="D323" s="6" t="s">
        <v>47</v>
      </c>
      <c r="E323" s="9" t="s">
        <v>542</v>
      </c>
      <c r="F323" s="14" t="s">
        <v>542</v>
      </c>
      <c r="G323" s="6">
        <v>10</v>
      </c>
      <c r="H323" s="6"/>
      <c r="I323" s="1" t="str">
        <f t="shared" si="203"/>
        <v>00</v>
      </c>
      <c r="J323" s="6" t="b">
        <f t="shared" si="204"/>
        <v>0</v>
      </c>
      <c r="K323" s="6"/>
      <c r="L323" s="6"/>
      <c r="M323" s="1" t="s">
        <v>98</v>
      </c>
      <c r="N323" s="6" t="b">
        <v>0</v>
      </c>
      <c r="O323" s="6"/>
      <c r="P323" s="6"/>
      <c r="Q323" s="1" t="b">
        <f t="shared" si="201"/>
        <v>1</v>
      </c>
      <c r="R323" s="6" t="b">
        <f t="shared" si="202"/>
        <v>1</v>
      </c>
      <c r="S323" s="6"/>
    </row>
    <row r="324" spans="1:19" x14ac:dyDescent="0.15">
      <c r="B324" s="6"/>
      <c r="C324" s="6"/>
      <c r="D324" t="s">
        <v>49</v>
      </c>
      <c r="E324" s="9" t="s">
        <v>554</v>
      </c>
      <c r="F324" s="14" t="s">
        <v>554</v>
      </c>
      <c r="G324">
        <v>16</v>
      </c>
      <c r="H324" s="6"/>
      <c r="I324" s="1" t="str">
        <f t="shared" si="203"/>
        <v>00</v>
      </c>
      <c r="J324" s="6" t="b">
        <f t="shared" si="204"/>
        <v>0</v>
      </c>
      <c r="K324" s="6"/>
      <c r="L324" s="6"/>
      <c r="M324" s="1" t="s">
        <v>98</v>
      </c>
      <c r="N324" s="6" t="b">
        <v>0</v>
      </c>
      <c r="O324" s="6"/>
      <c r="P324" s="6"/>
      <c r="Q324" s="1" t="b">
        <f t="shared" si="201"/>
        <v>1</v>
      </c>
      <c r="R324" s="6" t="b">
        <f t="shared" si="202"/>
        <v>1</v>
      </c>
      <c r="S324" s="6"/>
    </row>
    <row r="325" spans="1:19" x14ac:dyDescent="0.15">
      <c r="B325" s="6"/>
      <c r="C325" s="2" t="s">
        <v>245</v>
      </c>
      <c r="D325" s="2" t="s">
        <v>46</v>
      </c>
      <c r="E325" s="11" t="s">
        <v>536</v>
      </c>
      <c r="F325" s="13" t="s">
        <v>535</v>
      </c>
      <c r="G325" s="2">
        <v>2</v>
      </c>
      <c r="H325" s="2"/>
      <c r="I325" s="3" t="str">
        <f t="shared" si="203"/>
        <v>011</v>
      </c>
      <c r="J325" s="2" t="b">
        <f t="shared" si="204"/>
        <v>0</v>
      </c>
      <c r="K325" s="2"/>
      <c r="L325" s="2"/>
      <c r="M325" s="3" t="s">
        <v>78</v>
      </c>
      <c r="N325" s="2" t="b">
        <v>0</v>
      </c>
      <c r="O325" s="2"/>
      <c r="P325" s="2"/>
      <c r="Q325" s="3" t="b">
        <f t="shared" si="201"/>
        <v>1</v>
      </c>
      <c r="R325" s="2" t="b">
        <f t="shared" si="202"/>
        <v>1</v>
      </c>
      <c r="S325" s="6"/>
    </row>
    <row r="326" spans="1:19" x14ac:dyDescent="0.15">
      <c r="B326" s="6"/>
      <c r="C326" s="6"/>
      <c r="D326" s="6" t="s">
        <v>47</v>
      </c>
      <c r="E326" s="9" t="s">
        <v>556</v>
      </c>
      <c r="F326" s="14" t="s">
        <v>542</v>
      </c>
      <c r="G326" s="6">
        <v>10</v>
      </c>
      <c r="H326" s="6"/>
      <c r="I326" s="1" t="str">
        <f t="shared" si="203"/>
        <v>099</v>
      </c>
      <c r="J326" s="6" t="b">
        <f t="shared" si="204"/>
        <v>0</v>
      </c>
      <c r="K326" s="6"/>
      <c r="L326" s="6"/>
      <c r="M326" s="1" t="s">
        <v>154</v>
      </c>
      <c r="N326" s="6" t="b">
        <v>0</v>
      </c>
      <c r="O326" s="6"/>
      <c r="P326" s="6"/>
      <c r="Q326" s="1" t="b">
        <f t="shared" si="201"/>
        <v>1</v>
      </c>
      <c r="R326" s="6" t="b">
        <f t="shared" si="202"/>
        <v>1</v>
      </c>
      <c r="S326" s="6"/>
    </row>
    <row r="327" spans="1:19" x14ac:dyDescent="0.15">
      <c r="B327" s="6"/>
      <c r="C327" s="6"/>
      <c r="D327" t="s">
        <v>49</v>
      </c>
      <c r="E327" s="9" t="s">
        <v>557</v>
      </c>
      <c r="F327" s="14" t="s">
        <v>554</v>
      </c>
      <c r="G327">
        <v>16</v>
      </c>
      <c r="H327" s="6"/>
      <c r="I327" s="1" t="str">
        <f t="shared" si="203"/>
        <v>0FF</v>
      </c>
      <c r="J327" s="6" t="b">
        <f t="shared" si="204"/>
        <v>0</v>
      </c>
      <c r="K327" s="6"/>
      <c r="L327" s="6"/>
      <c r="M327" s="1" t="s">
        <v>157</v>
      </c>
      <c r="N327" s="6" t="b">
        <v>0</v>
      </c>
      <c r="O327" s="6"/>
      <c r="P327" s="6"/>
      <c r="Q327" s="1" t="b">
        <f t="shared" si="201"/>
        <v>1</v>
      </c>
      <c r="R327" s="6" t="b">
        <f t="shared" si="202"/>
        <v>1</v>
      </c>
      <c r="S327" s="6"/>
    </row>
    <row r="328" spans="1:19" x14ac:dyDescent="0.15">
      <c r="B328" s="2" t="s">
        <v>563</v>
      </c>
      <c r="C328" s="2"/>
      <c r="D328" s="2" t="s">
        <v>46</v>
      </c>
      <c r="E328" s="11" t="s">
        <v>564</v>
      </c>
      <c r="F328" s="13" t="s">
        <v>565</v>
      </c>
      <c r="G328" s="2">
        <v>2</v>
      </c>
      <c r="H328" s="2"/>
      <c r="I328" s="3" t="str">
        <f t="shared" ref="I328:I330" si="205">TESTsubtract(E328,F328,G328)</f>
        <v>1</v>
      </c>
      <c r="J328" s="2" t="b">
        <f t="shared" ref="J328:J330" si="206">TESTsubtractByRef1(E328,F328,G328)</f>
        <v>1</v>
      </c>
      <c r="K328" s="2"/>
      <c r="L328" s="2"/>
      <c r="M328" s="3" t="s">
        <v>44</v>
      </c>
      <c r="N328" s="2" t="b">
        <v>1</v>
      </c>
      <c r="O328" s="2"/>
      <c r="P328" s="2"/>
      <c r="Q328" s="3" t="b">
        <f t="shared" ref="Q328:Q330" si="207">getText(I328)=getText(M328)</f>
        <v>1</v>
      </c>
      <c r="R328" s="2" t="b">
        <f t="shared" ref="R328:R330" si="208">getText(J328)=getText(N328)</f>
        <v>1</v>
      </c>
      <c r="S328" s="6"/>
    </row>
    <row r="329" spans="1:19" x14ac:dyDescent="0.15">
      <c r="B329" s="6"/>
      <c r="C329" s="6"/>
      <c r="D329" s="6" t="s">
        <v>47</v>
      </c>
      <c r="E329" s="9" t="s">
        <v>566</v>
      </c>
      <c r="F329" s="14" t="s">
        <v>567</v>
      </c>
      <c r="G329" s="6">
        <v>10</v>
      </c>
      <c r="H329" s="6"/>
      <c r="I329" s="1" t="str">
        <f t="shared" si="205"/>
        <v>1</v>
      </c>
      <c r="J329" s="6" t="b">
        <f t="shared" si="206"/>
        <v>1</v>
      </c>
      <c r="K329" s="6"/>
      <c r="L329" s="6"/>
      <c r="M329" s="1" t="s">
        <v>44</v>
      </c>
      <c r="N329" s="6" t="b">
        <v>1</v>
      </c>
      <c r="O329" s="6"/>
      <c r="P329" s="6"/>
      <c r="Q329" s="1" t="b">
        <f t="shared" si="207"/>
        <v>1</v>
      </c>
      <c r="R329" s="6" t="b">
        <f t="shared" si="208"/>
        <v>1</v>
      </c>
      <c r="S329" s="6"/>
    </row>
    <row r="330" spans="1:19" x14ac:dyDescent="0.15">
      <c r="B330" s="6"/>
      <c r="C330" s="6"/>
      <c r="D330" t="s">
        <v>49</v>
      </c>
      <c r="E330" s="9" t="s">
        <v>568</v>
      </c>
      <c r="F330" s="14" t="s">
        <v>569</v>
      </c>
      <c r="G330">
        <v>16</v>
      </c>
      <c r="H330" s="6"/>
      <c r="I330" s="1" t="str">
        <f t="shared" si="205"/>
        <v>1</v>
      </c>
      <c r="J330" s="6" t="b">
        <f t="shared" si="206"/>
        <v>1</v>
      </c>
      <c r="K330" s="6"/>
      <c r="L330" s="6"/>
      <c r="M330" s="1" t="s">
        <v>44</v>
      </c>
      <c r="N330" s="6" t="b">
        <v>1</v>
      </c>
      <c r="O330" s="6"/>
      <c r="P330" s="6"/>
      <c r="Q330" s="36" t="b">
        <f t="shared" si="207"/>
        <v>1</v>
      </c>
      <c r="R330" s="35" t="b">
        <f t="shared" si="208"/>
        <v>1</v>
      </c>
      <c r="S330" s="6"/>
    </row>
    <row r="331" spans="1:19" x14ac:dyDescent="0.15">
      <c r="A331" s="2" t="s">
        <v>387</v>
      </c>
      <c r="B331" s="2" t="s">
        <v>219</v>
      </c>
      <c r="C331" s="22">
        <v>0</v>
      </c>
      <c r="D331" s="2" t="s">
        <v>46</v>
      </c>
      <c r="E331" s="11" t="s">
        <v>392</v>
      </c>
      <c r="F331" s="13" t="s">
        <v>389</v>
      </c>
      <c r="G331" s="2">
        <v>2</v>
      </c>
      <c r="H331" s="2"/>
      <c r="I331" s="3" t="str">
        <f>TESTmultiple(E331,F331,G331)</f>
        <v>00</v>
      </c>
      <c r="J331" s="2"/>
      <c r="K331" s="2"/>
      <c r="L331" s="2"/>
      <c r="M331" s="3" t="s">
        <v>98</v>
      </c>
      <c r="N331" s="2"/>
      <c r="O331" s="2"/>
      <c r="P331" s="2"/>
      <c r="Q331" s="3" t="b">
        <f t="shared" ref="Q331:Q333" si="209">getText(I331)=getText(M331)</f>
        <v>1</v>
      </c>
      <c r="R331" s="2"/>
      <c r="S331" s="6"/>
    </row>
    <row r="332" spans="1:19" x14ac:dyDescent="0.15">
      <c r="C332" s="27"/>
      <c r="D332" s="6" t="s">
        <v>47</v>
      </c>
      <c r="E332" s="9" t="s">
        <v>391</v>
      </c>
      <c r="F332" s="14" t="s">
        <v>393</v>
      </c>
      <c r="G332" s="6">
        <v>10</v>
      </c>
      <c r="H332" s="6"/>
      <c r="I332" s="1" t="str">
        <f t="shared" ref="I332:I333" si="210">TESTmultiple(E332,F332,G332)</f>
        <v>00</v>
      </c>
      <c r="J332" s="6"/>
      <c r="K332" s="6"/>
      <c r="L332" s="6"/>
      <c r="M332" s="1" t="s">
        <v>98</v>
      </c>
      <c r="N332" s="6"/>
      <c r="O332" s="6"/>
      <c r="P332" s="6"/>
      <c r="Q332" s="1" t="b">
        <f t="shared" si="209"/>
        <v>1</v>
      </c>
      <c r="R332" s="6"/>
      <c r="S332" s="6"/>
    </row>
    <row r="333" spans="1:19" x14ac:dyDescent="0.15">
      <c r="C333" s="27"/>
      <c r="D333" s="6" t="s">
        <v>49</v>
      </c>
      <c r="E333" s="9" t="s">
        <v>391</v>
      </c>
      <c r="F333" s="14" t="s">
        <v>393</v>
      </c>
      <c r="G333" s="6">
        <v>16</v>
      </c>
      <c r="H333" s="6"/>
      <c r="I333" s="1" t="str">
        <f t="shared" si="210"/>
        <v>00</v>
      </c>
      <c r="J333" s="6"/>
      <c r="K333" s="6"/>
      <c r="L333" s="6"/>
      <c r="M333" s="1" t="s">
        <v>98</v>
      </c>
      <c r="N333" s="6"/>
      <c r="O333" s="6"/>
      <c r="P333" s="6"/>
      <c r="Q333" s="1" t="b">
        <f t="shared" si="209"/>
        <v>1</v>
      </c>
      <c r="R333" s="6"/>
      <c r="S333" s="6"/>
    </row>
    <row r="334" spans="1:19" x14ac:dyDescent="0.15">
      <c r="C334" s="22">
        <v>1</v>
      </c>
      <c r="D334" s="2" t="s">
        <v>46</v>
      </c>
      <c r="E334" s="11" t="s">
        <v>391</v>
      </c>
      <c r="F334" s="13" t="s">
        <v>394</v>
      </c>
      <c r="G334" s="2">
        <v>2</v>
      </c>
      <c r="H334" s="2"/>
      <c r="I334" s="3" t="str">
        <f t="shared" ref="I334:I336" si="211">TESTmultiple(E334,F334,G334)</f>
        <v>11</v>
      </c>
      <c r="J334" s="2"/>
      <c r="K334" s="2"/>
      <c r="L334" s="2"/>
      <c r="M334" s="3" t="s">
        <v>18</v>
      </c>
      <c r="N334" s="2"/>
      <c r="O334" s="2"/>
      <c r="P334" s="2"/>
      <c r="Q334" s="3" t="b">
        <f t="shared" ref="Q334:Q336" si="212">getText(I334)=getText(M334)</f>
        <v>1</v>
      </c>
      <c r="R334" s="6"/>
      <c r="S334" s="6"/>
    </row>
    <row r="335" spans="1:19" x14ac:dyDescent="0.15">
      <c r="C335" s="27"/>
      <c r="D335" s="6" t="s">
        <v>47</v>
      </c>
      <c r="E335" s="9" t="s">
        <v>391</v>
      </c>
      <c r="F335" s="14" t="s">
        <v>394</v>
      </c>
      <c r="G335" s="6">
        <v>10</v>
      </c>
      <c r="H335" s="6"/>
      <c r="I335" s="1" t="str">
        <f t="shared" si="211"/>
        <v>11</v>
      </c>
      <c r="J335" s="6"/>
      <c r="K335" s="6"/>
      <c r="L335" s="6"/>
      <c r="M335" s="1" t="s">
        <v>18</v>
      </c>
      <c r="N335" s="6"/>
      <c r="O335" s="6"/>
      <c r="P335" s="6"/>
      <c r="Q335" s="1" t="b">
        <f t="shared" si="212"/>
        <v>1</v>
      </c>
      <c r="R335" s="6"/>
      <c r="S335" s="6"/>
    </row>
    <row r="336" spans="1:19" x14ac:dyDescent="0.15">
      <c r="C336" s="27"/>
      <c r="D336" s="6" t="s">
        <v>49</v>
      </c>
      <c r="E336" s="9" t="s">
        <v>391</v>
      </c>
      <c r="F336" s="14" t="s">
        <v>394</v>
      </c>
      <c r="G336" s="6">
        <v>16</v>
      </c>
      <c r="H336" s="6"/>
      <c r="I336" s="1" t="str">
        <f t="shared" si="211"/>
        <v>11</v>
      </c>
      <c r="J336" s="6"/>
      <c r="K336" s="6"/>
      <c r="L336" s="6"/>
      <c r="M336" s="1" t="s">
        <v>18</v>
      </c>
      <c r="N336" s="6"/>
      <c r="O336" s="6"/>
      <c r="P336" s="6"/>
      <c r="Q336" s="1" t="b">
        <f t="shared" si="212"/>
        <v>1</v>
      </c>
      <c r="R336" s="6"/>
      <c r="S336" s="6"/>
    </row>
    <row r="337" spans="2:19" x14ac:dyDescent="0.15">
      <c r="C337" s="22" t="s">
        <v>390</v>
      </c>
      <c r="D337" s="2" t="s">
        <v>304</v>
      </c>
      <c r="E337" s="11" t="s">
        <v>391</v>
      </c>
      <c r="F337" s="13" t="s">
        <v>404</v>
      </c>
      <c r="G337" s="2">
        <v>3</v>
      </c>
      <c r="H337" s="2"/>
      <c r="I337" s="3" t="str">
        <f t="shared" ref="I337:I339" si="213">TESTmultiple(E337,F337,G337)</f>
        <v>22</v>
      </c>
      <c r="J337" s="2"/>
      <c r="K337" s="2"/>
      <c r="L337" s="2"/>
      <c r="M337" s="3" t="s">
        <v>402</v>
      </c>
      <c r="N337" s="2"/>
      <c r="O337" s="2"/>
      <c r="P337" s="2"/>
      <c r="Q337" s="3" t="b">
        <f t="shared" ref="Q337:Q342" si="214">getText(I337)=getText(M337)</f>
        <v>1</v>
      </c>
      <c r="R337" s="6"/>
      <c r="S337" s="6"/>
    </row>
    <row r="338" spans="2:19" x14ac:dyDescent="0.15">
      <c r="C338" s="6"/>
      <c r="D338" s="6" t="s">
        <v>47</v>
      </c>
      <c r="E338" s="9" t="s">
        <v>391</v>
      </c>
      <c r="F338" s="14" t="s">
        <v>395</v>
      </c>
      <c r="G338" s="6">
        <v>10</v>
      </c>
      <c r="H338" s="6"/>
      <c r="I338" s="1" t="str">
        <f t="shared" si="213"/>
        <v>99</v>
      </c>
      <c r="J338" s="6"/>
      <c r="K338" s="6"/>
      <c r="L338" s="6"/>
      <c r="M338" s="1" t="s">
        <v>228</v>
      </c>
      <c r="N338" s="6"/>
      <c r="O338" s="6"/>
      <c r="P338" s="6"/>
      <c r="Q338" s="1" t="b">
        <f t="shared" si="214"/>
        <v>1</v>
      </c>
      <c r="R338" s="6"/>
      <c r="S338" s="6"/>
    </row>
    <row r="339" spans="2:19" x14ac:dyDescent="0.15">
      <c r="C339" s="6"/>
      <c r="D339" s="6" t="s">
        <v>49</v>
      </c>
      <c r="E339" s="9" t="s">
        <v>391</v>
      </c>
      <c r="F339" s="14" t="s">
        <v>396</v>
      </c>
      <c r="G339" s="6">
        <v>16</v>
      </c>
      <c r="H339" s="6"/>
      <c r="I339" s="1" t="str">
        <f t="shared" si="213"/>
        <v>FF</v>
      </c>
      <c r="J339" s="6"/>
      <c r="K339" s="6"/>
      <c r="L339" s="6"/>
      <c r="M339" s="1" t="s">
        <v>22</v>
      </c>
      <c r="N339" s="6"/>
      <c r="O339" s="6"/>
      <c r="P339" s="6"/>
      <c r="Q339" s="1" t="b">
        <f t="shared" si="214"/>
        <v>1</v>
      </c>
      <c r="R339" s="6"/>
      <c r="S339" s="6"/>
    </row>
    <row r="340" spans="2:19" x14ac:dyDescent="0.15">
      <c r="B340" s="2" t="s">
        <v>224</v>
      </c>
      <c r="C340" s="22">
        <v>10</v>
      </c>
      <c r="D340" s="2" t="s">
        <v>46</v>
      </c>
      <c r="E340" s="11" t="s">
        <v>392</v>
      </c>
      <c r="F340" s="13" t="s">
        <v>397</v>
      </c>
      <c r="G340" s="2">
        <v>2</v>
      </c>
      <c r="H340" s="2"/>
      <c r="I340" s="3" t="str">
        <f>TESTmultiple(E340,F340,G340)</f>
        <v>110</v>
      </c>
      <c r="J340" s="2"/>
      <c r="K340" s="2"/>
      <c r="L340" s="2"/>
      <c r="M340" s="3" t="s">
        <v>291</v>
      </c>
      <c r="N340" s="2"/>
      <c r="O340" s="2"/>
      <c r="P340" s="2"/>
      <c r="Q340" s="3" t="b">
        <f t="shared" si="214"/>
        <v>1</v>
      </c>
      <c r="R340" s="6"/>
      <c r="S340" s="6"/>
    </row>
    <row r="341" spans="2:19" x14ac:dyDescent="0.15">
      <c r="C341" s="27"/>
      <c r="D341" s="6" t="s">
        <v>47</v>
      </c>
      <c r="E341" s="9" t="s">
        <v>391</v>
      </c>
      <c r="F341" s="14" t="s">
        <v>397</v>
      </c>
      <c r="G341" s="6">
        <v>10</v>
      </c>
      <c r="H341" s="6"/>
      <c r="I341" s="1" t="str">
        <f t="shared" ref="I341:I342" si="215">TESTmultiple(E341,F341,G341)</f>
        <v>110</v>
      </c>
      <c r="J341" s="6"/>
      <c r="K341" s="6"/>
      <c r="L341" s="6"/>
      <c r="M341" s="1" t="s">
        <v>291</v>
      </c>
      <c r="N341" s="6"/>
      <c r="O341" s="6"/>
      <c r="P341" s="6"/>
      <c r="Q341" s="1" t="b">
        <f t="shared" si="214"/>
        <v>1</v>
      </c>
      <c r="R341" s="6"/>
      <c r="S341" s="6"/>
    </row>
    <row r="342" spans="2:19" x14ac:dyDescent="0.15">
      <c r="C342" s="27"/>
      <c r="D342" s="6" t="s">
        <v>49</v>
      </c>
      <c r="E342" s="9" t="s">
        <v>391</v>
      </c>
      <c r="F342" s="14" t="s">
        <v>397</v>
      </c>
      <c r="G342" s="6">
        <v>16</v>
      </c>
      <c r="H342" s="6"/>
      <c r="I342" s="1" t="str">
        <f t="shared" si="215"/>
        <v>110</v>
      </c>
      <c r="J342" s="6"/>
      <c r="K342" s="6"/>
      <c r="L342" s="6"/>
      <c r="M342" s="1" t="s">
        <v>291</v>
      </c>
      <c r="N342" s="6"/>
      <c r="O342" s="6"/>
      <c r="P342" s="6"/>
      <c r="Q342" s="1" t="b">
        <f t="shared" si="214"/>
        <v>1</v>
      </c>
      <c r="R342" s="6"/>
      <c r="S342" s="6"/>
    </row>
    <row r="343" spans="2:19" x14ac:dyDescent="0.15">
      <c r="C343" s="22">
        <v>11</v>
      </c>
      <c r="D343" s="2" t="s">
        <v>46</v>
      </c>
      <c r="E343" s="11" t="s">
        <v>391</v>
      </c>
      <c r="F343" s="13" t="s">
        <v>391</v>
      </c>
      <c r="G343" s="2">
        <v>2</v>
      </c>
      <c r="H343" s="2"/>
      <c r="I343" s="3" t="str">
        <f t="shared" ref="I343:I345" si="216">TESTmultiple(E343,F343,G343)</f>
        <v>1001</v>
      </c>
      <c r="J343" s="2"/>
      <c r="K343" s="2"/>
      <c r="L343" s="2"/>
      <c r="M343" s="3" t="s">
        <v>401</v>
      </c>
      <c r="N343" s="2"/>
      <c r="O343" s="2"/>
      <c r="P343" s="2"/>
      <c r="Q343" s="3" t="b">
        <f t="shared" ref="Q343:Q345" si="217">getText(I343)=getText(M343)</f>
        <v>1</v>
      </c>
      <c r="R343" s="6"/>
      <c r="S343" s="6"/>
    </row>
    <row r="344" spans="2:19" x14ac:dyDescent="0.15">
      <c r="C344" s="6"/>
      <c r="D344" s="6" t="s">
        <v>47</v>
      </c>
      <c r="E344" s="9" t="s">
        <v>391</v>
      </c>
      <c r="F344" s="14" t="s">
        <v>391</v>
      </c>
      <c r="G344" s="6">
        <v>10</v>
      </c>
      <c r="H344" s="6"/>
      <c r="I344" s="1" t="str">
        <f t="shared" si="216"/>
        <v>121</v>
      </c>
      <c r="J344" s="6"/>
      <c r="K344" s="6"/>
      <c r="L344" s="6"/>
      <c r="M344" s="1" t="s">
        <v>319</v>
      </c>
      <c r="N344" s="6"/>
      <c r="O344" s="6"/>
      <c r="P344" s="6"/>
      <c r="Q344" s="1" t="b">
        <f t="shared" si="217"/>
        <v>1</v>
      </c>
      <c r="R344" s="6"/>
      <c r="S344" s="6"/>
    </row>
    <row r="345" spans="2:19" x14ac:dyDescent="0.15">
      <c r="C345" s="6"/>
      <c r="D345" s="6" t="s">
        <v>49</v>
      </c>
      <c r="E345" s="9" t="s">
        <v>391</v>
      </c>
      <c r="F345" s="14" t="s">
        <v>391</v>
      </c>
      <c r="G345" s="6">
        <v>16</v>
      </c>
      <c r="H345" s="6"/>
      <c r="I345" s="1" t="str">
        <f t="shared" si="216"/>
        <v>121</v>
      </c>
      <c r="J345" s="6"/>
      <c r="K345" s="6"/>
      <c r="L345" s="6"/>
      <c r="M345" s="1" t="s">
        <v>319</v>
      </c>
      <c r="N345" s="6"/>
      <c r="O345" s="6"/>
      <c r="P345" s="6"/>
      <c r="Q345" s="1" t="b">
        <f t="shared" si="217"/>
        <v>1</v>
      </c>
      <c r="R345" s="6"/>
      <c r="S345" s="6"/>
    </row>
    <row r="346" spans="2:19" x14ac:dyDescent="0.15">
      <c r="C346" s="22" t="s">
        <v>398</v>
      </c>
      <c r="D346" s="2" t="s">
        <v>304</v>
      </c>
      <c r="E346" s="11" t="s">
        <v>391</v>
      </c>
      <c r="F346" s="13" t="s">
        <v>403</v>
      </c>
      <c r="G346" s="2">
        <v>3</v>
      </c>
      <c r="H346" s="2"/>
      <c r="I346" s="3" t="str">
        <f t="shared" ref="I346:I348" si="218">TESTmultiple(E346,F346,G346)</f>
        <v>1012</v>
      </c>
      <c r="J346" s="2"/>
      <c r="K346" s="2"/>
      <c r="L346" s="2"/>
      <c r="M346" s="3" t="s">
        <v>405</v>
      </c>
      <c r="N346" s="2"/>
      <c r="O346" s="2"/>
      <c r="P346" s="2"/>
      <c r="Q346" s="3" t="b">
        <f t="shared" ref="Q346:Q348" si="219">getText(I346)=getText(M346)</f>
        <v>1</v>
      </c>
      <c r="R346" s="6"/>
      <c r="S346" s="6"/>
    </row>
    <row r="347" spans="2:19" x14ac:dyDescent="0.15">
      <c r="C347" s="6"/>
      <c r="D347" s="6" t="s">
        <v>47</v>
      </c>
      <c r="E347" s="9" t="s">
        <v>391</v>
      </c>
      <c r="F347" s="14" t="s">
        <v>399</v>
      </c>
      <c r="G347" s="6">
        <v>10</v>
      </c>
      <c r="H347" s="6"/>
      <c r="I347" s="1" t="str">
        <f t="shared" si="218"/>
        <v>1089</v>
      </c>
      <c r="J347" s="6"/>
      <c r="K347" s="6"/>
      <c r="L347" s="6"/>
      <c r="M347" s="1" t="s">
        <v>406</v>
      </c>
      <c r="N347" s="6"/>
      <c r="O347" s="6"/>
      <c r="P347" s="6"/>
      <c r="Q347" s="1" t="b">
        <f t="shared" si="219"/>
        <v>1</v>
      </c>
      <c r="R347" s="6"/>
      <c r="S347" s="6"/>
    </row>
    <row r="348" spans="2:19" x14ac:dyDescent="0.15">
      <c r="C348" s="6"/>
      <c r="D348" s="6" t="s">
        <v>49</v>
      </c>
      <c r="E348" s="9" t="s">
        <v>391</v>
      </c>
      <c r="F348" s="14" t="s">
        <v>400</v>
      </c>
      <c r="G348" s="6">
        <v>16</v>
      </c>
      <c r="H348" s="6"/>
      <c r="I348" s="1" t="str">
        <f t="shared" si="218"/>
        <v>10EF</v>
      </c>
      <c r="J348" s="6"/>
      <c r="K348" s="6"/>
      <c r="L348" s="6"/>
      <c r="M348" s="1" t="s">
        <v>407</v>
      </c>
      <c r="N348" s="6"/>
      <c r="O348" s="6"/>
      <c r="P348" s="6"/>
      <c r="Q348" s="1" t="b">
        <f t="shared" si="219"/>
        <v>1</v>
      </c>
      <c r="R348" s="6"/>
      <c r="S348" s="6"/>
    </row>
    <row r="349" spans="2:19" x14ac:dyDescent="0.15">
      <c r="C349" s="2" t="s">
        <v>421</v>
      </c>
      <c r="D349" s="2" t="s">
        <v>304</v>
      </c>
      <c r="E349" s="11" t="s">
        <v>409</v>
      </c>
      <c r="F349" s="13" t="s">
        <v>410</v>
      </c>
      <c r="G349" s="2">
        <v>3</v>
      </c>
      <c r="H349" s="2"/>
      <c r="I349" s="3" t="str">
        <f t="shared" ref="I349" si="220">TESTmultiple(E349,F349,G349)</f>
        <v>1010</v>
      </c>
      <c r="J349" s="2"/>
      <c r="K349" s="2"/>
      <c r="L349" s="2"/>
      <c r="M349" s="3" t="s">
        <v>388</v>
      </c>
      <c r="N349" s="2"/>
      <c r="O349" s="2"/>
      <c r="P349" s="2"/>
      <c r="Q349" s="3" t="b">
        <f t="shared" ref="Q349:Q350" si="221">getText(I349)=getText(M349)</f>
        <v>1</v>
      </c>
      <c r="R349" s="6"/>
      <c r="S349" s="6"/>
    </row>
    <row r="350" spans="2:19" x14ac:dyDescent="0.15">
      <c r="C350" s="6" t="s">
        <v>408</v>
      </c>
      <c r="D350" s="6" t="s">
        <v>47</v>
      </c>
      <c r="E350" s="9" t="s">
        <v>409</v>
      </c>
      <c r="F350" s="14" t="s">
        <v>411</v>
      </c>
      <c r="G350" s="6">
        <v>10</v>
      </c>
      <c r="H350" s="6"/>
      <c r="I350" s="1" t="str">
        <f t="shared" ref="I350:I351" si="222">TESTmultiple(E350,F350,G350)</f>
        <v>300</v>
      </c>
      <c r="J350" s="6"/>
      <c r="K350" s="6"/>
      <c r="L350" s="6"/>
      <c r="M350" s="1" t="s">
        <v>412</v>
      </c>
      <c r="N350" s="6"/>
      <c r="O350" s="6"/>
      <c r="P350" s="6"/>
      <c r="Q350" s="1" t="b">
        <f t="shared" si="221"/>
        <v>1</v>
      </c>
      <c r="R350" s="6"/>
      <c r="S350" s="6"/>
    </row>
    <row r="351" spans="2:19" x14ac:dyDescent="0.15">
      <c r="C351" s="6"/>
      <c r="D351" s="6" t="s">
        <v>49</v>
      </c>
      <c r="E351" s="9" t="s">
        <v>409</v>
      </c>
      <c r="F351" s="14" t="s">
        <v>413</v>
      </c>
      <c r="G351" s="6">
        <v>16</v>
      </c>
      <c r="H351" s="6"/>
      <c r="I351" s="1" t="str">
        <f t="shared" si="222"/>
        <v>300</v>
      </c>
      <c r="J351" s="6"/>
      <c r="K351" s="6"/>
      <c r="L351" s="6"/>
      <c r="M351" s="1" t="s">
        <v>412</v>
      </c>
      <c r="N351" s="6"/>
      <c r="O351" s="6"/>
      <c r="P351" s="6"/>
      <c r="Q351" s="1" t="b">
        <f t="shared" ref="Q351:Q365" si="223">getText(I351)=getText(M351)</f>
        <v>1</v>
      </c>
      <c r="R351" s="6"/>
      <c r="S351" s="6"/>
    </row>
    <row r="352" spans="2:19" x14ac:dyDescent="0.15">
      <c r="C352" s="2" t="s">
        <v>422</v>
      </c>
      <c r="D352" s="2" t="s">
        <v>304</v>
      </c>
      <c r="E352" s="11" t="s">
        <v>409</v>
      </c>
      <c r="F352" s="13" t="s">
        <v>415</v>
      </c>
      <c r="G352" s="2">
        <v>3</v>
      </c>
      <c r="H352" s="2"/>
      <c r="I352" s="3" t="str">
        <f t="shared" ref="I352:I353" si="224">TESTmultiple(E352,F352,G352)</f>
        <v>1120</v>
      </c>
      <c r="J352" s="2"/>
      <c r="K352" s="2"/>
      <c r="L352" s="2"/>
      <c r="M352" s="3" t="s">
        <v>416</v>
      </c>
      <c r="N352" s="2"/>
      <c r="O352" s="2"/>
      <c r="P352" s="2"/>
      <c r="Q352" s="3" t="b">
        <f t="shared" si="223"/>
        <v>1</v>
      </c>
      <c r="R352" s="6"/>
      <c r="S352" s="6"/>
    </row>
    <row r="353" spans="1:19" x14ac:dyDescent="0.15">
      <c r="C353" s="6" t="s">
        <v>414</v>
      </c>
      <c r="D353" s="6" t="s">
        <v>47</v>
      </c>
      <c r="E353" s="9" t="s">
        <v>409</v>
      </c>
      <c r="F353" s="14" t="s">
        <v>417</v>
      </c>
      <c r="G353" s="6">
        <v>10</v>
      </c>
      <c r="H353" s="6"/>
      <c r="I353" s="1" t="str">
        <f t="shared" si="224"/>
        <v>1020</v>
      </c>
      <c r="J353" s="6"/>
      <c r="K353" s="6"/>
      <c r="L353" s="6"/>
      <c r="M353" s="1" t="s">
        <v>419</v>
      </c>
      <c r="N353" s="6"/>
      <c r="O353" s="6"/>
      <c r="P353" s="6"/>
      <c r="Q353" s="1" t="b">
        <f t="shared" si="223"/>
        <v>1</v>
      </c>
      <c r="R353" s="6"/>
      <c r="S353" s="6"/>
    </row>
    <row r="354" spans="1:19" x14ac:dyDescent="0.15">
      <c r="C354" s="6"/>
      <c r="D354" s="6" t="s">
        <v>49</v>
      </c>
      <c r="E354" s="9" t="s">
        <v>409</v>
      </c>
      <c r="F354" s="14" t="s">
        <v>418</v>
      </c>
      <c r="G354" s="6">
        <v>16</v>
      </c>
      <c r="H354" s="6"/>
      <c r="I354" s="1" t="str">
        <f t="shared" ref="I354" si="225">TESTmultiple(E354,F354,G354)</f>
        <v>1020</v>
      </c>
      <c r="J354" s="6"/>
      <c r="K354" s="6"/>
      <c r="L354" s="6"/>
      <c r="M354" s="1" t="s">
        <v>419</v>
      </c>
      <c r="N354" s="6"/>
      <c r="O354" s="6"/>
      <c r="P354" s="6"/>
      <c r="Q354" s="1" t="b">
        <f t="shared" si="223"/>
        <v>1</v>
      </c>
      <c r="R354" s="6"/>
      <c r="S354" s="6"/>
    </row>
    <row r="355" spans="1:19" x14ac:dyDescent="0.15">
      <c r="C355" s="2" t="s">
        <v>421</v>
      </c>
      <c r="D355" s="2" t="s">
        <v>304</v>
      </c>
      <c r="E355" s="11" t="s">
        <v>403</v>
      </c>
      <c r="F355" s="13" t="s">
        <v>423</v>
      </c>
      <c r="G355" s="2">
        <v>3</v>
      </c>
      <c r="H355" s="2"/>
      <c r="I355" s="3" t="str">
        <f t="shared" ref="I355" si="226">TESTmultiple(E355,F355,G355)</f>
        <v>2101</v>
      </c>
      <c r="J355" s="2"/>
      <c r="K355" s="2"/>
      <c r="L355" s="2"/>
      <c r="M355" s="3" t="s">
        <v>424</v>
      </c>
      <c r="N355" s="2"/>
      <c r="O355" s="2"/>
      <c r="P355" s="2"/>
      <c r="Q355" s="3" t="b">
        <f t="shared" si="223"/>
        <v>1</v>
      </c>
      <c r="R355" s="6"/>
      <c r="S355" s="6"/>
    </row>
    <row r="356" spans="1:19" x14ac:dyDescent="0.15">
      <c r="C356" s="6" t="s">
        <v>420</v>
      </c>
      <c r="D356" s="6" t="s">
        <v>47</v>
      </c>
      <c r="E356" s="9" t="s">
        <v>423</v>
      </c>
      <c r="F356" s="14" t="s">
        <v>425</v>
      </c>
      <c r="G356" s="6">
        <v>10</v>
      </c>
      <c r="H356" s="6"/>
      <c r="I356" s="1" t="str">
        <f t="shared" ref="I356" si="227">TESTmultiple(E356,F356,G356)</f>
        <v>1210</v>
      </c>
      <c r="J356" s="6"/>
      <c r="K356" s="6"/>
      <c r="L356" s="6"/>
      <c r="M356" s="1" t="s">
        <v>426</v>
      </c>
      <c r="N356" s="6"/>
      <c r="O356" s="6"/>
      <c r="P356" s="6"/>
      <c r="Q356" s="1" t="b">
        <f t="shared" si="223"/>
        <v>1</v>
      </c>
      <c r="R356" s="6"/>
      <c r="S356" s="6"/>
    </row>
    <row r="357" spans="1:19" x14ac:dyDescent="0.15">
      <c r="C357" s="6"/>
      <c r="D357" s="6" t="s">
        <v>49</v>
      </c>
      <c r="E357" s="9" t="s">
        <v>423</v>
      </c>
      <c r="F357" s="14" t="s">
        <v>427</v>
      </c>
      <c r="G357" s="6">
        <v>16</v>
      </c>
      <c r="H357" s="6"/>
      <c r="I357" s="1" t="str">
        <f t="shared" ref="I357" si="228">TESTmultiple(E357,F357,G357)</f>
        <v>1210</v>
      </c>
      <c r="J357" s="6"/>
      <c r="K357" s="6"/>
      <c r="L357" s="6"/>
      <c r="M357" s="1" t="s">
        <v>426</v>
      </c>
      <c r="N357" s="6"/>
      <c r="O357" s="6"/>
      <c r="P357" s="6"/>
      <c r="Q357" s="1" t="b">
        <f t="shared" si="223"/>
        <v>1</v>
      </c>
      <c r="R357" s="6"/>
      <c r="S357" s="6"/>
    </row>
    <row r="358" spans="1:19" x14ac:dyDescent="0.15">
      <c r="B358" s="2" t="s">
        <v>428</v>
      </c>
      <c r="C358" s="24" t="s">
        <v>435</v>
      </c>
      <c r="D358" s="2" t="s">
        <v>304</v>
      </c>
      <c r="E358" s="11" t="s">
        <v>403</v>
      </c>
      <c r="F358" s="13" t="s">
        <v>436</v>
      </c>
      <c r="G358" s="2">
        <v>3</v>
      </c>
      <c r="H358" s="2"/>
      <c r="I358" s="3" t="str">
        <f t="shared" ref="I358:I360" si="229">TESTmultiple(E358,F358,G358)</f>
        <v>12100</v>
      </c>
      <c r="J358" s="2"/>
      <c r="K358" s="2"/>
      <c r="L358" s="2"/>
      <c r="M358" s="3" t="s">
        <v>439</v>
      </c>
      <c r="N358" s="2"/>
      <c r="O358" s="2"/>
      <c r="P358" s="2"/>
      <c r="Q358" s="3" t="b">
        <f t="shared" si="223"/>
        <v>1</v>
      </c>
      <c r="R358" s="6"/>
      <c r="S358" s="6"/>
    </row>
    <row r="359" spans="1:19" x14ac:dyDescent="0.15">
      <c r="C359" s="6"/>
      <c r="D359" s="6" t="s">
        <v>47</v>
      </c>
      <c r="E359" s="9" t="s">
        <v>403</v>
      </c>
      <c r="F359" s="14" t="s">
        <v>437</v>
      </c>
      <c r="G359" s="6">
        <v>10</v>
      </c>
      <c r="H359" s="6"/>
      <c r="I359" s="1" t="str">
        <f t="shared" si="229"/>
        <v>11000</v>
      </c>
      <c r="J359" s="6"/>
      <c r="K359" s="6"/>
      <c r="L359" s="6"/>
      <c r="M359" s="1" t="s">
        <v>440</v>
      </c>
      <c r="N359" s="6"/>
      <c r="O359" s="6"/>
      <c r="P359" s="6"/>
      <c r="Q359" s="1" t="b">
        <f t="shared" si="223"/>
        <v>1</v>
      </c>
      <c r="R359" s="6"/>
      <c r="S359" s="6"/>
    </row>
    <row r="360" spans="1:19" x14ac:dyDescent="0.15">
      <c r="C360" s="6"/>
      <c r="D360" s="6" t="s">
        <v>49</v>
      </c>
      <c r="E360" s="9" t="s">
        <v>403</v>
      </c>
      <c r="F360" s="14" t="s">
        <v>438</v>
      </c>
      <c r="G360" s="6">
        <v>16</v>
      </c>
      <c r="H360" s="6"/>
      <c r="I360" s="1" t="str">
        <f t="shared" si="229"/>
        <v>11000</v>
      </c>
      <c r="J360" s="6"/>
      <c r="K360" s="6"/>
      <c r="L360" s="6"/>
      <c r="M360" s="1" t="s">
        <v>440</v>
      </c>
      <c r="N360" s="6"/>
      <c r="O360" s="6"/>
      <c r="P360" s="6"/>
      <c r="Q360" s="1" t="b">
        <f t="shared" si="223"/>
        <v>1</v>
      </c>
      <c r="R360" s="6"/>
      <c r="S360" s="6"/>
    </row>
    <row r="361" spans="1:19" x14ac:dyDescent="0.15">
      <c r="C361" s="24" t="s">
        <v>429</v>
      </c>
      <c r="D361" s="2" t="s">
        <v>304</v>
      </c>
      <c r="E361" s="11" t="s">
        <v>403</v>
      </c>
      <c r="F361" s="13" t="s">
        <v>430</v>
      </c>
      <c r="G361" s="2">
        <v>3</v>
      </c>
      <c r="H361" s="2"/>
      <c r="I361" s="3" t="str">
        <f t="shared" ref="I361:I363" si="230">TESTmultiple(E361,F361,G361)</f>
        <v>21201</v>
      </c>
      <c r="J361" s="2"/>
      <c r="K361" s="2"/>
      <c r="L361" s="2"/>
      <c r="M361" s="3" t="s">
        <v>433</v>
      </c>
      <c r="N361" s="2"/>
      <c r="O361" s="2"/>
      <c r="P361" s="2"/>
      <c r="Q361" s="3" t="b">
        <f t="shared" si="223"/>
        <v>1</v>
      </c>
      <c r="R361" s="6"/>
      <c r="S361" s="6"/>
    </row>
    <row r="362" spans="1:19" x14ac:dyDescent="0.15">
      <c r="C362" s="6"/>
      <c r="D362" s="6" t="s">
        <v>47</v>
      </c>
      <c r="E362" s="9" t="s">
        <v>403</v>
      </c>
      <c r="F362" s="14" t="s">
        <v>431</v>
      </c>
      <c r="G362" s="6">
        <v>10</v>
      </c>
      <c r="H362" s="6"/>
      <c r="I362" s="1" t="str">
        <f t="shared" si="230"/>
        <v>12210</v>
      </c>
      <c r="J362" s="6"/>
      <c r="K362" s="6"/>
      <c r="L362" s="6"/>
      <c r="M362" s="1" t="s">
        <v>434</v>
      </c>
      <c r="N362" s="6"/>
      <c r="O362" s="6"/>
      <c r="P362" s="6"/>
      <c r="Q362" s="1" t="b">
        <f t="shared" si="223"/>
        <v>1</v>
      </c>
      <c r="R362" s="6"/>
      <c r="S362" s="6"/>
    </row>
    <row r="363" spans="1:19" x14ac:dyDescent="0.15">
      <c r="C363" s="6"/>
      <c r="D363" s="6" t="s">
        <v>49</v>
      </c>
      <c r="E363" s="9" t="s">
        <v>403</v>
      </c>
      <c r="F363" s="14" t="s">
        <v>432</v>
      </c>
      <c r="G363" s="6">
        <v>16</v>
      </c>
      <c r="H363" s="6"/>
      <c r="I363" s="1" t="str">
        <f t="shared" si="230"/>
        <v>12210</v>
      </c>
      <c r="J363" s="6"/>
      <c r="K363" s="6"/>
      <c r="L363" s="6"/>
      <c r="M363" s="1" t="s">
        <v>434</v>
      </c>
      <c r="N363" s="6"/>
      <c r="O363" s="6"/>
      <c r="P363" s="6"/>
      <c r="Q363" s="1" t="b">
        <f t="shared" si="223"/>
        <v>1</v>
      </c>
      <c r="R363" s="6"/>
      <c r="S363" s="6"/>
    </row>
    <row r="364" spans="1:19" x14ac:dyDescent="0.15">
      <c r="A364" s="2" t="s">
        <v>294</v>
      </c>
      <c r="B364" s="2" t="s">
        <v>295</v>
      </c>
      <c r="C364" s="2"/>
      <c r="D364" s="2"/>
      <c r="E364" s="11" t="s">
        <v>300</v>
      </c>
      <c r="F364" s="13" t="s">
        <v>297</v>
      </c>
      <c r="G364" s="24">
        <v>2</v>
      </c>
      <c r="H364" s="2"/>
      <c r="I364" s="3" t="str">
        <f t="shared" ref="I364:I365" si="231">TESTmultipleByOneDigit(E364,F364,G364)</f>
        <v>00</v>
      </c>
      <c r="J364" s="24"/>
      <c r="K364" s="2"/>
      <c r="L364" s="2"/>
      <c r="M364" s="3" t="s">
        <v>98</v>
      </c>
      <c r="N364" s="2"/>
      <c r="O364" s="2"/>
      <c r="P364" s="2"/>
      <c r="Q364" s="3" t="b">
        <f t="shared" si="223"/>
        <v>1</v>
      </c>
      <c r="R364" s="6"/>
      <c r="S364" s="6"/>
    </row>
    <row r="365" spans="1:19" x14ac:dyDescent="0.15">
      <c r="B365" s="28" t="s">
        <v>296</v>
      </c>
      <c r="C365" s="28"/>
      <c r="D365" s="28"/>
      <c r="E365" s="29" t="s">
        <v>301</v>
      </c>
      <c r="F365" s="30" t="s">
        <v>298</v>
      </c>
      <c r="G365" s="31">
        <v>2</v>
      </c>
      <c r="H365" s="28"/>
      <c r="I365" s="32" t="str">
        <f t="shared" si="231"/>
        <v>101</v>
      </c>
      <c r="J365" s="28"/>
      <c r="K365" s="28"/>
      <c r="L365" s="28"/>
      <c r="M365" s="32" t="s">
        <v>280</v>
      </c>
      <c r="N365" s="28"/>
      <c r="O365" s="28"/>
      <c r="P365" s="28"/>
      <c r="Q365" s="32" t="b">
        <f t="shared" si="223"/>
        <v>1</v>
      </c>
      <c r="R365" s="6"/>
      <c r="S365" s="6"/>
    </row>
    <row r="366" spans="1:19" x14ac:dyDescent="0.15">
      <c r="B366" t="s">
        <v>302</v>
      </c>
      <c r="C366" s="6" t="s">
        <v>303</v>
      </c>
      <c r="D366" s="7" t="s">
        <v>304</v>
      </c>
      <c r="E366" s="9" t="s">
        <v>308</v>
      </c>
      <c r="F366" s="14" t="s">
        <v>310</v>
      </c>
      <c r="G366" s="7">
        <v>3</v>
      </c>
      <c r="H366" s="6"/>
      <c r="I366" s="1" t="str">
        <f t="shared" ref="I366" si="232">TESTmultipleByOneDigit(E366,F366,G366)</f>
        <v>11</v>
      </c>
      <c r="J366" s="6"/>
      <c r="K366" s="6"/>
      <c r="L366" s="6"/>
      <c r="M366" s="1" t="s">
        <v>18</v>
      </c>
      <c r="N366" s="6"/>
      <c r="O366" s="6"/>
      <c r="P366" s="6"/>
      <c r="Q366" s="1" t="b">
        <f t="shared" ref="Q366:Q368" si="233">getText(I366)=getText(M366)</f>
        <v>1</v>
      </c>
      <c r="R366" s="6"/>
      <c r="S366" s="6"/>
    </row>
    <row r="367" spans="1:19" x14ac:dyDescent="0.15">
      <c r="C367" s="6"/>
      <c r="D367" s="7" t="s">
        <v>305</v>
      </c>
      <c r="E367" s="9" t="s">
        <v>308</v>
      </c>
      <c r="F367" s="14" t="s">
        <v>311</v>
      </c>
      <c r="G367" s="7">
        <v>10</v>
      </c>
      <c r="H367" s="6"/>
      <c r="I367" s="1" t="str">
        <f t="shared" ref="I367:I369" si="234">TESTmultipleByOneDigit(E367,F367,G367)</f>
        <v>4</v>
      </c>
      <c r="J367" s="6"/>
      <c r="K367" s="6"/>
      <c r="L367" s="6"/>
      <c r="M367" s="1" t="s">
        <v>314</v>
      </c>
      <c r="N367" s="6"/>
      <c r="O367" s="6"/>
      <c r="P367" s="6"/>
      <c r="Q367" s="1" t="b">
        <f t="shared" si="233"/>
        <v>1</v>
      </c>
      <c r="R367" s="6"/>
      <c r="S367" s="6"/>
    </row>
    <row r="368" spans="1:19" x14ac:dyDescent="0.15">
      <c r="C368" s="6"/>
      <c r="D368" s="7" t="s">
        <v>306</v>
      </c>
      <c r="E368" s="9" t="s">
        <v>313</v>
      </c>
      <c r="F368" s="14" t="s">
        <v>312</v>
      </c>
      <c r="G368" s="7">
        <v>16</v>
      </c>
      <c r="H368" s="6"/>
      <c r="I368" s="1" t="str">
        <f t="shared" si="234"/>
        <v>A</v>
      </c>
      <c r="J368" s="6"/>
      <c r="K368" s="6"/>
      <c r="L368" s="6"/>
      <c r="M368" s="1" t="s">
        <v>315</v>
      </c>
      <c r="N368" s="6"/>
      <c r="O368" s="6"/>
      <c r="P368" s="6"/>
      <c r="Q368" s="1" t="b">
        <f t="shared" si="233"/>
        <v>1</v>
      </c>
      <c r="R368" s="6"/>
      <c r="S368" s="6"/>
    </row>
    <row r="369" spans="2:19" x14ac:dyDescent="0.15">
      <c r="C369" s="2" t="s">
        <v>318</v>
      </c>
      <c r="D369" s="24" t="s">
        <v>304</v>
      </c>
      <c r="E369" s="11" t="s">
        <v>316</v>
      </c>
      <c r="F369" s="13" t="s">
        <v>310</v>
      </c>
      <c r="G369" s="24">
        <v>3</v>
      </c>
      <c r="H369" s="2"/>
      <c r="I369" s="3" t="str">
        <f t="shared" si="234"/>
        <v>121</v>
      </c>
      <c r="J369" s="2"/>
      <c r="K369" s="2"/>
      <c r="L369" s="2"/>
      <c r="M369" s="3" t="s">
        <v>319</v>
      </c>
      <c r="N369" s="2"/>
      <c r="O369" s="2"/>
      <c r="P369" s="2"/>
      <c r="Q369" s="3" t="b">
        <f t="shared" ref="Q369:Q371" si="235">getText(I369)=getText(M369)</f>
        <v>1</v>
      </c>
      <c r="R369" s="6"/>
      <c r="S369" s="6"/>
    </row>
    <row r="370" spans="2:19" x14ac:dyDescent="0.15">
      <c r="C370" s="6"/>
      <c r="D370" s="7" t="s">
        <v>305</v>
      </c>
      <c r="E370" s="9" t="s">
        <v>316</v>
      </c>
      <c r="F370" s="14" t="s">
        <v>311</v>
      </c>
      <c r="G370" s="7">
        <v>10</v>
      </c>
      <c r="H370" s="6"/>
      <c r="I370" s="1" t="str">
        <f t="shared" ref="I370:I372" si="236">TESTmultipleByOneDigit(E370,F370,G370)</f>
        <v>44</v>
      </c>
      <c r="J370" s="6"/>
      <c r="K370" s="6"/>
      <c r="L370" s="6"/>
      <c r="M370" s="1" t="s">
        <v>320</v>
      </c>
      <c r="N370" s="6"/>
      <c r="O370" s="6"/>
      <c r="P370" s="6"/>
      <c r="Q370" s="1" t="b">
        <f t="shared" si="235"/>
        <v>1</v>
      </c>
      <c r="R370" s="6"/>
      <c r="S370" s="6"/>
    </row>
    <row r="371" spans="2:19" x14ac:dyDescent="0.15">
      <c r="C371" s="6"/>
      <c r="D371" s="7" t="s">
        <v>306</v>
      </c>
      <c r="E371" s="9" t="s">
        <v>317</v>
      </c>
      <c r="F371" s="14" t="s">
        <v>312</v>
      </c>
      <c r="G371" s="7">
        <v>16</v>
      </c>
      <c r="H371" s="6"/>
      <c r="I371" s="1" t="str">
        <f t="shared" si="236"/>
        <v>AA</v>
      </c>
      <c r="J371" s="6"/>
      <c r="K371" s="6"/>
      <c r="L371" s="6"/>
      <c r="M371" s="1" t="s">
        <v>321</v>
      </c>
      <c r="N371" s="6"/>
      <c r="O371" s="6"/>
      <c r="P371" s="6"/>
      <c r="Q371" s="1" t="b">
        <f t="shared" si="235"/>
        <v>1</v>
      </c>
      <c r="R371" s="6"/>
      <c r="S371" s="6"/>
    </row>
    <row r="372" spans="2:19" x14ac:dyDescent="0.15">
      <c r="C372" s="2" t="s">
        <v>322</v>
      </c>
      <c r="D372" s="24" t="s">
        <v>304</v>
      </c>
      <c r="E372" s="11" t="s">
        <v>323</v>
      </c>
      <c r="F372" s="13" t="s">
        <v>310</v>
      </c>
      <c r="G372" s="24">
        <v>3</v>
      </c>
      <c r="H372" s="2"/>
      <c r="I372" s="3" t="str">
        <f t="shared" si="236"/>
        <v>1221</v>
      </c>
      <c r="J372" s="2"/>
      <c r="K372" s="2"/>
      <c r="L372" s="2"/>
      <c r="M372" s="3" t="s">
        <v>325</v>
      </c>
      <c r="N372" s="2"/>
      <c r="O372" s="2"/>
      <c r="P372" s="2"/>
      <c r="Q372" s="3" t="b">
        <f t="shared" ref="Q372:Q374" si="237">getText(I372)=getText(M372)</f>
        <v>1</v>
      </c>
      <c r="R372" s="6"/>
      <c r="S372" s="6"/>
    </row>
    <row r="373" spans="2:19" x14ac:dyDescent="0.15">
      <c r="C373" s="6"/>
      <c r="D373" s="7" t="s">
        <v>305</v>
      </c>
      <c r="E373" s="9" t="s">
        <v>323</v>
      </c>
      <c r="F373" s="14" t="s">
        <v>311</v>
      </c>
      <c r="G373" s="7">
        <v>10</v>
      </c>
      <c r="H373" s="6"/>
      <c r="I373" s="1" t="str">
        <f t="shared" ref="I373:I374" si="238">TESTmultipleByOneDigit(E373,F373,G373)</f>
        <v>444</v>
      </c>
      <c r="J373" s="6"/>
      <c r="K373" s="6"/>
      <c r="L373" s="6"/>
      <c r="M373" s="1" t="s">
        <v>326</v>
      </c>
      <c r="N373" s="6"/>
      <c r="O373" s="6"/>
      <c r="P373" s="6"/>
      <c r="Q373" s="1" t="b">
        <f t="shared" si="237"/>
        <v>1</v>
      </c>
      <c r="R373" s="6"/>
      <c r="S373" s="6"/>
    </row>
    <row r="374" spans="2:19" x14ac:dyDescent="0.15">
      <c r="C374" s="6"/>
      <c r="D374" s="7" t="s">
        <v>306</v>
      </c>
      <c r="E374" s="9" t="s">
        <v>324</v>
      </c>
      <c r="F374" s="14" t="s">
        <v>312</v>
      </c>
      <c r="G374" s="7">
        <v>16</v>
      </c>
      <c r="H374" s="6"/>
      <c r="I374" s="1" t="str">
        <f t="shared" si="238"/>
        <v>AAA</v>
      </c>
      <c r="J374" s="6"/>
      <c r="K374" s="6"/>
      <c r="L374" s="6"/>
      <c r="M374" s="1" t="s">
        <v>327</v>
      </c>
      <c r="N374" s="6"/>
      <c r="O374" s="6"/>
      <c r="P374" s="6"/>
      <c r="Q374" s="1" t="b">
        <f t="shared" si="237"/>
        <v>1</v>
      </c>
      <c r="R374" s="6"/>
      <c r="S374" s="6"/>
    </row>
    <row r="375" spans="2:19" x14ac:dyDescent="0.15">
      <c r="B375" s="2" t="s">
        <v>329</v>
      </c>
      <c r="C375" s="2" t="s">
        <v>328</v>
      </c>
      <c r="D375" s="24" t="s">
        <v>304</v>
      </c>
      <c r="E375" s="11" t="s">
        <v>330</v>
      </c>
      <c r="F375" s="13" t="s">
        <v>330</v>
      </c>
      <c r="G375" s="24">
        <v>3</v>
      </c>
      <c r="H375" s="2"/>
      <c r="I375" s="3" t="str">
        <f t="shared" ref="I375:I377" si="239">TESTmultipleByOneDigit(E375,F375,G375)</f>
        <v>0</v>
      </c>
      <c r="J375" s="2"/>
      <c r="K375" s="2"/>
      <c r="L375" s="2"/>
      <c r="M375" s="3" t="s">
        <v>14</v>
      </c>
      <c r="N375" s="2"/>
      <c r="O375" s="2"/>
      <c r="P375" s="2"/>
      <c r="Q375" s="3" t="b">
        <f t="shared" ref="Q375:Q377" si="240">getText(I375)=getText(M375)</f>
        <v>1</v>
      </c>
      <c r="R375" s="6"/>
      <c r="S375" s="6"/>
    </row>
    <row r="376" spans="2:19" x14ac:dyDescent="0.15">
      <c r="B376" t="s">
        <v>333</v>
      </c>
      <c r="C376" s="6"/>
      <c r="D376" s="7" t="s">
        <v>305</v>
      </c>
      <c r="E376" s="9" t="s">
        <v>331</v>
      </c>
      <c r="F376" s="14" t="s">
        <v>331</v>
      </c>
      <c r="G376" s="7">
        <v>10</v>
      </c>
      <c r="H376" s="6"/>
      <c r="I376" s="1" t="str">
        <f t="shared" si="239"/>
        <v>0</v>
      </c>
      <c r="J376" s="6"/>
      <c r="K376" s="6"/>
      <c r="L376" s="6"/>
      <c r="M376" s="1" t="s">
        <v>14</v>
      </c>
      <c r="N376" s="6"/>
      <c r="O376" s="6"/>
      <c r="P376" s="6"/>
      <c r="Q376" s="1" t="b">
        <f t="shared" si="240"/>
        <v>1</v>
      </c>
      <c r="R376" s="6"/>
      <c r="S376" s="6"/>
    </row>
    <row r="377" spans="2:19" x14ac:dyDescent="0.15">
      <c r="B377" t="s">
        <v>334</v>
      </c>
      <c r="C377" s="6"/>
      <c r="D377" s="7" t="s">
        <v>306</v>
      </c>
      <c r="E377" s="9" t="s">
        <v>331</v>
      </c>
      <c r="F377" s="14" t="s">
        <v>331</v>
      </c>
      <c r="G377" s="7">
        <v>16</v>
      </c>
      <c r="H377" s="6"/>
      <c r="I377" s="1" t="str">
        <f t="shared" si="239"/>
        <v>0</v>
      </c>
      <c r="J377" s="6"/>
      <c r="K377" s="6"/>
      <c r="L377" s="6"/>
      <c r="M377" s="1" t="s">
        <v>14</v>
      </c>
      <c r="N377" s="6"/>
      <c r="O377" s="6"/>
      <c r="P377" s="6"/>
      <c r="Q377" s="1" t="b">
        <f t="shared" si="240"/>
        <v>1</v>
      </c>
      <c r="R377" s="6"/>
      <c r="S377" s="6"/>
    </row>
    <row r="378" spans="2:19" x14ac:dyDescent="0.15">
      <c r="C378" s="2" t="s">
        <v>332</v>
      </c>
      <c r="D378" s="24" t="s">
        <v>304</v>
      </c>
      <c r="E378" s="11" t="s">
        <v>335</v>
      </c>
      <c r="F378" s="13" t="s">
        <v>336</v>
      </c>
      <c r="G378" s="24">
        <v>3</v>
      </c>
      <c r="H378" s="2"/>
      <c r="I378" s="3" t="str">
        <f t="shared" ref="I378:I380" si="241">TESTmultipleByOneDigit(E378,F378,G378)</f>
        <v>0</v>
      </c>
      <c r="J378" s="2"/>
      <c r="K378" s="2"/>
      <c r="L378" s="2"/>
      <c r="M378" s="3" t="s">
        <v>14</v>
      </c>
      <c r="N378" s="2"/>
      <c r="O378" s="2"/>
      <c r="P378" s="2"/>
      <c r="Q378" s="3" t="b">
        <f t="shared" ref="Q378:Q380" si="242">getText(I378)=getText(M378)</f>
        <v>1</v>
      </c>
      <c r="R378" s="6"/>
      <c r="S378" s="6"/>
    </row>
    <row r="379" spans="2:19" x14ac:dyDescent="0.15">
      <c r="C379" s="6"/>
      <c r="D379" s="7" t="s">
        <v>305</v>
      </c>
      <c r="E379" s="9" t="s">
        <v>335</v>
      </c>
      <c r="F379" s="14" t="s">
        <v>337</v>
      </c>
      <c r="G379" s="7">
        <v>10</v>
      </c>
      <c r="H379" s="6"/>
      <c r="I379" s="1" t="str">
        <f t="shared" si="241"/>
        <v>0</v>
      </c>
      <c r="J379" s="6"/>
      <c r="K379" s="6"/>
      <c r="L379" s="6"/>
      <c r="M379" s="1" t="s">
        <v>14</v>
      </c>
      <c r="N379" s="6"/>
      <c r="O379" s="6"/>
      <c r="P379" s="6"/>
      <c r="Q379" s="1" t="b">
        <f t="shared" si="242"/>
        <v>1</v>
      </c>
      <c r="R379" s="6"/>
      <c r="S379" s="6"/>
    </row>
    <row r="380" spans="2:19" x14ac:dyDescent="0.15">
      <c r="C380" s="6"/>
      <c r="D380" s="7" t="s">
        <v>306</v>
      </c>
      <c r="E380" s="9" t="s">
        <v>335</v>
      </c>
      <c r="F380" s="14" t="s">
        <v>338</v>
      </c>
      <c r="G380" s="7">
        <v>16</v>
      </c>
      <c r="H380" s="6"/>
      <c r="I380" s="1" t="str">
        <f t="shared" si="241"/>
        <v>0</v>
      </c>
      <c r="J380" s="6"/>
      <c r="K380" s="6"/>
      <c r="L380" s="6"/>
      <c r="M380" s="1" t="s">
        <v>14</v>
      </c>
      <c r="N380" s="6"/>
      <c r="O380" s="6"/>
      <c r="P380" s="6"/>
      <c r="Q380" s="1" t="b">
        <f t="shared" si="242"/>
        <v>1</v>
      </c>
      <c r="R380" s="6"/>
      <c r="S380" s="6"/>
    </row>
    <row r="381" spans="2:19" x14ac:dyDescent="0.15">
      <c r="C381" s="2" t="s">
        <v>339</v>
      </c>
      <c r="D381" s="24" t="s">
        <v>304</v>
      </c>
      <c r="E381" s="11" t="s">
        <v>340</v>
      </c>
      <c r="F381" s="13" t="s">
        <v>330</v>
      </c>
      <c r="G381" s="24">
        <v>3</v>
      </c>
      <c r="H381" s="2"/>
      <c r="I381" s="3" t="str">
        <f t="shared" ref="I381:I384" si="243">TESTmultipleByOneDigit(E381,F381,G381)</f>
        <v>0</v>
      </c>
      <c r="J381" s="2"/>
      <c r="K381" s="2"/>
      <c r="L381" s="2"/>
      <c r="M381" s="3" t="s">
        <v>14</v>
      </c>
      <c r="N381" s="2"/>
      <c r="O381" s="2"/>
      <c r="P381" s="2"/>
      <c r="Q381" s="3" t="b">
        <f t="shared" ref="Q381:Q383" si="244">getText(I381)=getText(M381)</f>
        <v>1</v>
      </c>
      <c r="R381" s="6"/>
      <c r="S381" s="6"/>
    </row>
    <row r="382" spans="2:19" x14ac:dyDescent="0.15">
      <c r="C382" s="6"/>
      <c r="D382" s="7" t="s">
        <v>305</v>
      </c>
      <c r="E382" s="9" t="s">
        <v>341</v>
      </c>
      <c r="F382" s="14" t="s">
        <v>330</v>
      </c>
      <c r="G382" s="7">
        <v>10</v>
      </c>
      <c r="H382" s="6"/>
      <c r="I382" s="1" t="str">
        <f t="shared" si="243"/>
        <v>0</v>
      </c>
      <c r="J382" s="6"/>
      <c r="K382" s="6"/>
      <c r="L382" s="6"/>
      <c r="M382" s="1" t="s">
        <v>14</v>
      </c>
      <c r="N382" s="6"/>
      <c r="O382" s="6"/>
      <c r="P382" s="6"/>
      <c r="Q382" s="1" t="b">
        <f t="shared" si="244"/>
        <v>1</v>
      </c>
      <c r="R382" s="6"/>
      <c r="S382" s="6"/>
    </row>
    <row r="383" spans="2:19" x14ac:dyDescent="0.15">
      <c r="C383" s="6"/>
      <c r="D383" s="7" t="s">
        <v>306</v>
      </c>
      <c r="E383" s="9" t="s">
        <v>342</v>
      </c>
      <c r="F383" s="14" t="s">
        <v>335</v>
      </c>
      <c r="G383" s="7">
        <v>16</v>
      </c>
      <c r="H383" s="6"/>
      <c r="I383" s="1" t="str">
        <f t="shared" si="243"/>
        <v>0</v>
      </c>
      <c r="J383" s="6"/>
      <c r="K383" s="6"/>
      <c r="L383" s="6"/>
      <c r="M383" s="1" t="s">
        <v>14</v>
      </c>
      <c r="N383" s="6"/>
      <c r="O383" s="6"/>
      <c r="P383" s="6"/>
      <c r="Q383" s="1" t="b">
        <f t="shared" si="244"/>
        <v>1</v>
      </c>
      <c r="R383" s="6"/>
      <c r="S383" s="6"/>
    </row>
    <row r="384" spans="2:19" x14ac:dyDescent="0.15">
      <c r="C384" s="2" t="s">
        <v>343</v>
      </c>
      <c r="D384" s="33" t="s">
        <v>590</v>
      </c>
      <c r="E384" s="11" t="s">
        <v>382</v>
      </c>
      <c r="F384" s="13" t="s">
        <v>383</v>
      </c>
      <c r="G384" s="24">
        <v>3</v>
      </c>
      <c r="H384" s="2"/>
      <c r="I384" s="3" t="str">
        <f t="shared" si="243"/>
        <v>2</v>
      </c>
      <c r="J384" s="2"/>
      <c r="K384" s="2"/>
      <c r="L384" s="2"/>
      <c r="M384" s="3" t="s">
        <v>307</v>
      </c>
      <c r="N384" s="2"/>
      <c r="O384" s="2"/>
      <c r="P384" s="2"/>
      <c r="Q384" s="3" t="b">
        <f t="shared" ref="Q384:Q390" si="245">getText(I384)=getText(M384)</f>
        <v>1</v>
      </c>
      <c r="R384" s="6"/>
      <c r="S384" s="6"/>
    </row>
    <row r="385" spans="2:19" x14ac:dyDescent="0.15">
      <c r="C385" s="6"/>
      <c r="D385" s="7" t="s">
        <v>591</v>
      </c>
      <c r="E385" s="9" t="s">
        <v>307</v>
      </c>
      <c r="F385" s="14" t="s">
        <v>307</v>
      </c>
      <c r="G385" s="7">
        <v>3</v>
      </c>
      <c r="H385" s="6"/>
      <c r="I385" s="1" t="str">
        <f t="shared" ref="I385" si="246">TESTmultipleByOneDigit(E385,F385,G385)</f>
        <v>11</v>
      </c>
      <c r="J385" s="6"/>
      <c r="K385" s="6"/>
      <c r="L385" s="6"/>
      <c r="M385" s="1" t="s">
        <v>18</v>
      </c>
      <c r="N385" s="6"/>
      <c r="O385" s="6"/>
      <c r="P385" s="6"/>
      <c r="Q385" s="1" t="b">
        <f t="shared" si="245"/>
        <v>1</v>
      </c>
      <c r="R385" s="6"/>
      <c r="S385" s="6"/>
    </row>
    <row r="386" spans="2:19" x14ac:dyDescent="0.15">
      <c r="C386" s="6"/>
      <c r="D386" s="7" t="s">
        <v>592</v>
      </c>
      <c r="E386" s="9" t="s">
        <v>384</v>
      </c>
      <c r="F386" s="14" t="s">
        <v>384</v>
      </c>
      <c r="G386" s="7">
        <v>10</v>
      </c>
      <c r="H386" s="6"/>
      <c r="I386" s="1" t="str">
        <f t="shared" ref="I386" si="247">TESTmultipleByOneDigit(E386,F386,G386)</f>
        <v>9</v>
      </c>
      <c r="J386" s="6"/>
      <c r="K386" s="6"/>
      <c r="L386" s="6"/>
      <c r="M386" s="1" t="s">
        <v>101</v>
      </c>
      <c r="N386" s="6"/>
      <c r="O386" s="6"/>
      <c r="P386" s="6"/>
      <c r="Q386" s="1" t="b">
        <f t="shared" si="245"/>
        <v>1</v>
      </c>
      <c r="R386" s="6"/>
      <c r="S386" s="6"/>
    </row>
    <row r="387" spans="2:19" x14ac:dyDescent="0.15">
      <c r="C387" s="6"/>
      <c r="D387" s="7" t="s">
        <v>593</v>
      </c>
      <c r="E387" s="9" t="s">
        <v>346</v>
      </c>
      <c r="F387" s="14" t="s">
        <v>347</v>
      </c>
      <c r="G387" s="7">
        <v>10</v>
      </c>
      <c r="H387" s="6"/>
      <c r="I387" s="1" t="str">
        <f t="shared" ref="I387" si="248">TESTmultipleByOneDigit(E387,F387,G387)</f>
        <v>10</v>
      </c>
      <c r="J387" s="6"/>
      <c r="K387" s="6"/>
      <c r="L387" s="6"/>
      <c r="M387" s="1" t="s">
        <v>15</v>
      </c>
      <c r="N387" s="6"/>
      <c r="O387" s="6"/>
      <c r="P387" s="6"/>
      <c r="Q387" s="1" t="b">
        <f t="shared" si="245"/>
        <v>1</v>
      </c>
      <c r="R387" s="6"/>
      <c r="S387" s="6"/>
    </row>
    <row r="388" spans="2:19" x14ac:dyDescent="0.15">
      <c r="C388" s="6"/>
      <c r="D388" s="7" t="s">
        <v>594</v>
      </c>
      <c r="E388" s="9" t="s">
        <v>341</v>
      </c>
      <c r="F388" s="14" t="s">
        <v>101</v>
      </c>
      <c r="G388" s="7">
        <v>10</v>
      </c>
      <c r="H388" s="6"/>
      <c r="I388" s="1" t="str">
        <f t="shared" ref="I388" si="249">TESTmultipleByOneDigit(E388,F388,G388)</f>
        <v>81</v>
      </c>
      <c r="J388" s="6"/>
      <c r="K388" s="6"/>
      <c r="L388" s="6"/>
      <c r="M388" s="1" t="s">
        <v>345</v>
      </c>
      <c r="N388" s="6"/>
      <c r="O388" s="6"/>
      <c r="P388" s="6"/>
      <c r="Q388" s="1" t="b">
        <f t="shared" si="245"/>
        <v>1</v>
      </c>
      <c r="R388" s="6"/>
      <c r="S388" s="6"/>
    </row>
    <row r="389" spans="2:19" x14ac:dyDescent="0.15">
      <c r="C389" s="6"/>
      <c r="D389" s="7" t="s">
        <v>595</v>
      </c>
      <c r="E389" s="9" t="s">
        <v>385</v>
      </c>
      <c r="F389" s="14" t="s">
        <v>386</v>
      </c>
      <c r="G389" s="7">
        <v>16</v>
      </c>
      <c r="H389" s="6"/>
      <c r="I389" s="1" t="str">
        <f t="shared" ref="I389" si="250">TESTmultipleByOneDigit(E389,F389,G389)</f>
        <v>F</v>
      </c>
      <c r="J389" s="6"/>
      <c r="K389" s="6"/>
      <c r="L389" s="6"/>
      <c r="M389" s="1" t="s">
        <v>99</v>
      </c>
      <c r="N389" s="6"/>
      <c r="O389" s="6"/>
      <c r="P389" s="6"/>
      <c r="Q389" s="1" t="b">
        <f t="shared" si="245"/>
        <v>1</v>
      </c>
      <c r="R389" s="6"/>
      <c r="S389" s="6"/>
    </row>
    <row r="390" spans="2:19" x14ac:dyDescent="0.15">
      <c r="C390" s="6"/>
      <c r="D390" s="7" t="s">
        <v>596</v>
      </c>
      <c r="E390" s="9" t="s">
        <v>348</v>
      </c>
      <c r="F390" s="14" t="s">
        <v>310</v>
      </c>
      <c r="G390" s="7">
        <v>16</v>
      </c>
      <c r="H390" s="6"/>
      <c r="I390" s="1" t="str">
        <f t="shared" ref="I390" si="251">TESTmultipleByOneDigit(E390,F390,G390)</f>
        <v>10</v>
      </c>
      <c r="J390" s="6"/>
      <c r="K390" s="6"/>
      <c r="L390" s="6"/>
      <c r="M390" s="1" t="s">
        <v>15</v>
      </c>
      <c r="N390" s="6"/>
      <c r="O390" s="6"/>
      <c r="P390" s="6"/>
      <c r="Q390" s="1" t="b">
        <f t="shared" si="245"/>
        <v>1</v>
      </c>
      <c r="R390" s="6"/>
      <c r="S390" s="6"/>
    </row>
    <row r="391" spans="2:19" x14ac:dyDescent="0.15">
      <c r="C391" s="6"/>
      <c r="D391" s="7" t="s">
        <v>597</v>
      </c>
      <c r="E391" s="9" t="s">
        <v>342</v>
      </c>
      <c r="F391" s="14" t="s">
        <v>99</v>
      </c>
      <c r="G391" s="7">
        <v>16</v>
      </c>
      <c r="H391" s="6"/>
      <c r="I391" s="1" t="str">
        <f>TESTmultipleByOneDigit(E391,F391,G391)</f>
        <v>E1</v>
      </c>
      <c r="J391" s="6"/>
      <c r="K391" s="6"/>
      <c r="L391" s="6"/>
      <c r="M391" s="1" t="s">
        <v>344</v>
      </c>
      <c r="N391" s="6"/>
      <c r="O391" s="6"/>
      <c r="P391" s="6"/>
      <c r="Q391" s="1" t="b">
        <f t="shared" ref="Q391" si="252">getText(I391)=getText(M391)</f>
        <v>1</v>
      </c>
      <c r="R391" s="6"/>
      <c r="S391" s="6"/>
    </row>
    <row r="392" spans="2:19" x14ac:dyDescent="0.15">
      <c r="C392" s="2" t="s">
        <v>349</v>
      </c>
      <c r="D392" s="24" t="s">
        <v>304</v>
      </c>
      <c r="E392" s="11" t="s">
        <v>358</v>
      </c>
      <c r="F392" s="13" t="s">
        <v>357</v>
      </c>
      <c r="G392" s="24">
        <v>3</v>
      </c>
      <c r="H392" s="2"/>
      <c r="I392" s="3" t="str">
        <f>TESTmultipleByOneDigit(E392,F392,G392)</f>
        <v>00</v>
      </c>
      <c r="J392" s="2"/>
      <c r="K392" s="2"/>
      <c r="L392" s="2"/>
      <c r="M392" s="3" t="s">
        <v>98</v>
      </c>
      <c r="N392" s="2"/>
      <c r="O392" s="2"/>
      <c r="P392" s="2"/>
      <c r="Q392" s="3" t="b">
        <f t="shared" ref="Q392:Q394" si="253">getText(I392)=getText(M392)</f>
        <v>1</v>
      </c>
      <c r="R392" s="6"/>
      <c r="S392" s="6"/>
    </row>
    <row r="393" spans="2:19" x14ac:dyDescent="0.15">
      <c r="C393" s="6"/>
      <c r="D393" s="7" t="s">
        <v>305</v>
      </c>
      <c r="E393" s="9" t="s">
        <v>98</v>
      </c>
      <c r="F393" s="14" t="s">
        <v>14</v>
      </c>
      <c r="G393" s="7">
        <v>10</v>
      </c>
      <c r="H393" s="6"/>
      <c r="I393" s="1" t="str">
        <f t="shared" ref="I393:I394" si="254">TESTmultipleByOneDigit(E393,F393,G393)</f>
        <v>00</v>
      </c>
      <c r="J393" s="6"/>
      <c r="K393" s="6"/>
      <c r="L393" s="6"/>
      <c r="M393" s="1" t="s">
        <v>98</v>
      </c>
      <c r="N393" s="6"/>
      <c r="O393" s="6"/>
      <c r="P393" s="6"/>
      <c r="Q393" s="1" t="b">
        <f t="shared" si="253"/>
        <v>1</v>
      </c>
      <c r="R393" s="6"/>
      <c r="S393" s="6"/>
    </row>
    <row r="394" spans="2:19" x14ac:dyDescent="0.15">
      <c r="C394" s="6"/>
      <c r="D394" s="7" t="s">
        <v>306</v>
      </c>
      <c r="E394" s="9" t="s">
        <v>98</v>
      </c>
      <c r="F394" s="14" t="s">
        <v>14</v>
      </c>
      <c r="G394" s="7">
        <v>16</v>
      </c>
      <c r="H394" s="6"/>
      <c r="I394" s="1" t="str">
        <f t="shared" si="254"/>
        <v>00</v>
      </c>
      <c r="J394" s="6"/>
      <c r="K394" s="6"/>
      <c r="L394" s="6"/>
      <c r="M394" s="1" t="s">
        <v>98</v>
      </c>
      <c r="N394" s="6"/>
      <c r="O394" s="6"/>
      <c r="P394" s="6"/>
      <c r="Q394" s="1" t="b">
        <f t="shared" si="253"/>
        <v>1</v>
      </c>
      <c r="R394" s="6"/>
      <c r="S394" s="6"/>
    </row>
    <row r="395" spans="2:19" x14ac:dyDescent="0.15">
      <c r="B395" s="4" t="s">
        <v>372</v>
      </c>
      <c r="C395" s="2" t="s">
        <v>350</v>
      </c>
      <c r="D395" s="24" t="s">
        <v>304</v>
      </c>
      <c r="E395" s="11" t="s">
        <v>360</v>
      </c>
      <c r="F395" s="13" t="s">
        <v>361</v>
      </c>
      <c r="G395" s="24">
        <v>3</v>
      </c>
      <c r="H395" s="2"/>
      <c r="I395" s="3"/>
      <c r="J395" s="2"/>
      <c r="K395" s="2"/>
      <c r="L395" s="2"/>
      <c r="M395" s="3"/>
      <c r="N395" s="2"/>
      <c r="O395" s="2"/>
      <c r="P395" s="2"/>
      <c r="Q395" s="3"/>
      <c r="R395" s="6"/>
      <c r="S395" s="6"/>
    </row>
    <row r="396" spans="2:19" x14ac:dyDescent="0.15">
      <c r="C396" s="6"/>
      <c r="D396" s="7" t="s">
        <v>305</v>
      </c>
      <c r="E396" s="9" t="s">
        <v>359</v>
      </c>
      <c r="F396" s="14" t="s">
        <v>359</v>
      </c>
      <c r="G396" s="7">
        <v>10</v>
      </c>
      <c r="H396" s="6"/>
      <c r="J396" s="6"/>
      <c r="K396" s="6"/>
      <c r="L396" s="6"/>
      <c r="N396" s="6"/>
      <c r="O396" s="6"/>
      <c r="P396" s="6"/>
      <c r="R396" s="6"/>
      <c r="S396" s="6"/>
    </row>
    <row r="397" spans="2:19" x14ac:dyDescent="0.15">
      <c r="C397" s="6"/>
      <c r="D397" s="7" t="s">
        <v>306</v>
      </c>
      <c r="E397" s="9" t="s">
        <v>359</v>
      </c>
      <c r="F397" s="14" t="s">
        <v>359</v>
      </c>
      <c r="G397" s="7">
        <v>16</v>
      </c>
      <c r="H397" s="6"/>
      <c r="J397" s="6"/>
      <c r="K397" s="6"/>
      <c r="L397" s="6"/>
      <c r="N397" s="6"/>
      <c r="O397" s="6"/>
      <c r="P397" s="6"/>
      <c r="R397" s="6"/>
      <c r="S397" s="6"/>
    </row>
    <row r="398" spans="2:19" x14ac:dyDescent="0.15">
      <c r="C398" s="2" t="s">
        <v>351</v>
      </c>
      <c r="D398" s="24" t="s">
        <v>304</v>
      </c>
      <c r="E398" s="11" t="s">
        <v>358</v>
      </c>
      <c r="F398" s="13" t="s">
        <v>362</v>
      </c>
      <c r="G398" s="24">
        <v>3</v>
      </c>
      <c r="H398" s="2"/>
      <c r="I398" s="3" t="str">
        <f t="shared" ref="I398:I400" si="255">TESTmultipleByOneDigit(E398,F398,G398)</f>
        <v>00</v>
      </c>
      <c r="J398" s="2"/>
      <c r="K398" s="2"/>
      <c r="L398" s="2"/>
      <c r="M398" s="3" t="s">
        <v>98</v>
      </c>
      <c r="N398" s="2"/>
      <c r="O398" s="2"/>
      <c r="P398" s="2"/>
      <c r="Q398" s="3" t="b">
        <f t="shared" ref="Q398:Q400" si="256">getText(I398)=getText(M398)</f>
        <v>1</v>
      </c>
      <c r="R398" s="6"/>
      <c r="S398" s="6"/>
    </row>
    <row r="399" spans="2:19" x14ac:dyDescent="0.15">
      <c r="C399" s="6"/>
      <c r="D399" s="7" t="s">
        <v>305</v>
      </c>
      <c r="E399" s="9" t="s">
        <v>358</v>
      </c>
      <c r="F399" s="14" t="s">
        <v>363</v>
      </c>
      <c r="G399" s="7">
        <v>10</v>
      </c>
      <c r="H399" s="6"/>
      <c r="I399" s="1" t="str">
        <f t="shared" si="255"/>
        <v>00</v>
      </c>
      <c r="J399" s="6"/>
      <c r="K399" s="6"/>
      <c r="L399" s="6"/>
      <c r="M399" s="1" t="s">
        <v>98</v>
      </c>
      <c r="N399" s="6"/>
      <c r="O399" s="6"/>
      <c r="P399" s="6"/>
      <c r="Q399" s="1" t="b">
        <f t="shared" si="256"/>
        <v>1</v>
      </c>
      <c r="R399" s="6"/>
      <c r="S399" s="6"/>
    </row>
    <row r="400" spans="2:19" x14ac:dyDescent="0.15">
      <c r="C400" s="6"/>
      <c r="D400" s="7" t="s">
        <v>306</v>
      </c>
      <c r="E400" s="9" t="s">
        <v>358</v>
      </c>
      <c r="F400" s="14" t="s">
        <v>364</v>
      </c>
      <c r="G400" s="7">
        <v>16</v>
      </c>
      <c r="H400" s="6"/>
      <c r="I400" s="1" t="str">
        <f t="shared" si="255"/>
        <v>00</v>
      </c>
      <c r="J400" s="6"/>
      <c r="K400" s="6"/>
      <c r="L400" s="6"/>
      <c r="M400" s="1" t="s">
        <v>98</v>
      </c>
      <c r="N400" s="6"/>
      <c r="O400" s="6"/>
      <c r="P400" s="6"/>
      <c r="Q400" s="1" t="b">
        <f t="shared" si="256"/>
        <v>1</v>
      </c>
      <c r="R400" s="6"/>
      <c r="S400" s="6"/>
    </row>
    <row r="401" spans="1:19" x14ac:dyDescent="0.15">
      <c r="C401" s="2" t="s">
        <v>352</v>
      </c>
      <c r="D401" s="24" t="s">
        <v>304</v>
      </c>
      <c r="E401" s="11" t="s">
        <v>366</v>
      </c>
      <c r="F401" s="13" t="s">
        <v>362</v>
      </c>
      <c r="G401" s="24">
        <v>3</v>
      </c>
      <c r="H401" s="2"/>
      <c r="I401" s="3" t="str">
        <f t="shared" ref="I401:I403" si="257">TESTmultipleByOneDigit(E401,F401,G401)</f>
        <v>11</v>
      </c>
      <c r="J401" s="2"/>
      <c r="K401" s="2"/>
      <c r="L401" s="2"/>
      <c r="M401" s="3" t="s">
        <v>18</v>
      </c>
      <c r="N401" s="2"/>
      <c r="O401" s="2"/>
      <c r="P401" s="2"/>
      <c r="Q401" s="3" t="b">
        <f t="shared" ref="Q401:Q403" si="258">getText(I401)=getText(M401)</f>
        <v>1</v>
      </c>
      <c r="R401" s="6"/>
      <c r="S401" s="6"/>
    </row>
    <row r="402" spans="1:19" x14ac:dyDescent="0.15">
      <c r="C402" s="6"/>
      <c r="D402" s="7" t="s">
        <v>305</v>
      </c>
      <c r="E402" s="9" t="s">
        <v>367</v>
      </c>
      <c r="F402" s="14" t="s">
        <v>363</v>
      </c>
      <c r="G402" s="7">
        <v>10</v>
      </c>
      <c r="H402" s="6"/>
      <c r="I402" s="1" t="str">
        <f t="shared" si="257"/>
        <v>81</v>
      </c>
      <c r="J402" s="6"/>
      <c r="K402" s="6"/>
      <c r="L402" s="6"/>
      <c r="M402" s="1" t="s">
        <v>345</v>
      </c>
      <c r="N402" s="6"/>
      <c r="O402" s="6"/>
      <c r="P402" s="6"/>
      <c r="Q402" s="1" t="b">
        <f t="shared" si="258"/>
        <v>1</v>
      </c>
      <c r="R402" s="6"/>
      <c r="S402" s="6"/>
    </row>
    <row r="403" spans="1:19" x14ac:dyDescent="0.15">
      <c r="C403" s="6"/>
      <c r="D403" s="7" t="s">
        <v>306</v>
      </c>
      <c r="E403" s="9" t="s">
        <v>368</v>
      </c>
      <c r="F403" s="14" t="s">
        <v>364</v>
      </c>
      <c r="G403" s="7">
        <v>16</v>
      </c>
      <c r="H403" s="6"/>
      <c r="I403" s="1" t="str">
        <f t="shared" si="257"/>
        <v>E1</v>
      </c>
      <c r="J403" s="6"/>
      <c r="K403" s="6"/>
      <c r="L403" s="6"/>
      <c r="M403" s="1" t="s">
        <v>344</v>
      </c>
      <c r="N403" s="6"/>
      <c r="O403" s="6"/>
      <c r="P403" s="6"/>
      <c r="Q403" s="1" t="b">
        <f t="shared" si="258"/>
        <v>1</v>
      </c>
      <c r="R403" s="6"/>
      <c r="S403" s="6"/>
    </row>
    <row r="404" spans="1:19" x14ac:dyDescent="0.15">
      <c r="C404" s="2" t="s">
        <v>353</v>
      </c>
      <c r="D404" s="24" t="s">
        <v>304</v>
      </c>
      <c r="E404" s="11" t="s">
        <v>299</v>
      </c>
      <c r="F404" s="13" t="s">
        <v>365</v>
      </c>
      <c r="G404" s="24">
        <v>3</v>
      </c>
      <c r="H404" s="2"/>
      <c r="I404" s="3" t="str">
        <f t="shared" ref="I404:I406" si="259">TESTmultipleByOneDigit(E404,F404,G404)</f>
        <v>00</v>
      </c>
      <c r="J404" s="2"/>
      <c r="K404" s="2"/>
      <c r="L404" s="2"/>
      <c r="M404" s="3" t="s">
        <v>98</v>
      </c>
      <c r="N404" s="2"/>
      <c r="O404" s="2"/>
      <c r="P404" s="2"/>
      <c r="Q404" s="3" t="b">
        <f t="shared" ref="Q404:Q406" si="260">getText(I404)=getText(M404)</f>
        <v>1</v>
      </c>
      <c r="R404" s="6"/>
      <c r="S404" s="6"/>
    </row>
    <row r="405" spans="1:19" x14ac:dyDescent="0.15">
      <c r="C405" s="6"/>
      <c r="D405" s="7" t="s">
        <v>305</v>
      </c>
      <c r="E405" s="9" t="s">
        <v>299</v>
      </c>
      <c r="F405" s="14" t="s">
        <v>369</v>
      </c>
      <c r="G405" s="7">
        <v>10</v>
      </c>
      <c r="H405" s="6"/>
      <c r="I405" s="1" t="str">
        <f t="shared" si="259"/>
        <v>00</v>
      </c>
      <c r="J405" s="6"/>
      <c r="K405" s="6"/>
      <c r="L405" s="6"/>
      <c r="M405" s="1" t="s">
        <v>98</v>
      </c>
      <c r="N405" s="6"/>
      <c r="O405" s="6"/>
      <c r="P405" s="6"/>
      <c r="Q405" s="1" t="b">
        <f t="shared" si="260"/>
        <v>1</v>
      </c>
      <c r="R405" s="6"/>
      <c r="S405" s="6"/>
    </row>
    <row r="406" spans="1:19" x14ac:dyDescent="0.15">
      <c r="C406" s="6"/>
      <c r="D406" s="7" t="s">
        <v>306</v>
      </c>
      <c r="E406" s="9" t="s">
        <v>299</v>
      </c>
      <c r="F406" s="14" t="s">
        <v>365</v>
      </c>
      <c r="G406" s="7">
        <v>16</v>
      </c>
      <c r="H406" s="6"/>
      <c r="I406" s="1" t="str">
        <f t="shared" si="259"/>
        <v>00</v>
      </c>
      <c r="J406" s="6"/>
      <c r="K406" s="6"/>
      <c r="L406" s="6"/>
      <c r="M406" s="1" t="s">
        <v>98</v>
      </c>
      <c r="N406" s="6"/>
      <c r="O406" s="6"/>
      <c r="P406" s="6"/>
      <c r="Q406" s="1" t="b">
        <f t="shared" si="260"/>
        <v>1</v>
      </c>
      <c r="R406" s="6"/>
      <c r="S406" s="6"/>
    </row>
    <row r="407" spans="1:19" x14ac:dyDescent="0.15">
      <c r="B407" s="4" t="s">
        <v>372</v>
      </c>
      <c r="C407" s="2" t="s">
        <v>354</v>
      </c>
      <c r="D407" s="24" t="s">
        <v>304</v>
      </c>
      <c r="E407" s="11" t="s">
        <v>370</v>
      </c>
      <c r="F407" s="13" t="s">
        <v>371</v>
      </c>
      <c r="G407" s="24">
        <v>3</v>
      </c>
      <c r="H407" s="2"/>
      <c r="I407" s="3"/>
      <c r="J407" s="2"/>
      <c r="K407" s="2"/>
      <c r="L407" s="2"/>
      <c r="M407" s="3"/>
      <c r="N407" s="2"/>
      <c r="O407" s="2"/>
      <c r="P407" s="2"/>
      <c r="Q407" s="3"/>
      <c r="R407" s="6"/>
      <c r="S407" s="6"/>
    </row>
    <row r="408" spans="1:19" x14ac:dyDescent="0.15">
      <c r="C408" s="6"/>
      <c r="D408" s="7" t="s">
        <v>305</v>
      </c>
      <c r="E408" s="9" t="s">
        <v>359</v>
      </c>
      <c r="F408" s="14" t="s">
        <v>359</v>
      </c>
      <c r="G408" s="7">
        <v>10</v>
      </c>
      <c r="H408" s="6"/>
      <c r="J408" s="6"/>
      <c r="K408" s="6"/>
      <c r="L408" s="6"/>
      <c r="N408" s="6"/>
      <c r="O408" s="6"/>
      <c r="P408" s="6"/>
      <c r="R408" s="6"/>
      <c r="S408" s="6"/>
    </row>
    <row r="409" spans="1:19" x14ac:dyDescent="0.15">
      <c r="C409" s="6"/>
      <c r="D409" s="7" t="s">
        <v>306</v>
      </c>
      <c r="E409" s="9" t="s">
        <v>359</v>
      </c>
      <c r="F409" s="14" t="s">
        <v>359</v>
      </c>
      <c r="G409" s="7">
        <v>16</v>
      </c>
      <c r="H409" s="6"/>
      <c r="J409" s="6"/>
      <c r="K409" s="6"/>
      <c r="L409" s="6"/>
      <c r="N409" s="6"/>
      <c r="O409" s="6"/>
      <c r="P409" s="6"/>
      <c r="R409" s="6"/>
      <c r="S409" s="6"/>
    </row>
    <row r="410" spans="1:19" x14ac:dyDescent="0.15">
      <c r="C410" s="2" t="s">
        <v>355</v>
      </c>
      <c r="D410" s="24" t="s">
        <v>304</v>
      </c>
      <c r="E410" s="11" t="s">
        <v>373</v>
      </c>
      <c r="F410" s="13" t="s">
        <v>362</v>
      </c>
      <c r="G410" s="24">
        <v>3</v>
      </c>
      <c r="H410" s="2"/>
      <c r="I410" s="3" t="str">
        <f t="shared" ref="I410:I412" si="261">TESTmultipleByOneDigit(E410,F410,G410)</f>
        <v>110</v>
      </c>
      <c r="J410" s="2"/>
      <c r="K410" s="2"/>
      <c r="L410" s="2"/>
      <c r="M410" s="3" t="s">
        <v>291</v>
      </c>
      <c r="N410" s="2"/>
      <c r="O410" s="2"/>
      <c r="P410" s="2"/>
      <c r="Q410" s="3" t="b">
        <f t="shared" ref="Q410:Q412" si="262">getText(I410)=getText(M410)</f>
        <v>1</v>
      </c>
      <c r="R410" s="6"/>
      <c r="S410" s="6"/>
    </row>
    <row r="411" spans="1:19" x14ac:dyDescent="0.15">
      <c r="C411" s="6"/>
      <c r="D411" s="7" t="s">
        <v>305</v>
      </c>
      <c r="E411" s="9" t="s">
        <v>374</v>
      </c>
      <c r="F411" s="14" t="s">
        <v>363</v>
      </c>
      <c r="G411" s="7">
        <v>10</v>
      </c>
      <c r="H411" s="6"/>
      <c r="I411" s="1" t="str">
        <f t="shared" si="261"/>
        <v>810</v>
      </c>
      <c r="J411" s="6"/>
      <c r="K411" s="6"/>
      <c r="L411" s="6"/>
      <c r="M411" s="1" t="s">
        <v>376</v>
      </c>
      <c r="N411" s="6"/>
      <c r="O411" s="6"/>
      <c r="P411" s="6"/>
      <c r="Q411" s="1" t="b">
        <f t="shared" si="262"/>
        <v>1</v>
      </c>
      <c r="R411" s="6"/>
      <c r="S411" s="6"/>
    </row>
    <row r="412" spans="1:19" x14ac:dyDescent="0.15">
      <c r="C412" s="6"/>
      <c r="D412" s="7" t="s">
        <v>306</v>
      </c>
      <c r="E412" s="9" t="s">
        <v>375</v>
      </c>
      <c r="F412" s="14" t="s">
        <v>364</v>
      </c>
      <c r="G412" s="7">
        <v>16</v>
      </c>
      <c r="H412" s="6"/>
      <c r="I412" s="1" t="str">
        <f t="shared" si="261"/>
        <v>E10</v>
      </c>
      <c r="J412" s="6"/>
      <c r="K412" s="6"/>
      <c r="L412" s="6"/>
      <c r="M412" s="1" t="s">
        <v>377</v>
      </c>
      <c r="N412" s="6"/>
      <c r="O412" s="6"/>
      <c r="P412" s="6"/>
      <c r="Q412" s="1" t="b">
        <f t="shared" si="262"/>
        <v>1</v>
      </c>
      <c r="R412" s="6"/>
      <c r="S412" s="6"/>
    </row>
    <row r="413" spans="1:19" x14ac:dyDescent="0.15">
      <c r="C413" s="2" t="s">
        <v>356</v>
      </c>
      <c r="D413" s="24" t="s">
        <v>304</v>
      </c>
      <c r="E413" s="11" t="s">
        <v>309</v>
      </c>
      <c r="F413" s="13" t="s">
        <v>307</v>
      </c>
      <c r="G413" s="24">
        <v>3</v>
      </c>
      <c r="H413" s="2"/>
      <c r="I413" s="3" t="str">
        <f t="shared" ref="I413:I415" si="263">TESTmultipleByOneDigit(E413,F413,G413)</f>
        <v>121</v>
      </c>
      <c r="J413" s="2"/>
      <c r="K413" s="2"/>
      <c r="L413" s="2"/>
      <c r="M413" s="3" t="s">
        <v>319</v>
      </c>
      <c r="N413" s="2"/>
      <c r="O413" s="2"/>
      <c r="P413" s="2"/>
      <c r="Q413" s="3" t="b">
        <f t="shared" ref="Q413:Q415" si="264">getText(I413)=getText(M413)</f>
        <v>1</v>
      </c>
      <c r="R413" s="6"/>
      <c r="S413" s="6"/>
    </row>
    <row r="414" spans="1:19" x14ac:dyDescent="0.15">
      <c r="C414" s="6"/>
      <c r="D414" s="7" t="s">
        <v>305</v>
      </c>
      <c r="E414" s="9" t="s">
        <v>378</v>
      </c>
      <c r="F414" s="14" t="s">
        <v>101</v>
      </c>
      <c r="G414" s="7">
        <v>10</v>
      </c>
      <c r="H414" s="6"/>
      <c r="I414" s="1" t="str">
        <f t="shared" si="263"/>
        <v>891</v>
      </c>
      <c r="J414" s="6"/>
      <c r="K414" s="6"/>
      <c r="L414" s="6"/>
      <c r="M414" s="1" t="s">
        <v>380</v>
      </c>
      <c r="N414" s="6"/>
      <c r="O414" s="6"/>
      <c r="P414" s="6"/>
      <c r="Q414" s="1" t="b">
        <f t="shared" si="264"/>
        <v>1</v>
      </c>
      <c r="R414" s="6"/>
      <c r="S414" s="6"/>
    </row>
    <row r="415" spans="1:19" x14ac:dyDescent="0.15">
      <c r="C415" s="6"/>
      <c r="D415" s="7" t="s">
        <v>306</v>
      </c>
      <c r="E415" s="9" t="s">
        <v>379</v>
      </c>
      <c r="F415" s="14" t="s">
        <v>99</v>
      </c>
      <c r="G415" s="7">
        <v>16</v>
      </c>
      <c r="H415" s="6"/>
      <c r="I415" s="1" t="str">
        <f t="shared" si="263"/>
        <v>EF1</v>
      </c>
      <c r="J415" s="6"/>
      <c r="K415" s="6"/>
      <c r="L415" s="6"/>
      <c r="M415" s="1" t="s">
        <v>381</v>
      </c>
      <c r="N415" s="6"/>
      <c r="O415" s="6"/>
      <c r="P415" s="6"/>
      <c r="Q415" s="1" t="b">
        <f t="shared" si="264"/>
        <v>1</v>
      </c>
      <c r="R415" s="35"/>
      <c r="S415" s="35"/>
    </row>
    <row r="416" spans="1:19" s="2" customFormat="1" x14ac:dyDescent="0.15">
      <c r="A416" s="2" t="s">
        <v>59</v>
      </c>
      <c r="B416" s="2" t="s">
        <v>36</v>
      </c>
      <c r="C416" s="2" t="s">
        <v>38</v>
      </c>
      <c r="D416" s="2" t="s">
        <v>46</v>
      </c>
      <c r="E416" s="3">
        <v>1</v>
      </c>
      <c r="F416" s="13" t="s">
        <v>40</v>
      </c>
      <c r="G416" s="2">
        <v>2</v>
      </c>
      <c r="H416" s="2">
        <v>0</v>
      </c>
      <c r="I416" s="3" t="str">
        <f t="shared" ref="I416:I424" si="265">TESTdivide(E416,F416,G416,H416)</f>
        <v>0</v>
      </c>
      <c r="J416" s="2" t="str">
        <f t="shared" ref="J416:J424" si="266">TESTdivideByRef1(E416,F416,G416,H416)</f>
        <v>1</v>
      </c>
      <c r="K416" s="2">
        <f t="shared" ref="K416:K424" si="267">TESTdivideByRef2(E416,F416,G416,H416)</f>
        <v>0</v>
      </c>
      <c r="M416" s="3" t="s">
        <v>14</v>
      </c>
      <c r="N416" s="2" t="s">
        <v>44</v>
      </c>
      <c r="O416" s="2">
        <v>0</v>
      </c>
      <c r="Q416" s="3" t="b">
        <f t="shared" ref="Q416" si="268">getText(I416)=getText(M416)</f>
        <v>1</v>
      </c>
      <c r="R416" s="2" t="b">
        <f t="shared" ref="R416" si="269">getText(J416)=getText(N416)</f>
        <v>1</v>
      </c>
      <c r="S416" s="2" t="b">
        <f t="shared" ref="S416" si="270">getText(K416)=getText(O416)</f>
        <v>1</v>
      </c>
    </row>
    <row r="417" spans="2:19" x14ac:dyDescent="0.15">
      <c r="C417" t="s">
        <v>51</v>
      </c>
      <c r="D417" t="s">
        <v>47</v>
      </c>
      <c r="E417" s="1">
        <v>1</v>
      </c>
      <c r="F417" s="17">
        <v>2147483647</v>
      </c>
      <c r="G417">
        <v>10</v>
      </c>
      <c r="H417">
        <v>0</v>
      </c>
      <c r="I417" s="1" t="str">
        <f t="shared" si="265"/>
        <v>0</v>
      </c>
      <c r="J417" t="str">
        <f t="shared" si="266"/>
        <v>1</v>
      </c>
      <c r="K417">
        <f t="shared" si="267"/>
        <v>0</v>
      </c>
      <c r="M417" s="1" t="s">
        <v>14</v>
      </c>
      <c r="N417" t="s">
        <v>44</v>
      </c>
      <c r="O417">
        <v>0</v>
      </c>
      <c r="Q417" s="1" t="b">
        <f t="shared" ref="Q417:Q421" si="271">getText(I417)=getText(M417)</f>
        <v>1</v>
      </c>
      <c r="R417" t="b">
        <f t="shared" ref="R417:R421" si="272">getText(J417)=getText(N417)</f>
        <v>1</v>
      </c>
      <c r="S417" t="b">
        <f t="shared" ref="S417:S421" si="273">getText(K417)=getText(O417)</f>
        <v>1</v>
      </c>
    </row>
    <row r="418" spans="2:19" x14ac:dyDescent="0.15">
      <c r="D418" t="s">
        <v>49</v>
      </c>
      <c r="E418" s="1">
        <v>1</v>
      </c>
      <c r="F418" s="17" t="s">
        <v>50</v>
      </c>
      <c r="G418">
        <v>16</v>
      </c>
      <c r="H418">
        <v>0</v>
      </c>
      <c r="I418" s="1" t="str">
        <f t="shared" si="265"/>
        <v>0</v>
      </c>
      <c r="J418" t="str">
        <f t="shared" si="266"/>
        <v>1</v>
      </c>
      <c r="K418">
        <f t="shared" si="267"/>
        <v>0</v>
      </c>
      <c r="M418" s="1" t="s">
        <v>14</v>
      </c>
      <c r="N418" t="s">
        <v>44</v>
      </c>
      <c r="O418">
        <v>0</v>
      </c>
      <c r="Q418" s="1" t="b">
        <f t="shared" si="271"/>
        <v>1</v>
      </c>
      <c r="R418" t="b">
        <f t="shared" si="272"/>
        <v>1</v>
      </c>
      <c r="S418" t="b">
        <f t="shared" si="273"/>
        <v>1</v>
      </c>
    </row>
    <row r="419" spans="2:19" x14ac:dyDescent="0.15">
      <c r="C419" s="2" t="s">
        <v>39</v>
      </c>
      <c r="D419" s="2" t="s">
        <v>46</v>
      </c>
      <c r="E419" s="3">
        <v>1</v>
      </c>
      <c r="F419" s="13" t="s">
        <v>41</v>
      </c>
      <c r="G419" s="2">
        <v>2</v>
      </c>
      <c r="H419" s="2">
        <v>0</v>
      </c>
      <c r="I419" s="3" t="str">
        <f t="shared" si="265"/>
        <v/>
      </c>
      <c r="J419" s="2" t="str">
        <f t="shared" si="266"/>
        <v/>
      </c>
      <c r="K419" s="2" t="e">
        <f t="shared" si="267"/>
        <v>#NUM!</v>
      </c>
      <c r="L419" s="2"/>
      <c r="M419" s="3" t="s">
        <v>45</v>
      </c>
      <c r="N419" s="2" t="s">
        <v>45</v>
      </c>
      <c r="O419" s="2" t="e">
        <v>#NUM!</v>
      </c>
      <c r="P419" s="2"/>
      <c r="Q419" s="3" t="b">
        <f t="shared" si="271"/>
        <v>1</v>
      </c>
      <c r="R419" s="2" t="b">
        <f t="shared" si="272"/>
        <v>1</v>
      </c>
      <c r="S419" s="2" t="b">
        <f t="shared" si="273"/>
        <v>1</v>
      </c>
    </row>
    <row r="420" spans="2:19" x14ac:dyDescent="0.15">
      <c r="C420" t="s">
        <v>52</v>
      </c>
      <c r="D420" t="s">
        <v>47</v>
      </c>
      <c r="E420" s="1">
        <v>1</v>
      </c>
      <c r="F420">
        <v>2147483648</v>
      </c>
      <c r="G420">
        <v>10</v>
      </c>
      <c r="H420">
        <v>0</v>
      </c>
      <c r="I420" s="1" t="str">
        <f t="shared" si="265"/>
        <v/>
      </c>
      <c r="J420" t="str">
        <f t="shared" si="266"/>
        <v/>
      </c>
      <c r="K420" t="e">
        <f t="shared" si="267"/>
        <v>#NUM!</v>
      </c>
      <c r="M420" s="1" t="s">
        <v>45</v>
      </c>
      <c r="N420" t="s">
        <v>45</v>
      </c>
      <c r="O420" t="e">
        <v>#NUM!</v>
      </c>
      <c r="Q420" s="1" t="b">
        <f t="shared" si="271"/>
        <v>1</v>
      </c>
      <c r="R420" t="b">
        <f t="shared" si="272"/>
        <v>1</v>
      </c>
      <c r="S420" t="b">
        <f t="shared" si="273"/>
        <v>1</v>
      </c>
    </row>
    <row r="421" spans="2:19" x14ac:dyDescent="0.15">
      <c r="D421" t="s">
        <v>49</v>
      </c>
      <c r="E421" s="1">
        <v>1</v>
      </c>
      <c r="F421">
        <v>80000000</v>
      </c>
      <c r="G421">
        <v>16</v>
      </c>
      <c r="H421">
        <v>0</v>
      </c>
      <c r="I421" s="1" t="str">
        <f t="shared" si="265"/>
        <v/>
      </c>
      <c r="J421" t="str">
        <f t="shared" si="266"/>
        <v/>
      </c>
      <c r="K421" t="e">
        <f t="shared" si="267"/>
        <v>#NUM!</v>
      </c>
      <c r="M421" s="1" t="s">
        <v>45</v>
      </c>
      <c r="N421" t="s">
        <v>45</v>
      </c>
      <c r="O421" t="e">
        <v>#NUM!</v>
      </c>
      <c r="Q421" s="1" t="b">
        <f t="shared" si="271"/>
        <v>1</v>
      </c>
      <c r="R421" t="b">
        <f t="shared" si="272"/>
        <v>1</v>
      </c>
      <c r="S421" t="b">
        <f t="shared" si="273"/>
        <v>1</v>
      </c>
    </row>
    <row r="422" spans="2:19" x14ac:dyDescent="0.15">
      <c r="B422" s="2" t="s">
        <v>42</v>
      </c>
      <c r="C422" s="2"/>
      <c r="D422" s="2" t="s">
        <v>46</v>
      </c>
      <c r="E422" s="3">
        <v>1</v>
      </c>
      <c r="F422" s="2">
        <v>0</v>
      </c>
      <c r="G422" s="2">
        <v>2</v>
      </c>
      <c r="H422" s="2">
        <v>0</v>
      </c>
      <c r="I422" s="3" t="str">
        <f t="shared" si="265"/>
        <v/>
      </c>
      <c r="J422" s="2" t="str">
        <f t="shared" si="266"/>
        <v/>
      </c>
      <c r="K422" s="2" t="e">
        <f t="shared" si="267"/>
        <v>#DIV/0!</v>
      </c>
      <c r="L422" s="2"/>
      <c r="M422" s="3" t="s">
        <v>45</v>
      </c>
      <c r="N422" s="2" t="s">
        <v>45</v>
      </c>
      <c r="O422" s="2" t="e">
        <v>#DIV/0!</v>
      </c>
      <c r="P422" s="2"/>
      <c r="Q422" s="3" t="b">
        <f t="shared" ref="Q422:Q424" si="274">getText(I422)=getText(M422)</f>
        <v>1</v>
      </c>
      <c r="R422" s="2" t="b">
        <f t="shared" ref="R422:R424" si="275">getText(J422)=getText(N422)</f>
        <v>1</v>
      </c>
      <c r="S422" s="2" t="b">
        <f t="shared" ref="S422:S424" si="276">getText(K422)=getText(O422)</f>
        <v>1</v>
      </c>
    </row>
    <row r="423" spans="2:19" x14ac:dyDescent="0.15">
      <c r="B423" s="6"/>
      <c r="C423" s="6"/>
      <c r="D423" s="6" t="s">
        <v>47</v>
      </c>
      <c r="E423" s="1">
        <v>1</v>
      </c>
      <c r="F423" s="6">
        <v>0</v>
      </c>
      <c r="G423" s="6">
        <v>10</v>
      </c>
      <c r="H423" s="6">
        <v>0</v>
      </c>
      <c r="I423" s="1" t="str">
        <f t="shared" si="265"/>
        <v/>
      </c>
      <c r="J423" s="6" t="str">
        <f t="shared" si="266"/>
        <v/>
      </c>
      <c r="K423" s="6" t="e">
        <f t="shared" si="267"/>
        <v>#DIV/0!</v>
      </c>
      <c r="L423" s="6"/>
      <c r="M423" s="1" t="s">
        <v>45</v>
      </c>
      <c r="N423" s="6" t="s">
        <v>45</v>
      </c>
      <c r="O423" s="6" t="e">
        <v>#DIV/0!</v>
      </c>
      <c r="P423" s="6"/>
      <c r="Q423" s="1" t="b">
        <f t="shared" si="274"/>
        <v>1</v>
      </c>
      <c r="R423" s="6" t="b">
        <f t="shared" si="275"/>
        <v>1</v>
      </c>
      <c r="S423" s="6" t="b">
        <f t="shared" si="276"/>
        <v>1</v>
      </c>
    </row>
    <row r="424" spans="2:19" x14ac:dyDescent="0.15">
      <c r="B424" s="6"/>
      <c r="C424" s="6"/>
      <c r="D424" s="6" t="s">
        <v>49</v>
      </c>
      <c r="E424" s="1">
        <v>1</v>
      </c>
      <c r="F424" s="6">
        <v>0</v>
      </c>
      <c r="G424" s="6">
        <v>16</v>
      </c>
      <c r="H424" s="6">
        <v>0</v>
      </c>
      <c r="I424" s="1" t="str">
        <f t="shared" si="265"/>
        <v/>
      </c>
      <c r="J424" s="6" t="str">
        <f t="shared" si="266"/>
        <v/>
      </c>
      <c r="K424" s="6" t="e">
        <f t="shared" si="267"/>
        <v>#DIV/0!</v>
      </c>
      <c r="L424" s="6"/>
      <c r="M424" s="1" t="s">
        <v>45</v>
      </c>
      <c r="N424" s="6" t="s">
        <v>45</v>
      </c>
      <c r="O424" s="6" t="e">
        <v>#DIV/0!</v>
      </c>
      <c r="P424" s="6"/>
      <c r="Q424" s="1" t="b">
        <f t="shared" si="274"/>
        <v>1</v>
      </c>
      <c r="R424" s="6" t="b">
        <f t="shared" si="275"/>
        <v>1</v>
      </c>
      <c r="S424" s="6" t="b">
        <f t="shared" si="276"/>
        <v>1</v>
      </c>
    </row>
    <row r="425" spans="2:19" x14ac:dyDescent="0.15">
      <c r="B425" s="2" t="s">
        <v>43</v>
      </c>
      <c r="C425" s="2"/>
      <c r="D425" s="16" t="s">
        <v>46</v>
      </c>
      <c r="E425" s="11" t="s">
        <v>65</v>
      </c>
      <c r="F425" s="2">
        <v>1</v>
      </c>
      <c r="G425" s="2">
        <v>2</v>
      </c>
      <c r="H425" s="2">
        <v>0</v>
      </c>
      <c r="I425" s="3" t="str">
        <f t="shared" ref="I425:I427" si="277">TESTdivide(E425,F425,G425,H425)</f>
        <v>001000000000000000000000000000000000</v>
      </c>
      <c r="J425" s="2" t="str">
        <f t="shared" ref="J425:J427" si="278">TESTdivideByRef1(E425,F425,G425,H425)</f>
        <v/>
      </c>
      <c r="K425" s="2">
        <f t="shared" ref="K425:K427" si="279">TESTdivideByRef2(E425,F425,G425,H425)</f>
        <v>0</v>
      </c>
      <c r="L425" s="2"/>
      <c r="M425" s="20" t="s">
        <v>64</v>
      </c>
      <c r="N425" s="2"/>
      <c r="O425" s="2">
        <v>0</v>
      </c>
      <c r="P425" s="2"/>
      <c r="Q425" s="3" t="b">
        <f t="shared" ref="Q425:Q427" si="280">getText(I425)=getText(M425)</f>
        <v>1</v>
      </c>
      <c r="R425" s="2" t="b">
        <f t="shared" ref="R425:R427" si="281">getText(J425)=getText(N425)</f>
        <v>1</v>
      </c>
      <c r="S425" s="2" t="b">
        <f t="shared" ref="S425:S427" si="282">getText(K425)=getText(O425)</f>
        <v>1</v>
      </c>
    </row>
    <row r="426" spans="2:19" x14ac:dyDescent="0.15">
      <c r="D426" s="15" t="s">
        <v>47</v>
      </c>
      <c r="E426" s="9" t="s">
        <v>67</v>
      </c>
      <c r="F426">
        <v>1</v>
      </c>
      <c r="G426">
        <v>10</v>
      </c>
      <c r="H426">
        <v>0</v>
      </c>
      <c r="I426" s="1" t="str">
        <f t="shared" si="277"/>
        <v>00214748364800</v>
      </c>
      <c r="J426" t="str">
        <f t="shared" si="278"/>
        <v/>
      </c>
      <c r="K426">
        <f t="shared" si="279"/>
        <v>0</v>
      </c>
      <c r="M426" s="21" t="s">
        <v>66</v>
      </c>
      <c r="O426">
        <v>0</v>
      </c>
      <c r="Q426" s="1" t="b">
        <f t="shared" si="280"/>
        <v>1</v>
      </c>
      <c r="R426" t="b">
        <f t="shared" si="281"/>
        <v>1</v>
      </c>
      <c r="S426" t="b">
        <f t="shared" si="282"/>
        <v>1</v>
      </c>
    </row>
    <row r="427" spans="2:19" x14ac:dyDescent="0.15">
      <c r="D427" s="15" t="s">
        <v>49</v>
      </c>
      <c r="E427" s="9" t="s">
        <v>69</v>
      </c>
      <c r="F427">
        <v>1</v>
      </c>
      <c r="G427">
        <v>16</v>
      </c>
      <c r="H427">
        <v>0</v>
      </c>
      <c r="I427" s="1" t="str">
        <f t="shared" si="277"/>
        <v>008000000000</v>
      </c>
      <c r="J427" t="str">
        <f t="shared" si="278"/>
        <v/>
      </c>
      <c r="K427">
        <f t="shared" si="279"/>
        <v>0</v>
      </c>
      <c r="M427" s="21" t="s">
        <v>68</v>
      </c>
      <c r="O427">
        <v>0</v>
      </c>
      <c r="Q427" s="1" t="b">
        <f t="shared" si="280"/>
        <v>1</v>
      </c>
      <c r="R427" t="b">
        <f t="shared" si="281"/>
        <v>1</v>
      </c>
      <c r="S427" t="b">
        <f t="shared" si="282"/>
        <v>1</v>
      </c>
    </row>
    <row r="428" spans="2:19" x14ac:dyDescent="0.15">
      <c r="B428" s="2" t="s">
        <v>37</v>
      </c>
      <c r="C428" s="2" t="s">
        <v>38</v>
      </c>
      <c r="D428" s="2" t="s">
        <v>46</v>
      </c>
      <c r="E428" s="11" t="s">
        <v>103</v>
      </c>
      <c r="F428" s="13" t="s">
        <v>103</v>
      </c>
      <c r="G428" s="2">
        <v>2</v>
      </c>
      <c r="H428" s="2">
        <v>0</v>
      </c>
      <c r="I428" s="3" t="str">
        <f t="shared" ref="I428" si="283">TESTdivide(E428,F428,G428,H428)</f>
        <v>0000000000000000000000000000001</v>
      </c>
      <c r="J428" s="2" t="str">
        <f t="shared" ref="J428" si="284">TESTdivideByRef1(E428,F428,G428,H428)</f>
        <v>0</v>
      </c>
      <c r="K428" s="2">
        <f t="shared" ref="K428" si="285">TESTdivideByRef2(E428,F428,G428,H428)</f>
        <v>0</v>
      </c>
      <c r="L428" s="2"/>
      <c r="M428" s="3" t="s">
        <v>108</v>
      </c>
      <c r="N428" s="2" t="s">
        <v>14</v>
      </c>
      <c r="O428" s="2">
        <v>0</v>
      </c>
      <c r="P428" s="2"/>
      <c r="Q428" s="3" t="b">
        <f t="shared" ref="Q428:Q430" si="286">getText(I428)=getText(M428)</f>
        <v>1</v>
      </c>
      <c r="R428" s="2" t="b">
        <f t="shared" ref="R428:R430" si="287">getText(J428)=getText(N428)</f>
        <v>1</v>
      </c>
      <c r="S428" s="2" t="b">
        <f t="shared" ref="S428:S430" si="288">getText(K428)=getText(O428)</f>
        <v>1</v>
      </c>
    </row>
    <row r="429" spans="2:19" x14ac:dyDescent="0.15">
      <c r="C429" t="s">
        <v>51</v>
      </c>
      <c r="D429" t="s">
        <v>47</v>
      </c>
      <c r="E429" s="9" t="s">
        <v>104</v>
      </c>
      <c r="F429" s="14" t="s">
        <v>104</v>
      </c>
      <c r="G429">
        <v>10</v>
      </c>
      <c r="H429" s="7">
        <v>0</v>
      </c>
      <c r="I429" s="1" t="str">
        <f t="shared" ref="I429:I430" si="289">TESTdivide(E429,F429,G429,H429)</f>
        <v>0000000001</v>
      </c>
      <c r="J429" t="str">
        <f t="shared" ref="J429:J430" si="290">TESTdivideByRef1(E429,F429,G429,H429)</f>
        <v>0</v>
      </c>
      <c r="K429">
        <f t="shared" ref="K429:K430" si="291">TESTdivideByRef2(E429,F429,G429,H429)</f>
        <v>0</v>
      </c>
      <c r="M429" s="1" t="s">
        <v>109</v>
      </c>
      <c r="N429" t="s">
        <v>14</v>
      </c>
      <c r="O429">
        <v>0</v>
      </c>
      <c r="Q429" s="1" t="b">
        <f t="shared" si="286"/>
        <v>1</v>
      </c>
      <c r="R429" t="b">
        <f t="shared" si="287"/>
        <v>1</v>
      </c>
      <c r="S429" t="b">
        <f t="shared" si="288"/>
        <v>1</v>
      </c>
    </row>
    <row r="430" spans="2:19" x14ac:dyDescent="0.15">
      <c r="D430" t="s">
        <v>49</v>
      </c>
      <c r="E430" s="18" t="s">
        <v>50</v>
      </c>
      <c r="F430" s="19" t="s">
        <v>50</v>
      </c>
      <c r="G430">
        <v>16</v>
      </c>
      <c r="H430" s="7">
        <v>0</v>
      </c>
      <c r="I430" s="1" t="str">
        <f t="shared" si="289"/>
        <v>00000001</v>
      </c>
      <c r="J430" t="str">
        <f t="shared" si="290"/>
        <v>0</v>
      </c>
      <c r="K430">
        <f t="shared" si="291"/>
        <v>0</v>
      </c>
      <c r="M430" s="1" t="s">
        <v>110</v>
      </c>
      <c r="N430" t="s">
        <v>14</v>
      </c>
      <c r="O430">
        <v>0</v>
      </c>
      <c r="Q430" s="1" t="b">
        <f t="shared" si="286"/>
        <v>1</v>
      </c>
      <c r="R430" t="b">
        <f t="shared" si="287"/>
        <v>1</v>
      </c>
      <c r="S430" t="b">
        <f t="shared" si="288"/>
        <v>1</v>
      </c>
    </row>
    <row r="431" spans="2:19" x14ac:dyDescent="0.15">
      <c r="C431" s="2" t="s">
        <v>39</v>
      </c>
      <c r="D431" s="2" t="s">
        <v>46</v>
      </c>
      <c r="E431" s="11" t="s">
        <v>105</v>
      </c>
      <c r="F431" s="13" t="s">
        <v>103</v>
      </c>
      <c r="G431" s="2">
        <v>2</v>
      </c>
      <c r="H431" s="2">
        <v>0</v>
      </c>
      <c r="I431" s="3" t="str">
        <f t="shared" ref="I431:I436" si="292">TESTdivide(E431,F431,G431,H431)</f>
        <v/>
      </c>
      <c r="J431" s="2" t="str">
        <f t="shared" ref="J431:J436" si="293">TESTdivideByRef1(E431,F431,G431,H431)</f>
        <v/>
      </c>
      <c r="K431" s="2" t="e">
        <f t="shared" ref="K431:K436" si="294">TESTdivideByRef2(E431,F431,G431,H431)</f>
        <v>#NUM!</v>
      </c>
      <c r="L431" s="2"/>
      <c r="M431" s="3" t="s">
        <v>45</v>
      </c>
      <c r="N431" s="2" t="s">
        <v>45</v>
      </c>
      <c r="O431" s="2" t="e">
        <v>#NUM!</v>
      </c>
      <c r="P431" s="2"/>
      <c r="Q431" s="3" t="b">
        <f t="shared" ref="Q431:Q436" si="295">getText(I431)=getText(M431)</f>
        <v>1</v>
      </c>
      <c r="R431" s="2" t="b">
        <f t="shared" ref="R431:R436" si="296">getText(J431)=getText(N431)</f>
        <v>1</v>
      </c>
      <c r="S431" s="2" t="b">
        <f t="shared" ref="S431:S436" si="297">getText(K431)=getText(O431)</f>
        <v>1</v>
      </c>
    </row>
    <row r="432" spans="2:19" x14ac:dyDescent="0.15">
      <c r="C432" t="s">
        <v>52</v>
      </c>
      <c r="D432" t="s">
        <v>47</v>
      </c>
      <c r="E432" s="9" t="s">
        <v>106</v>
      </c>
      <c r="F432" s="14" t="s">
        <v>104</v>
      </c>
      <c r="G432">
        <v>10</v>
      </c>
      <c r="H432" s="7">
        <v>0</v>
      </c>
      <c r="I432" s="1" t="str">
        <f t="shared" si="292"/>
        <v/>
      </c>
      <c r="J432" t="str">
        <f t="shared" si="293"/>
        <v/>
      </c>
      <c r="K432" t="e">
        <f t="shared" si="294"/>
        <v>#NUM!</v>
      </c>
      <c r="M432" s="1" t="s">
        <v>45</v>
      </c>
      <c r="N432" t="s">
        <v>45</v>
      </c>
      <c r="O432" t="e">
        <v>#NUM!</v>
      </c>
      <c r="Q432" s="1" t="b">
        <f t="shared" si="295"/>
        <v>1</v>
      </c>
      <c r="R432" t="b">
        <f t="shared" si="296"/>
        <v>1</v>
      </c>
      <c r="S432" t="b">
        <f t="shared" si="297"/>
        <v>1</v>
      </c>
    </row>
    <row r="433" spans="1:19" x14ac:dyDescent="0.15">
      <c r="D433" t="s">
        <v>49</v>
      </c>
      <c r="E433" s="9" t="s">
        <v>107</v>
      </c>
      <c r="F433" s="14" t="s">
        <v>50</v>
      </c>
      <c r="G433">
        <v>16</v>
      </c>
      <c r="H433" s="7">
        <v>0</v>
      </c>
      <c r="I433" s="1" t="str">
        <f t="shared" si="292"/>
        <v/>
      </c>
      <c r="J433" t="str">
        <f t="shared" si="293"/>
        <v/>
      </c>
      <c r="K433" t="e">
        <f t="shared" si="294"/>
        <v>#NUM!</v>
      </c>
      <c r="M433" s="1" t="s">
        <v>45</v>
      </c>
      <c r="N433" t="s">
        <v>45</v>
      </c>
      <c r="O433" t="e">
        <v>#NUM!</v>
      </c>
      <c r="Q433" s="1" t="b">
        <f t="shared" si="295"/>
        <v>1</v>
      </c>
      <c r="R433" t="b">
        <f t="shared" si="296"/>
        <v>1</v>
      </c>
      <c r="S433" t="b">
        <f t="shared" si="297"/>
        <v>1</v>
      </c>
    </row>
    <row r="434" spans="1:19" x14ac:dyDescent="0.15">
      <c r="B434" s="2" t="s">
        <v>102</v>
      </c>
      <c r="C434" s="2"/>
      <c r="D434" s="2" t="s">
        <v>46</v>
      </c>
      <c r="E434" s="11" t="s">
        <v>70</v>
      </c>
      <c r="F434" s="13" t="s">
        <v>61</v>
      </c>
      <c r="G434" s="2">
        <v>2</v>
      </c>
      <c r="H434" s="2">
        <v>0</v>
      </c>
      <c r="I434" s="3" t="str">
        <f t="shared" si="292"/>
        <v>00000000000000000000000000000000100</v>
      </c>
      <c r="J434" s="2" t="str">
        <f t="shared" si="293"/>
        <v>0</v>
      </c>
      <c r="K434" s="2">
        <f t="shared" si="294"/>
        <v>0</v>
      </c>
      <c r="L434" s="2"/>
      <c r="M434" s="3" t="s">
        <v>73</v>
      </c>
      <c r="N434" s="2" t="s">
        <v>14</v>
      </c>
      <c r="O434" s="2">
        <v>0</v>
      </c>
      <c r="P434" s="2"/>
      <c r="Q434" s="3" t="b">
        <f t="shared" si="295"/>
        <v>1</v>
      </c>
      <c r="R434" s="2" t="b">
        <f t="shared" si="296"/>
        <v>1</v>
      </c>
      <c r="S434" s="2" t="b">
        <f t="shared" si="297"/>
        <v>1</v>
      </c>
    </row>
    <row r="435" spans="1:19" x14ac:dyDescent="0.15">
      <c r="D435" t="s">
        <v>47</v>
      </c>
      <c r="E435" s="9" t="s">
        <v>71</v>
      </c>
      <c r="F435" s="14" t="s">
        <v>62</v>
      </c>
      <c r="G435">
        <v>10</v>
      </c>
      <c r="H435" s="7">
        <v>0</v>
      </c>
      <c r="I435" s="1" t="str">
        <f t="shared" si="292"/>
        <v>00000000000100</v>
      </c>
      <c r="J435" t="str">
        <f t="shared" si="293"/>
        <v>0</v>
      </c>
      <c r="K435">
        <f t="shared" si="294"/>
        <v>0</v>
      </c>
      <c r="M435" s="1" t="s">
        <v>74</v>
      </c>
      <c r="N435" t="s">
        <v>14</v>
      </c>
      <c r="O435">
        <v>0</v>
      </c>
      <c r="Q435" s="1" t="b">
        <f t="shared" si="295"/>
        <v>1</v>
      </c>
      <c r="R435" t="b">
        <f t="shared" si="296"/>
        <v>1</v>
      </c>
      <c r="S435" t="b">
        <f t="shared" si="297"/>
        <v>1</v>
      </c>
    </row>
    <row r="436" spans="1:19" x14ac:dyDescent="0.15">
      <c r="D436" t="s">
        <v>49</v>
      </c>
      <c r="E436" s="18" t="s">
        <v>72</v>
      </c>
      <c r="F436" s="19" t="s">
        <v>63</v>
      </c>
      <c r="G436">
        <v>16</v>
      </c>
      <c r="H436" s="7">
        <v>0</v>
      </c>
      <c r="I436" s="1" t="str">
        <f t="shared" si="292"/>
        <v>000000000100</v>
      </c>
      <c r="J436" t="str">
        <f t="shared" si="293"/>
        <v>0</v>
      </c>
      <c r="K436">
        <f t="shared" si="294"/>
        <v>0</v>
      </c>
      <c r="M436" s="1" t="s">
        <v>75</v>
      </c>
      <c r="N436" t="s">
        <v>14</v>
      </c>
      <c r="O436">
        <v>0</v>
      </c>
      <c r="Q436" s="1" t="b">
        <f t="shared" si="295"/>
        <v>1</v>
      </c>
      <c r="R436" t="b">
        <f t="shared" si="296"/>
        <v>1</v>
      </c>
      <c r="S436" t="b">
        <f t="shared" si="297"/>
        <v>1</v>
      </c>
    </row>
    <row r="437" spans="1:19" x14ac:dyDescent="0.15">
      <c r="B437" s="22" t="s">
        <v>84</v>
      </c>
      <c r="C437" s="2" t="s">
        <v>87</v>
      </c>
      <c r="D437" s="2" t="s">
        <v>46</v>
      </c>
      <c r="E437" s="11" t="s">
        <v>111</v>
      </c>
      <c r="F437" s="13" t="s">
        <v>114</v>
      </c>
      <c r="G437" s="2">
        <v>2</v>
      </c>
      <c r="H437" s="2">
        <v>0</v>
      </c>
      <c r="I437" s="3" t="str">
        <f t="shared" ref="I437:I439" si="298">TESTdivide(E437,F437,G437,H437)</f>
        <v>0</v>
      </c>
      <c r="J437" s="2" t="str">
        <f t="shared" ref="J437:J439" si="299">TESTdivideByRef1(E437,F437,G437,H437)</f>
        <v>1</v>
      </c>
      <c r="K437" s="2">
        <f t="shared" ref="K437:K439" si="300">TESTdivideByRef2(E437,F437,G437,H437)</f>
        <v>0</v>
      </c>
      <c r="L437" s="2"/>
      <c r="M437" s="10">
        <v>0</v>
      </c>
      <c r="N437" s="2" t="s">
        <v>44</v>
      </c>
      <c r="O437" s="2">
        <v>0</v>
      </c>
      <c r="P437" s="2"/>
      <c r="Q437" s="3" t="b">
        <f t="shared" ref="Q437:Q439" si="301">getText(I437)=getText(M437)</f>
        <v>1</v>
      </c>
      <c r="R437" s="2" t="b">
        <f t="shared" ref="R437:R439" si="302">getText(J437)=getText(N437)</f>
        <v>1</v>
      </c>
      <c r="S437" s="2" t="b">
        <f t="shared" ref="S437:S439" si="303">getText(K437)=getText(O437)</f>
        <v>1</v>
      </c>
    </row>
    <row r="438" spans="1:19" x14ac:dyDescent="0.15">
      <c r="B438" s="23"/>
      <c r="D438" t="s">
        <v>47</v>
      </c>
      <c r="E438" s="9" t="s">
        <v>112</v>
      </c>
      <c r="F438" s="14" t="s">
        <v>15</v>
      </c>
      <c r="G438">
        <v>10</v>
      </c>
      <c r="H438" s="7">
        <v>0</v>
      </c>
      <c r="I438" s="1" t="str">
        <f t="shared" si="298"/>
        <v>0</v>
      </c>
      <c r="J438" t="str">
        <f t="shared" si="299"/>
        <v>1</v>
      </c>
      <c r="K438">
        <f t="shared" si="300"/>
        <v>0</v>
      </c>
      <c r="M438" s="12">
        <v>0</v>
      </c>
      <c r="N438" t="s">
        <v>44</v>
      </c>
      <c r="O438">
        <v>0</v>
      </c>
      <c r="Q438" s="1" t="b">
        <f t="shared" si="301"/>
        <v>1</v>
      </c>
      <c r="R438" t="b">
        <f t="shared" si="302"/>
        <v>1</v>
      </c>
      <c r="S438" t="b">
        <f t="shared" si="303"/>
        <v>1</v>
      </c>
    </row>
    <row r="439" spans="1:19" x14ac:dyDescent="0.15">
      <c r="D439" t="s">
        <v>49</v>
      </c>
      <c r="E439" s="9" t="s">
        <v>112</v>
      </c>
      <c r="F439" s="14" t="s">
        <v>15</v>
      </c>
      <c r="G439">
        <v>16</v>
      </c>
      <c r="H439" s="7">
        <v>0</v>
      </c>
      <c r="I439" s="1" t="str">
        <f t="shared" si="298"/>
        <v>0</v>
      </c>
      <c r="J439" t="str">
        <f t="shared" si="299"/>
        <v>1</v>
      </c>
      <c r="K439">
        <f t="shared" si="300"/>
        <v>0</v>
      </c>
      <c r="M439" s="12">
        <v>0</v>
      </c>
      <c r="N439" t="s">
        <v>44</v>
      </c>
      <c r="O439">
        <v>0</v>
      </c>
      <c r="Q439" s="1" t="b">
        <f t="shared" si="301"/>
        <v>1</v>
      </c>
      <c r="R439" t="b">
        <f t="shared" si="302"/>
        <v>1</v>
      </c>
      <c r="S439" t="b">
        <f t="shared" si="303"/>
        <v>1</v>
      </c>
    </row>
    <row r="440" spans="1:19" x14ac:dyDescent="0.15">
      <c r="C440" s="2" t="s">
        <v>97</v>
      </c>
      <c r="D440" s="2" t="s">
        <v>47</v>
      </c>
      <c r="E440" s="11" t="s">
        <v>113</v>
      </c>
      <c r="F440" s="13" t="s">
        <v>15</v>
      </c>
      <c r="G440" s="2">
        <v>10</v>
      </c>
      <c r="H440" s="24">
        <v>0</v>
      </c>
      <c r="I440" s="3" t="str">
        <f t="shared" ref="I440:I441" si="304">TESTdivide(E440,F440,G440,H440)</f>
        <v>0</v>
      </c>
      <c r="J440" s="2" t="str">
        <f t="shared" ref="J440:J441" si="305">TESTdivideByRef1(E440,F440,G440,H440)</f>
        <v>9</v>
      </c>
      <c r="K440" s="2">
        <f t="shared" ref="K440:K441" si="306">TESTdivideByRef2(E440,F440,G440,H440)</f>
        <v>0</v>
      </c>
      <c r="L440" s="2"/>
      <c r="M440" s="10">
        <v>0</v>
      </c>
      <c r="N440" s="2" t="s">
        <v>101</v>
      </c>
      <c r="O440" s="2">
        <v>0</v>
      </c>
      <c r="P440" s="2"/>
      <c r="Q440" s="3" t="b">
        <f t="shared" ref="Q440:Q441" si="307">getText(I440)=getText(M440)</f>
        <v>1</v>
      </c>
      <c r="R440" s="2" t="b">
        <f t="shared" ref="R440:R441" si="308">getText(J440)=getText(N440)</f>
        <v>1</v>
      </c>
      <c r="S440" s="2" t="b">
        <f t="shared" ref="S440:S441" si="309">getText(K440)=getText(O440)</f>
        <v>1</v>
      </c>
    </row>
    <row r="441" spans="1:19" x14ac:dyDescent="0.15">
      <c r="D441" t="s">
        <v>49</v>
      </c>
      <c r="E441" s="9" t="s">
        <v>100</v>
      </c>
      <c r="F441" s="14" t="s">
        <v>15</v>
      </c>
      <c r="G441">
        <v>16</v>
      </c>
      <c r="H441" s="7">
        <v>0</v>
      </c>
      <c r="I441" s="1" t="str">
        <f t="shared" si="304"/>
        <v>0</v>
      </c>
      <c r="J441" t="str">
        <f t="shared" si="305"/>
        <v>F</v>
      </c>
      <c r="K441">
        <f t="shared" si="306"/>
        <v>0</v>
      </c>
      <c r="M441" s="12" t="s">
        <v>14</v>
      </c>
      <c r="N441" t="s">
        <v>99</v>
      </c>
      <c r="O441">
        <v>0</v>
      </c>
      <c r="Q441" s="1" t="b">
        <f t="shared" si="307"/>
        <v>1</v>
      </c>
      <c r="R441" t="b">
        <f t="shared" si="308"/>
        <v>1</v>
      </c>
      <c r="S441" t="b">
        <f t="shared" si="309"/>
        <v>1</v>
      </c>
    </row>
    <row r="442" spans="1:19" x14ac:dyDescent="0.15">
      <c r="A442" s="23"/>
      <c r="B442" s="22" t="s">
        <v>85</v>
      </c>
      <c r="C442" s="2" t="s">
        <v>86</v>
      </c>
      <c r="D442" s="2" t="s">
        <v>46</v>
      </c>
      <c r="E442" s="11" t="s">
        <v>114</v>
      </c>
      <c r="F442" s="13" t="s">
        <v>15</v>
      </c>
      <c r="G442" s="2">
        <v>2</v>
      </c>
      <c r="H442" s="2">
        <v>0</v>
      </c>
      <c r="I442" s="3" t="str">
        <f t="shared" ref="I442:I444" si="310">TESTdivide(E442,F442,G442,H442)</f>
        <v>01</v>
      </c>
      <c r="J442" s="2" t="str">
        <f t="shared" ref="J442:J444" si="311">TESTdivideByRef1(E442,F442,G442,H442)</f>
        <v>0</v>
      </c>
      <c r="K442" s="2">
        <f t="shared" ref="K442:K444" si="312">TESTdivideByRef2(E442,F442,G442,H442)</f>
        <v>0</v>
      </c>
      <c r="L442" s="2"/>
      <c r="M442" s="10" t="s">
        <v>119</v>
      </c>
      <c r="N442" s="2" t="s">
        <v>14</v>
      </c>
      <c r="O442" s="2">
        <v>0</v>
      </c>
      <c r="P442" s="2"/>
      <c r="Q442" s="3" t="b">
        <f t="shared" ref="Q442:Q444" si="313">getText(I442)=getText(M442)</f>
        <v>1</v>
      </c>
      <c r="R442" s="2" t="b">
        <f t="shared" ref="R442:R444" si="314">getText(J442)=getText(N442)</f>
        <v>1</v>
      </c>
      <c r="S442" s="2" t="b">
        <f t="shared" ref="S442:S444" si="315">getText(K442)=getText(O442)</f>
        <v>1</v>
      </c>
    </row>
    <row r="443" spans="1:19" x14ac:dyDescent="0.15">
      <c r="B443" s="23"/>
      <c r="D443" t="s">
        <v>47</v>
      </c>
      <c r="E443" s="9" t="s">
        <v>114</v>
      </c>
      <c r="F443" s="14" t="s">
        <v>15</v>
      </c>
      <c r="G443">
        <v>10</v>
      </c>
      <c r="H443" s="7">
        <v>0</v>
      </c>
      <c r="I443" s="1" t="str">
        <f t="shared" si="310"/>
        <v>01</v>
      </c>
      <c r="J443" t="str">
        <f t="shared" si="311"/>
        <v>0</v>
      </c>
      <c r="K443">
        <f t="shared" si="312"/>
        <v>0</v>
      </c>
      <c r="M443" s="12" t="s">
        <v>119</v>
      </c>
      <c r="N443" t="s">
        <v>14</v>
      </c>
      <c r="O443">
        <v>0</v>
      </c>
      <c r="Q443" s="1" t="b">
        <f t="shared" si="313"/>
        <v>1</v>
      </c>
      <c r="R443" t="b">
        <f t="shared" si="314"/>
        <v>1</v>
      </c>
      <c r="S443" t="b">
        <f t="shared" si="315"/>
        <v>1</v>
      </c>
    </row>
    <row r="444" spans="1:19" x14ac:dyDescent="0.15">
      <c r="B444" s="23"/>
      <c r="D444" t="s">
        <v>49</v>
      </c>
      <c r="E444" s="9" t="s">
        <v>114</v>
      </c>
      <c r="F444" s="14" t="s">
        <v>15</v>
      </c>
      <c r="G444">
        <v>16</v>
      </c>
      <c r="H444" s="7">
        <v>0</v>
      </c>
      <c r="I444" s="1" t="str">
        <f t="shared" si="310"/>
        <v>01</v>
      </c>
      <c r="J444" t="str">
        <f t="shared" si="311"/>
        <v>0</v>
      </c>
      <c r="K444">
        <f t="shared" si="312"/>
        <v>0</v>
      </c>
      <c r="M444" s="12" t="s">
        <v>119</v>
      </c>
      <c r="N444" t="s">
        <v>14</v>
      </c>
      <c r="O444">
        <v>0</v>
      </c>
      <c r="Q444" s="1" t="b">
        <f t="shared" si="313"/>
        <v>1</v>
      </c>
      <c r="R444" t="b">
        <f t="shared" si="314"/>
        <v>1</v>
      </c>
      <c r="S444" t="b">
        <f t="shared" si="315"/>
        <v>1</v>
      </c>
    </row>
    <row r="445" spans="1:19" x14ac:dyDescent="0.15">
      <c r="B445" s="23"/>
      <c r="C445" s="2" t="s">
        <v>87</v>
      </c>
      <c r="D445" s="2" t="s">
        <v>46</v>
      </c>
      <c r="E445" s="11" t="s">
        <v>115</v>
      </c>
      <c r="F445" s="13" t="s">
        <v>15</v>
      </c>
      <c r="G445" s="2">
        <v>2</v>
      </c>
      <c r="H445" s="2">
        <v>0</v>
      </c>
      <c r="I445" s="3" t="str">
        <f t="shared" ref="I445:I447" si="316">TESTdivide(E445,F445,G445,H445)</f>
        <v>01</v>
      </c>
      <c r="J445" s="2" t="str">
        <f t="shared" ref="J445:J447" si="317">TESTdivideByRef1(E445,F445,G445,H445)</f>
        <v>1</v>
      </c>
      <c r="K445" s="2">
        <f t="shared" ref="K445:K447" si="318">TESTdivideByRef2(E445,F445,G445,H445)</f>
        <v>0</v>
      </c>
      <c r="L445" s="2"/>
      <c r="M445" s="10" t="s">
        <v>120</v>
      </c>
      <c r="N445" s="2" t="s">
        <v>44</v>
      </c>
      <c r="O445" s="2">
        <v>0</v>
      </c>
      <c r="P445" s="2"/>
      <c r="Q445" s="3" t="b">
        <f t="shared" ref="Q445:Q447" si="319">getText(I445)=getText(M445)</f>
        <v>1</v>
      </c>
      <c r="R445" s="2" t="b">
        <f t="shared" ref="R445:R447" si="320">getText(J445)=getText(N445)</f>
        <v>1</v>
      </c>
      <c r="S445" s="2" t="b">
        <f t="shared" ref="S445:S447" si="321">getText(K445)=getText(O445)</f>
        <v>1</v>
      </c>
    </row>
    <row r="446" spans="1:19" x14ac:dyDescent="0.15">
      <c r="B446" s="23"/>
      <c r="D446" t="s">
        <v>47</v>
      </c>
      <c r="E446" s="9" t="s">
        <v>115</v>
      </c>
      <c r="F446" s="14" t="s">
        <v>15</v>
      </c>
      <c r="G446">
        <v>10</v>
      </c>
      <c r="H446" s="7">
        <v>0</v>
      </c>
      <c r="I446" s="1" t="str">
        <f t="shared" si="316"/>
        <v>01</v>
      </c>
      <c r="J446" t="str">
        <f t="shared" si="317"/>
        <v>1</v>
      </c>
      <c r="K446">
        <f t="shared" si="318"/>
        <v>0</v>
      </c>
      <c r="M446" s="12" t="s">
        <v>120</v>
      </c>
      <c r="N446" t="s">
        <v>44</v>
      </c>
      <c r="O446">
        <v>0</v>
      </c>
      <c r="Q446" s="1" t="b">
        <f t="shared" si="319"/>
        <v>1</v>
      </c>
      <c r="R446" t="b">
        <f t="shared" si="320"/>
        <v>1</v>
      </c>
      <c r="S446" t="b">
        <f t="shared" si="321"/>
        <v>1</v>
      </c>
    </row>
    <row r="447" spans="1:19" x14ac:dyDescent="0.15">
      <c r="D447" t="s">
        <v>49</v>
      </c>
      <c r="E447" s="9" t="s">
        <v>115</v>
      </c>
      <c r="F447" s="14" t="s">
        <v>15</v>
      </c>
      <c r="G447">
        <v>16</v>
      </c>
      <c r="H447" s="7">
        <v>0</v>
      </c>
      <c r="I447" s="1" t="str">
        <f t="shared" si="316"/>
        <v>01</v>
      </c>
      <c r="J447" t="str">
        <f t="shared" si="317"/>
        <v>1</v>
      </c>
      <c r="K447">
        <f t="shared" si="318"/>
        <v>0</v>
      </c>
      <c r="M447" s="12" t="s">
        <v>120</v>
      </c>
      <c r="N447" t="s">
        <v>44</v>
      </c>
      <c r="O447">
        <v>0</v>
      </c>
      <c r="Q447" s="1" t="b">
        <f t="shared" si="319"/>
        <v>1</v>
      </c>
      <c r="R447" t="b">
        <f t="shared" si="320"/>
        <v>1</v>
      </c>
      <c r="S447" t="b">
        <f t="shared" si="321"/>
        <v>1</v>
      </c>
    </row>
    <row r="448" spans="1:19" x14ac:dyDescent="0.15">
      <c r="C448" s="2" t="s">
        <v>97</v>
      </c>
      <c r="D448" s="2" t="s">
        <v>47</v>
      </c>
      <c r="E448" s="11" t="s">
        <v>117</v>
      </c>
      <c r="F448" s="13" t="s">
        <v>15</v>
      </c>
      <c r="G448" s="2">
        <v>10</v>
      </c>
      <c r="H448" s="24">
        <v>0</v>
      </c>
      <c r="I448" s="3" t="str">
        <f t="shared" ref="I448:I449" si="322">TESTdivide(E448,F448,G448,H448)</f>
        <v>01</v>
      </c>
      <c r="J448" s="2" t="str">
        <f t="shared" ref="J448:J449" si="323">TESTdivideByRef1(E448,F448,G448,H448)</f>
        <v>9</v>
      </c>
      <c r="K448" s="2">
        <f t="shared" ref="K448:K449" si="324">TESTdivideByRef2(E448,F448,G448,H448)</f>
        <v>0</v>
      </c>
      <c r="L448" s="2"/>
      <c r="M448" s="10" t="s">
        <v>120</v>
      </c>
      <c r="N448" s="2" t="s">
        <v>101</v>
      </c>
      <c r="O448" s="2">
        <v>0</v>
      </c>
      <c r="P448" s="2"/>
      <c r="Q448" s="3" t="b">
        <f t="shared" ref="Q448:Q449" si="325">getText(I448)=getText(M448)</f>
        <v>1</v>
      </c>
      <c r="R448" s="2" t="b">
        <f t="shared" ref="R448:R449" si="326">getText(J448)=getText(N448)</f>
        <v>1</v>
      </c>
      <c r="S448" s="2" t="b">
        <f t="shared" ref="S448:S449" si="327">getText(K448)=getText(O448)</f>
        <v>1</v>
      </c>
    </row>
    <row r="449" spans="1:19" x14ac:dyDescent="0.15">
      <c r="D449" t="s">
        <v>49</v>
      </c>
      <c r="E449" s="9" t="s">
        <v>118</v>
      </c>
      <c r="F449" s="14" t="s">
        <v>15</v>
      </c>
      <c r="G449">
        <v>16</v>
      </c>
      <c r="H449" s="7">
        <v>0</v>
      </c>
      <c r="I449" s="1" t="str">
        <f t="shared" si="322"/>
        <v>01</v>
      </c>
      <c r="J449" t="str">
        <f t="shared" si="323"/>
        <v>F</v>
      </c>
      <c r="K449">
        <f t="shared" si="324"/>
        <v>0</v>
      </c>
      <c r="M449" s="12" t="s">
        <v>120</v>
      </c>
      <c r="N449" t="s">
        <v>99</v>
      </c>
      <c r="O449">
        <v>0</v>
      </c>
      <c r="Q449" s="1" t="b">
        <f t="shared" si="325"/>
        <v>1</v>
      </c>
      <c r="R449" t="b">
        <f t="shared" si="326"/>
        <v>1</v>
      </c>
      <c r="S449" t="b">
        <f t="shared" si="327"/>
        <v>1</v>
      </c>
    </row>
    <row r="450" spans="1:19" x14ac:dyDescent="0.15">
      <c r="B450" s="22" t="s">
        <v>88</v>
      </c>
      <c r="C450" s="2" t="s">
        <v>86</v>
      </c>
      <c r="D450" s="2" t="s">
        <v>46</v>
      </c>
      <c r="E450" s="11" t="s">
        <v>114</v>
      </c>
      <c r="F450" s="13" t="s">
        <v>15</v>
      </c>
      <c r="G450" s="2">
        <v>2</v>
      </c>
      <c r="H450" s="2">
        <v>0</v>
      </c>
      <c r="I450" s="3" t="str">
        <f t="shared" ref="I450:I452" si="328">TESTdivide(E450,F450,G450,H450)</f>
        <v>01</v>
      </c>
      <c r="J450" s="2" t="str">
        <f t="shared" ref="J450:J452" si="329">TESTdivideByRef1(E450,F450,G450,H450)</f>
        <v>0</v>
      </c>
      <c r="K450" s="2">
        <f t="shared" ref="K450:K452" si="330">TESTdivideByRef2(E450,F450,G450,H450)</f>
        <v>0</v>
      </c>
      <c r="L450" s="2"/>
      <c r="M450" s="20" t="s">
        <v>119</v>
      </c>
      <c r="N450" s="25" t="s">
        <v>121</v>
      </c>
      <c r="O450" s="2">
        <v>0</v>
      </c>
      <c r="P450" s="2"/>
      <c r="Q450" s="3" t="b">
        <f t="shared" ref="Q450:Q451" si="331">getText(I450)=getText(M450)</f>
        <v>1</v>
      </c>
      <c r="R450" s="2" t="b">
        <f t="shared" ref="R450:R451" si="332">getText(J450)=getText(N450)</f>
        <v>1</v>
      </c>
      <c r="S450" s="2" t="b">
        <f t="shared" ref="S450:S451" si="333">getText(K450)=getText(O450)</f>
        <v>1</v>
      </c>
    </row>
    <row r="451" spans="1:19" x14ac:dyDescent="0.15">
      <c r="B451" s="23"/>
      <c r="D451" t="s">
        <v>47</v>
      </c>
      <c r="E451" s="9" t="s">
        <v>123</v>
      </c>
      <c r="F451" s="14" t="s">
        <v>15</v>
      </c>
      <c r="G451">
        <v>10</v>
      </c>
      <c r="H451" s="7">
        <v>0</v>
      </c>
      <c r="I451" s="1" t="str">
        <f t="shared" si="328"/>
        <v>09</v>
      </c>
      <c r="J451" t="str">
        <f t="shared" si="329"/>
        <v>0</v>
      </c>
      <c r="K451">
        <f t="shared" si="330"/>
        <v>0</v>
      </c>
      <c r="M451" s="21" t="s">
        <v>125</v>
      </c>
      <c r="N451" s="26" t="s">
        <v>122</v>
      </c>
      <c r="O451">
        <v>0</v>
      </c>
      <c r="Q451" s="1" t="b">
        <f t="shared" si="331"/>
        <v>1</v>
      </c>
      <c r="R451" t="b">
        <f t="shared" si="332"/>
        <v>1</v>
      </c>
      <c r="S451" t="b">
        <f t="shared" si="333"/>
        <v>1</v>
      </c>
    </row>
    <row r="452" spans="1:19" x14ac:dyDescent="0.15">
      <c r="B452" s="23"/>
      <c r="D452" t="s">
        <v>49</v>
      </c>
      <c r="E452" s="9" t="s">
        <v>124</v>
      </c>
      <c r="F452" s="14" t="s">
        <v>15</v>
      </c>
      <c r="G452">
        <v>16</v>
      </c>
      <c r="H452" s="7">
        <v>0</v>
      </c>
      <c r="I452" s="1" t="str">
        <f t="shared" si="328"/>
        <v>0F</v>
      </c>
      <c r="J452" t="str">
        <f t="shared" si="329"/>
        <v>0</v>
      </c>
      <c r="K452">
        <f t="shared" si="330"/>
        <v>0</v>
      </c>
      <c r="M452" s="21" t="s">
        <v>126</v>
      </c>
      <c r="N452" s="26" t="s">
        <v>122</v>
      </c>
      <c r="O452">
        <v>0</v>
      </c>
      <c r="Q452" s="1" t="b">
        <f t="shared" ref="Q452:Q454" si="334">getText(I452)=getText(M452)</f>
        <v>1</v>
      </c>
      <c r="R452" t="b">
        <f t="shared" ref="R452:R454" si="335">getText(J452)=getText(N452)</f>
        <v>1</v>
      </c>
      <c r="S452" t="b">
        <f t="shared" ref="S452:S454" si="336">getText(K452)=getText(O452)</f>
        <v>1</v>
      </c>
    </row>
    <row r="453" spans="1:19" x14ac:dyDescent="0.15">
      <c r="B453" s="23"/>
      <c r="C453" s="2" t="s">
        <v>87</v>
      </c>
      <c r="D453" s="2" t="s">
        <v>46</v>
      </c>
      <c r="E453" s="11" t="s">
        <v>115</v>
      </c>
      <c r="F453" s="13" t="s">
        <v>15</v>
      </c>
      <c r="G453" s="2">
        <v>2</v>
      </c>
      <c r="H453" s="2">
        <v>0</v>
      </c>
      <c r="I453" s="3" t="str">
        <f t="shared" ref="I453:I454" si="337">TESTdivide(E453,F453,G453,H453)</f>
        <v>01</v>
      </c>
      <c r="J453" s="2" t="str">
        <f t="shared" ref="J453:J454" si="338">TESTdivideByRef1(E453,F453,G453,H453)</f>
        <v>1</v>
      </c>
      <c r="K453" s="2">
        <f t="shared" ref="K453:K454" si="339">TESTdivideByRef2(E453,F453,G453,H453)</f>
        <v>0</v>
      </c>
      <c r="L453" s="2"/>
      <c r="M453" s="20" t="s">
        <v>119</v>
      </c>
      <c r="N453" s="25" t="s">
        <v>116</v>
      </c>
      <c r="O453" s="2">
        <v>0</v>
      </c>
      <c r="P453" s="2"/>
      <c r="Q453" s="3" t="b">
        <f t="shared" si="334"/>
        <v>1</v>
      </c>
      <c r="R453" s="2" t="b">
        <f t="shared" si="335"/>
        <v>1</v>
      </c>
      <c r="S453" s="2" t="b">
        <f t="shared" si="336"/>
        <v>1</v>
      </c>
    </row>
    <row r="454" spans="1:19" x14ac:dyDescent="0.15">
      <c r="B454" s="23"/>
      <c r="D454" t="s">
        <v>47</v>
      </c>
      <c r="E454" s="9" t="s">
        <v>127</v>
      </c>
      <c r="F454" s="14" t="s">
        <v>15</v>
      </c>
      <c r="G454">
        <v>10</v>
      </c>
      <c r="H454" s="7">
        <v>0</v>
      </c>
      <c r="I454" s="1" t="str">
        <f t="shared" si="337"/>
        <v>09</v>
      </c>
      <c r="J454" t="str">
        <f t="shared" si="338"/>
        <v>1</v>
      </c>
      <c r="K454">
        <f t="shared" si="339"/>
        <v>0</v>
      </c>
      <c r="M454" s="21" t="s">
        <v>125</v>
      </c>
      <c r="N454" s="26" t="s">
        <v>129</v>
      </c>
      <c r="O454">
        <v>0</v>
      </c>
      <c r="Q454" s="1" t="b">
        <f t="shared" si="334"/>
        <v>1</v>
      </c>
      <c r="R454" t="b">
        <f t="shared" si="335"/>
        <v>1</v>
      </c>
      <c r="S454" t="b">
        <f t="shared" si="336"/>
        <v>1</v>
      </c>
    </row>
    <row r="455" spans="1:19" x14ac:dyDescent="0.15">
      <c r="D455" t="s">
        <v>49</v>
      </c>
      <c r="E455" s="9" t="s">
        <v>128</v>
      </c>
      <c r="F455" s="14" t="s">
        <v>15</v>
      </c>
      <c r="G455">
        <v>16</v>
      </c>
      <c r="H455" s="7">
        <v>0</v>
      </c>
      <c r="I455" s="1" t="str">
        <f t="shared" ref="I455:I457" si="340">TESTdivide(E455,F455,G455,H455)</f>
        <v>0F</v>
      </c>
      <c r="J455" t="str">
        <f t="shared" ref="J455:J457" si="341">TESTdivideByRef1(E455,F455,G455,H455)</f>
        <v>1</v>
      </c>
      <c r="K455">
        <f t="shared" ref="K455:K457" si="342">TESTdivideByRef2(E455,F455,G455,H455)</f>
        <v>0</v>
      </c>
      <c r="M455" s="21" t="s">
        <v>126</v>
      </c>
      <c r="N455" s="26" t="s">
        <v>129</v>
      </c>
      <c r="O455">
        <v>0</v>
      </c>
      <c r="Q455" s="1" t="b">
        <f t="shared" ref="Q455:Q457" si="343">getText(I455)=getText(M455)</f>
        <v>1</v>
      </c>
      <c r="R455" t="b">
        <f t="shared" ref="R455:R457" si="344">getText(J455)=getText(N455)</f>
        <v>1</v>
      </c>
      <c r="S455" t="b">
        <f t="shared" ref="S455:S457" si="345">getText(K455)=getText(O455)</f>
        <v>1</v>
      </c>
    </row>
    <row r="456" spans="1:19" x14ac:dyDescent="0.15">
      <c r="A456" s="23"/>
      <c r="C456" s="2" t="s">
        <v>97</v>
      </c>
      <c r="D456" s="2" t="s">
        <v>47</v>
      </c>
      <c r="E456" s="11" t="s">
        <v>130</v>
      </c>
      <c r="F456" s="13" t="s">
        <v>15</v>
      </c>
      <c r="G456" s="2">
        <v>10</v>
      </c>
      <c r="H456" s="24">
        <v>0</v>
      </c>
      <c r="I456" s="3" t="str">
        <f t="shared" si="340"/>
        <v>09</v>
      </c>
      <c r="J456" s="2" t="str">
        <f t="shared" si="341"/>
        <v>9</v>
      </c>
      <c r="K456" s="2">
        <f t="shared" si="342"/>
        <v>0</v>
      </c>
      <c r="L456" s="2"/>
      <c r="M456" s="20" t="s">
        <v>125</v>
      </c>
      <c r="N456" s="25" t="s">
        <v>132</v>
      </c>
      <c r="O456" s="2">
        <v>0</v>
      </c>
      <c r="P456" s="2"/>
      <c r="Q456" s="3" t="b">
        <f t="shared" si="343"/>
        <v>1</v>
      </c>
      <c r="R456" s="2" t="b">
        <f t="shared" si="344"/>
        <v>1</v>
      </c>
      <c r="S456" s="2" t="b">
        <f t="shared" si="345"/>
        <v>1</v>
      </c>
    </row>
    <row r="457" spans="1:19" x14ac:dyDescent="0.15">
      <c r="D457" t="s">
        <v>49</v>
      </c>
      <c r="E457" s="9" t="s">
        <v>131</v>
      </c>
      <c r="F457" s="14" t="s">
        <v>15</v>
      </c>
      <c r="G457">
        <v>16</v>
      </c>
      <c r="H457" s="7">
        <v>0</v>
      </c>
      <c r="I457" s="1" t="str">
        <f t="shared" si="340"/>
        <v>0F</v>
      </c>
      <c r="J457" t="str">
        <f t="shared" si="341"/>
        <v>F</v>
      </c>
      <c r="K457">
        <f t="shared" si="342"/>
        <v>0</v>
      </c>
      <c r="M457" s="21" t="s">
        <v>126</v>
      </c>
      <c r="N457" s="26" t="s">
        <v>133</v>
      </c>
      <c r="O457">
        <v>0</v>
      </c>
      <c r="Q457" s="1" t="b">
        <f t="shared" si="343"/>
        <v>1</v>
      </c>
      <c r="R457" t="b">
        <f t="shared" si="344"/>
        <v>1</v>
      </c>
      <c r="S457" t="b">
        <f t="shared" si="345"/>
        <v>1</v>
      </c>
    </row>
    <row r="458" spans="1:19" x14ac:dyDescent="0.15">
      <c r="B458" s="22" t="s">
        <v>89</v>
      </c>
      <c r="C458" s="2" t="s">
        <v>86</v>
      </c>
      <c r="D458" s="2" t="s">
        <v>46</v>
      </c>
      <c r="E458" s="11" t="s">
        <v>136</v>
      </c>
      <c r="F458" s="13" t="s">
        <v>15</v>
      </c>
      <c r="G458" s="2">
        <v>2</v>
      </c>
      <c r="H458" s="2">
        <v>0</v>
      </c>
      <c r="I458" s="3" t="str">
        <f t="shared" ref="I458:I460" si="346">TESTdivide(E458,F458,G458,H458)</f>
        <v>010</v>
      </c>
      <c r="J458" s="2" t="str">
        <f t="shared" ref="J458:J460" si="347">TESTdivideByRef1(E458,F458,G458,H458)</f>
        <v>0</v>
      </c>
      <c r="K458" s="2">
        <f t="shared" ref="K458:K460" si="348">TESTdivideByRef2(E458,F458,G458,H458)</f>
        <v>0</v>
      </c>
      <c r="L458" s="2"/>
      <c r="M458" s="20" t="s">
        <v>79</v>
      </c>
      <c r="N458" s="25" t="s">
        <v>134</v>
      </c>
      <c r="O458" s="2">
        <v>0</v>
      </c>
      <c r="P458" s="2"/>
      <c r="Q458" s="3" t="b">
        <f t="shared" ref="Q458:Q460" si="349">getText(I458)=getText(M458)</f>
        <v>1</v>
      </c>
      <c r="R458" s="2" t="b">
        <f t="shared" ref="R458:R460" si="350">getText(J458)=getText(N458)</f>
        <v>1</v>
      </c>
      <c r="S458" s="2" t="b">
        <f t="shared" ref="S458:S460" si="351">getText(K458)=getText(O458)</f>
        <v>1</v>
      </c>
    </row>
    <row r="459" spans="1:19" x14ac:dyDescent="0.15">
      <c r="B459" s="23"/>
      <c r="D459" t="s">
        <v>47</v>
      </c>
      <c r="E459" s="9" t="s">
        <v>136</v>
      </c>
      <c r="F459" s="14" t="s">
        <v>15</v>
      </c>
      <c r="G459">
        <v>10</v>
      </c>
      <c r="H459" s="7">
        <v>0</v>
      </c>
      <c r="I459" s="1" t="str">
        <f t="shared" si="346"/>
        <v>010</v>
      </c>
      <c r="J459" t="str">
        <f t="shared" si="347"/>
        <v>0</v>
      </c>
      <c r="K459">
        <f t="shared" si="348"/>
        <v>0</v>
      </c>
      <c r="M459" s="21" t="s">
        <v>79</v>
      </c>
      <c r="N459" s="26" t="s">
        <v>135</v>
      </c>
      <c r="O459" s="7">
        <v>0</v>
      </c>
      <c r="P459" s="7"/>
      <c r="Q459" s="1" t="b">
        <f t="shared" si="349"/>
        <v>1</v>
      </c>
      <c r="R459" t="b">
        <f t="shared" si="350"/>
        <v>1</v>
      </c>
      <c r="S459" t="b">
        <f t="shared" si="351"/>
        <v>1</v>
      </c>
    </row>
    <row r="460" spans="1:19" x14ac:dyDescent="0.15">
      <c r="B460" s="23"/>
      <c r="D460" t="s">
        <v>49</v>
      </c>
      <c r="E460" s="9" t="s">
        <v>136</v>
      </c>
      <c r="F460" s="14" t="s">
        <v>15</v>
      </c>
      <c r="G460">
        <v>16</v>
      </c>
      <c r="H460" s="7">
        <v>0</v>
      </c>
      <c r="I460" s="1" t="str">
        <f t="shared" si="346"/>
        <v>010</v>
      </c>
      <c r="J460" t="str">
        <f t="shared" si="347"/>
        <v>0</v>
      </c>
      <c r="K460">
        <f t="shared" si="348"/>
        <v>0</v>
      </c>
      <c r="M460" s="21" t="s">
        <v>79</v>
      </c>
      <c r="N460" s="26" t="s">
        <v>134</v>
      </c>
      <c r="O460" s="7">
        <v>0</v>
      </c>
      <c r="P460" s="7"/>
      <c r="Q460" s="1" t="b">
        <f t="shared" si="349"/>
        <v>1</v>
      </c>
      <c r="R460" t="b">
        <f t="shared" si="350"/>
        <v>1</v>
      </c>
      <c r="S460" t="b">
        <f t="shared" si="351"/>
        <v>1</v>
      </c>
    </row>
    <row r="461" spans="1:19" x14ac:dyDescent="0.15">
      <c r="B461" s="23"/>
      <c r="C461" s="2" t="s">
        <v>87</v>
      </c>
      <c r="D461" s="2" t="s">
        <v>46</v>
      </c>
      <c r="E461" s="11" t="s">
        <v>141</v>
      </c>
      <c r="F461" s="13" t="s">
        <v>15</v>
      </c>
      <c r="G461" s="2">
        <v>2</v>
      </c>
      <c r="H461" s="2">
        <v>0</v>
      </c>
      <c r="I461" s="3" t="str">
        <f t="shared" ref="I461:I465" si="352">TESTdivide(E461,F461,G461,H461)</f>
        <v>010</v>
      </c>
      <c r="J461" s="2" t="str">
        <f t="shared" ref="J461:J465" si="353">TESTdivideByRef1(E461,F461,G461,H461)</f>
        <v>1</v>
      </c>
      <c r="K461" s="2">
        <f t="shared" ref="K461:K465" si="354">TESTdivideByRef2(E461,F461,G461,H461)</f>
        <v>0</v>
      </c>
      <c r="L461" s="2"/>
      <c r="M461" s="20" t="s">
        <v>79</v>
      </c>
      <c r="N461" s="25" t="s">
        <v>137</v>
      </c>
      <c r="O461" s="2">
        <v>0</v>
      </c>
      <c r="P461" s="2"/>
      <c r="Q461" s="3" t="b">
        <f t="shared" ref="Q461:Q465" si="355">getText(I461)=getText(M461)</f>
        <v>1</v>
      </c>
      <c r="R461" s="2" t="b">
        <f t="shared" ref="R461:R465" si="356">getText(J461)=getText(N461)</f>
        <v>1</v>
      </c>
      <c r="S461" s="2" t="b">
        <f t="shared" ref="S461:S465" si="357">getText(K461)=getText(O461)</f>
        <v>1</v>
      </c>
    </row>
    <row r="462" spans="1:19" x14ac:dyDescent="0.15">
      <c r="B462" s="23"/>
      <c r="D462" t="s">
        <v>47</v>
      </c>
      <c r="E462" s="9" t="s">
        <v>144</v>
      </c>
      <c r="F462" s="14" t="s">
        <v>15</v>
      </c>
      <c r="G462">
        <v>10</v>
      </c>
      <c r="H462" s="7">
        <v>0</v>
      </c>
      <c r="I462" s="1" t="str">
        <f t="shared" si="352"/>
        <v>010</v>
      </c>
      <c r="J462" t="str">
        <f t="shared" si="353"/>
        <v>1</v>
      </c>
      <c r="K462">
        <f t="shared" si="354"/>
        <v>0</v>
      </c>
      <c r="M462" s="21" t="s">
        <v>79</v>
      </c>
      <c r="N462" s="26" t="s">
        <v>137</v>
      </c>
      <c r="O462">
        <v>0</v>
      </c>
      <c r="Q462" s="1" t="b">
        <f t="shared" si="355"/>
        <v>1</v>
      </c>
      <c r="R462" t="b">
        <f t="shared" si="356"/>
        <v>1</v>
      </c>
      <c r="S462" t="b">
        <f t="shared" si="357"/>
        <v>1</v>
      </c>
    </row>
    <row r="463" spans="1:19" x14ac:dyDescent="0.15">
      <c r="D463" t="s">
        <v>49</v>
      </c>
      <c r="E463" s="9" t="s">
        <v>141</v>
      </c>
      <c r="F463" s="14" t="s">
        <v>15</v>
      </c>
      <c r="G463">
        <v>16</v>
      </c>
      <c r="H463" s="7">
        <v>0</v>
      </c>
      <c r="I463" s="1" t="str">
        <f t="shared" si="352"/>
        <v>010</v>
      </c>
      <c r="J463" t="str">
        <f t="shared" si="353"/>
        <v>1</v>
      </c>
      <c r="K463">
        <f t="shared" si="354"/>
        <v>0</v>
      </c>
      <c r="M463" s="21" t="s">
        <v>79</v>
      </c>
      <c r="N463" s="26" t="s">
        <v>138</v>
      </c>
      <c r="O463">
        <v>0</v>
      </c>
      <c r="Q463" s="1" t="b">
        <f t="shared" si="355"/>
        <v>1</v>
      </c>
      <c r="R463" t="b">
        <f t="shared" si="356"/>
        <v>1</v>
      </c>
      <c r="S463" t="b">
        <f t="shared" si="357"/>
        <v>1</v>
      </c>
    </row>
    <row r="464" spans="1:19" x14ac:dyDescent="0.15">
      <c r="C464" s="2" t="s">
        <v>97</v>
      </c>
      <c r="D464" s="2" t="s">
        <v>47</v>
      </c>
      <c r="E464" s="11" t="s">
        <v>142</v>
      </c>
      <c r="F464" s="13" t="s">
        <v>15</v>
      </c>
      <c r="G464" s="2">
        <v>10</v>
      </c>
      <c r="H464" s="24">
        <v>0</v>
      </c>
      <c r="I464" s="3" t="str">
        <f t="shared" si="352"/>
        <v>010</v>
      </c>
      <c r="J464" s="2" t="str">
        <f t="shared" si="353"/>
        <v>9</v>
      </c>
      <c r="K464" s="2">
        <f t="shared" si="354"/>
        <v>0</v>
      </c>
      <c r="L464" s="2"/>
      <c r="M464" s="20" t="s">
        <v>79</v>
      </c>
      <c r="N464" s="25" t="s">
        <v>139</v>
      </c>
      <c r="O464" s="2">
        <v>0</v>
      </c>
      <c r="P464" s="2"/>
      <c r="Q464" s="3" t="b">
        <f t="shared" si="355"/>
        <v>1</v>
      </c>
      <c r="R464" s="2" t="b">
        <f t="shared" si="356"/>
        <v>1</v>
      </c>
      <c r="S464" s="2" t="b">
        <f t="shared" si="357"/>
        <v>1</v>
      </c>
    </row>
    <row r="465" spans="2:19" x14ac:dyDescent="0.15">
      <c r="D465" t="s">
        <v>49</v>
      </c>
      <c r="E465" s="9" t="s">
        <v>143</v>
      </c>
      <c r="F465" s="14" t="s">
        <v>15</v>
      </c>
      <c r="G465">
        <v>16</v>
      </c>
      <c r="H465" s="7">
        <v>0</v>
      </c>
      <c r="I465" s="1" t="str">
        <f t="shared" si="352"/>
        <v>010</v>
      </c>
      <c r="J465" t="str">
        <f t="shared" si="353"/>
        <v>F</v>
      </c>
      <c r="K465">
        <f t="shared" si="354"/>
        <v>0</v>
      </c>
      <c r="M465" s="21" t="s">
        <v>79</v>
      </c>
      <c r="N465" s="26" t="s">
        <v>140</v>
      </c>
      <c r="O465">
        <v>0</v>
      </c>
      <c r="Q465" s="1" t="b">
        <f t="shared" si="355"/>
        <v>1</v>
      </c>
      <c r="R465" t="b">
        <f t="shared" si="356"/>
        <v>1</v>
      </c>
      <c r="S465" t="b">
        <f t="shared" si="357"/>
        <v>1</v>
      </c>
    </row>
    <row r="466" spans="2:19" x14ac:dyDescent="0.15">
      <c r="B466" s="22" t="s">
        <v>90</v>
      </c>
      <c r="C466" s="2" t="s">
        <v>86</v>
      </c>
      <c r="D466" s="2" t="s">
        <v>46</v>
      </c>
      <c r="E466" s="11" t="s">
        <v>148</v>
      </c>
      <c r="F466" s="13" t="s">
        <v>15</v>
      </c>
      <c r="G466" s="2">
        <v>2</v>
      </c>
      <c r="H466" s="2">
        <v>0</v>
      </c>
      <c r="I466" s="3" t="str">
        <f t="shared" ref="I466:I468" si="358">TESTdivide(E466,F466,G466,H466)</f>
        <v>011</v>
      </c>
      <c r="J466" s="2" t="str">
        <f t="shared" ref="J466:J468" si="359">TESTdivideByRef1(E466,F466,G466,H466)</f>
        <v>0</v>
      </c>
      <c r="K466" s="2">
        <f t="shared" ref="K466:K468" si="360">TESTdivideByRef2(E466,F466,G466,H466)</f>
        <v>0</v>
      </c>
      <c r="L466" s="2"/>
      <c r="M466" s="20" t="s">
        <v>149</v>
      </c>
      <c r="N466" s="25" t="s">
        <v>145</v>
      </c>
      <c r="O466" s="2">
        <v>0</v>
      </c>
      <c r="P466" s="2"/>
      <c r="Q466" s="3" t="b">
        <f t="shared" ref="Q466:Q468" si="361">getText(I466)=getText(M466)</f>
        <v>1</v>
      </c>
      <c r="R466" s="2" t="b">
        <f t="shared" ref="R466:R468" si="362">getText(J466)=getText(N466)</f>
        <v>1</v>
      </c>
      <c r="S466" s="2" t="b">
        <f t="shared" ref="S466:S468" si="363">getText(K466)=getText(O466)</f>
        <v>1</v>
      </c>
    </row>
    <row r="467" spans="2:19" x14ac:dyDescent="0.15">
      <c r="B467" s="23"/>
      <c r="D467" t="s">
        <v>47</v>
      </c>
      <c r="E467" s="9" t="s">
        <v>148</v>
      </c>
      <c r="F467" s="14" t="s">
        <v>15</v>
      </c>
      <c r="G467">
        <v>10</v>
      </c>
      <c r="H467" s="7">
        <v>0</v>
      </c>
      <c r="I467" s="1" t="str">
        <f t="shared" si="358"/>
        <v>011</v>
      </c>
      <c r="J467" t="str">
        <f t="shared" si="359"/>
        <v>0</v>
      </c>
      <c r="K467">
        <f t="shared" si="360"/>
        <v>0</v>
      </c>
      <c r="M467" s="21" t="s">
        <v>78</v>
      </c>
      <c r="N467" s="26" t="s">
        <v>146</v>
      </c>
      <c r="O467">
        <v>0</v>
      </c>
      <c r="Q467" s="1" t="b">
        <f t="shared" si="361"/>
        <v>1</v>
      </c>
      <c r="R467" t="b">
        <f t="shared" si="362"/>
        <v>1</v>
      </c>
      <c r="S467" t="b">
        <f t="shared" si="363"/>
        <v>1</v>
      </c>
    </row>
    <row r="468" spans="2:19" x14ac:dyDescent="0.15">
      <c r="B468" s="23"/>
      <c r="D468" t="s">
        <v>49</v>
      </c>
      <c r="E468" s="9" t="s">
        <v>148</v>
      </c>
      <c r="F468" s="14" t="s">
        <v>15</v>
      </c>
      <c r="G468">
        <v>16</v>
      </c>
      <c r="H468" s="7">
        <v>0</v>
      </c>
      <c r="I468" s="1" t="str">
        <f t="shared" si="358"/>
        <v>011</v>
      </c>
      <c r="J468" t="str">
        <f t="shared" si="359"/>
        <v>0</v>
      </c>
      <c r="K468">
        <f t="shared" si="360"/>
        <v>0</v>
      </c>
      <c r="M468" s="21" t="s">
        <v>78</v>
      </c>
      <c r="N468" s="26" t="s">
        <v>147</v>
      </c>
      <c r="O468">
        <v>0</v>
      </c>
      <c r="Q468" s="1" t="b">
        <f t="shared" si="361"/>
        <v>1</v>
      </c>
      <c r="R468" t="b">
        <f t="shared" si="362"/>
        <v>1</v>
      </c>
      <c r="S468" t="b">
        <f t="shared" si="363"/>
        <v>1</v>
      </c>
    </row>
    <row r="469" spans="2:19" x14ac:dyDescent="0.15">
      <c r="B469" s="23"/>
      <c r="C469" s="2" t="s">
        <v>87</v>
      </c>
      <c r="D469" s="2" t="s">
        <v>46</v>
      </c>
      <c r="E469" s="11" t="s">
        <v>150</v>
      </c>
      <c r="F469" s="13" t="s">
        <v>15</v>
      </c>
      <c r="G469" s="2">
        <v>2</v>
      </c>
      <c r="H469" s="2">
        <v>0</v>
      </c>
      <c r="I469" s="3" t="str">
        <f t="shared" ref="I469:I473" si="364">TESTdivide(E469,F469,G469,H469)</f>
        <v>011</v>
      </c>
      <c r="J469" s="2" t="str">
        <f t="shared" ref="J469:J473" si="365">TESTdivideByRef1(E469,F469,G469,H469)</f>
        <v>1</v>
      </c>
      <c r="K469" s="2">
        <f t="shared" ref="K469:K473" si="366">TESTdivideByRef2(E469,F469,G469,H469)</f>
        <v>0</v>
      </c>
      <c r="L469" s="2"/>
      <c r="M469" s="20" t="s">
        <v>78</v>
      </c>
      <c r="N469" s="25" t="s">
        <v>44</v>
      </c>
      <c r="O469" s="2">
        <v>0</v>
      </c>
      <c r="P469" s="2"/>
      <c r="Q469" s="3" t="b">
        <f t="shared" ref="Q469:Q471" si="367">getText(I469)=getText(M469)</f>
        <v>1</v>
      </c>
      <c r="R469" s="2" t="b">
        <f t="shared" ref="R469:R471" si="368">getText(J469)=getText(N469)</f>
        <v>1</v>
      </c>
      <c r="S469" s="2" t="b">
        <f t="shared" ref="S469:S471" si="369">getText(K469)=getText(O469)</f>
        <v>1</v>
      </c>
    </row>
    <row r="470" spans="2:19" x14ac:dyDescent="0.15">
      <c r="B470" s="23"/>
      <c r="D470" t="s">
        <v>47</v>
      </c>
      <c r="E470" s="9" t="s">
        <v>31</v>
      </c>
      <c r="F470" s="14" t="s">
        <v>15</v>
      </c>
      <c r="G470">
        <v>10</v>
      </c>
      <c r="H470" s="7">
        <v>0</v>
      </c>
      <c r="I470" s="1" t="str">
        <f t="shared" si="364"/>
        <v>011</v>
      </c>
      <c r="J470" t="str">
        <f t="shared" si="365"/>
        <v>1</v>
      </c>
      <c r="K470">
        <f t="shared" si="366"/>
        <v>0</v>
      </c>
      <c r="M470" s="21" t="s">
        <v>78</v>
      </c>
      <c r="N470" s="26" t="s">
        <v>44</v>
      </c>
      <c r="O470">
        <v>0</v>
      </c>
      <c r="Q470" s="1" t="b">
        <f t="shared" si="367"/>
        <v>1</v>
      </c>
      <c r="R470" t="b">
        <f t="shared" si="368"/>
        <v>1</v>
      </c>
      <c r="S470" t="b">
        <f t="shared" si="369"/>
        <v>1</v>
      </c>
    </row>
    <row r="471" spans="2:19" x14ac:dyDescent="0.15">
      <c r="D471" t="s">
        <v>49</v>
      </c>
      <c r="E471" s="9" t="s">
        <v>31</v>
      </c>
      <c r="F471" s="14" t="s">
        <v>15</v>
      </c>
      <c r="G471">
        <v>16</v>
      </c>
      <c r="H471" s="7">
        <v>0</v>
      </c>
      <c r="I471" s="1" t="str">
        <f t="shared" si="364"/>
        <v>011</v>
      </c>
      <c r="J471" t="str">
        <f t="shared" si="365"/>
        <v>1</v>
      </c>
      <c r="K471">
        <f t="shared" si="366"/>
        <v>0</v>
      </c>
      <c r="M471" s="21" t="s">
        <v>78</v>
      </c>
      <c r="N471" s="26" t="s">
        <v>44</v>
      </c>
      <c r="O471">
        <v>0</v>
      </c>
      <c r="Q471" s="1" t="b">
        <f t="shared" si="367"/>
        <v>1</v>
      </c>
      <c r="R471" t="b">
        <f t="shared" si="368"/>
        <v>1</v>
      </c>
      <c r="S471" t="b">
        <f t="shared" si="369"/>
        <v>1</v>
      </c>
    </row>
    <row r="472" spans="2:19" x14ac:dyDescent="0.15">
      <c r="C472" s="2" t="s">
        <v>97</v>
      </c>
      <c r="D472" s="2" t="s">
        <v>47</v>
      </c>
      <c r="E472" s="11" t="s">
        <v>151</v>
      </c>
      <c r="F472" s="13" t="s">
        <v>15</v>
      </c>
      <c r="G472" s="2">
        <v>10</v>
      </c>
      <c r="H472" s="24">
        <v>0</v>
      </c>
      <c r="I472" s="3" t="str">
        <f t="shared" si="364"/>
        <v>011</v>
      </c>
      <c r="J472" s="2" t="str">
        <f t="shared" si="365"/>
        <v>9</v>
      </c>
      <c r="K472" s="2">
        <f t="shared" si="366"/>
        <v>0</v>
      </c>
      <c r="L472" s="2"/>
      <c r="M472" s="20" t="s">
        <v>78</v>
      </c>
      <c r="N472" s="25" t="s">
        <v>101</v>
      </c>
      <c r="O472" s="2">
        <v>0</v>
      </c>
      <c r="P472" s="2"/>
      <c r="Q472" s="3" t="b">
        <f t="shared" ref="Q472:Q473" si="370">getText(I472)=getText(M472)</f>
        <v>1</v>
      </c>
      <c r="R472" s="2" t="b">
        <f t="shared" ref="R472:R473" si="371">getText(J472)=getText(N472)</f>
        <v>1</v>
      </c>
      <c r="S472" s="2" t="b">
        <f t="shared" ref="S472:S473" si="372">getText(K472)=getText(O472)</f>
        <v>1</v>
      </c>
    </row>
    <row r="473" spans="2:19" x14ac:dyDescent="0.15">
      <c r="D473" t="s">
        <v>49</v>
      </c>
      <c r="E473" s="9" t="s">
        <v>152</v>
      </c>
      <c r="F473" s="14" t="s">
        <v>15</v>
      </c>
      <c r="G473">
        <v>16</v>
      </c>
      <c r="H473" s="7">
        <v>0</v>
      </c>
      <c r="I473" s="1" t="str">
        <f t="shared" si="364"/>
        <v>011</v>
      </c>
      <c r="J473" t="str">
        <f t="shared" si="365"/>
        <v>F</v>
      </c>
      <c r="K473">
        <f t="shared" si="366"/>
        <v>0</v>
      </c>
      <c r="M473" s="21" t="s">
        <v>78</v>
      </c>
      <c r="N473" s="26" t="s">
        <v>99</v>
      </c>
      <c r="O473">
        <v>0</v>
      </c>
      <c r="Q473" s="1" t="b">
        <f t="shared" si="370"/>
        <v>1</v>
      </c>
      <c r="R473" t="b">
        <f t="shared" si="371"/>
        <v>1</v>
      </c>
      <c r="S473" t="b">
        <f t="shared" si="372"/>
        <v>1</v>
      </c>
    </row>
    <row r="474" spans="2:19" x14ac:dyDescent="0.15">
      <c r="B474" s="22" t="s">
        <v>91</v>
      </c>
      <c r="C474" s="2" t="s">
        <v>86</v>
      </c>
      <c r="D474" s="2" t="s">
        <v>46</v>
      </c>
      <c r="E474" s="11" t="s">
        <v>148</v>
      </c>
      <c r="F474" s="13" t="s">
        <v>15</v>
      </c>
      <c r="G474" s="2">
        <v>2</v>
      </c>
      <c r="H474" s="2">
        <v>0</v>
      </c>
      <c r="I474" s="3" t="str">
        <f t="shared" ref="I474:I476" si="373">TESTdivide(E474,F474,G474,H474)</f>
        <v>011</v>
      </c>
      <c r="J474" s="2" t="str">
        <f t="shared" ref="J474:J476" si="374">TESTdivideByRef1(E474,F474,G474,H474)</f>
        <v>0</v>
      </c>
      <c r="K474" s="2">
        <f t="shared" ref="K474:K476" si="375">TESTdivideByRef2(E474,F474,G474,H474)</f>
        <v>0</v>
      </c>
      <c r="L474" s="2"/>
      <c r="M474" s="20" t="s">
        <v>149</v>
      </c>
      <c r="N474" s="25" t="s">
        <v>156</v>
      </c>
      <c r="O474" s="2">
        <v>0</v>
      </c>
      <c r="P474" s="2"/>
      <c r="Q474" s="3" t="b">
        <f t="shared" ref="Q474:Q476" si="376">getText(I474)=getText(M474)</f>
        <v>1</v>
      </c>
      <c r="R474" s="2" t="b">
        <f t="shared" ref="R474:R476" si="377">getText(J474)=getText(N474)</f>
        <v>1</v>
      </c>
      <c r="S474" s="2" t="b">
        <f t="shared" ref="S474:S476" si="378">getText(K474)=getText(O474)</f>
        <v>1</v>
      </c>
    </row>
    <row r="475" spans="2:19" x14ac:dyDescent="0.15">
      <c r="B475" s="23"/>
      <c r="D475" t="s">
        <v>47</v>
      </c>
      <c r="E475" s="9" t="s">
        <v>153</v>
      </c>
      <c r="F475" s="14" t="s">
        <v>15</v>
      </c>
      <c r="G475">
        <v>10</v>
      </c>
      <c r="H475" s="7">
        <v>0</v>
      </c>
      <c r="I475" s="1" t="str">
        <f t="shared" si="373"/>
        <v>099</v>
      </c>
      <c r="J475" t="str">
        <f t="shared" si="374"/>
        <v>0</v>
      </c>
      <c r="K475">
        <f t="shared" si="375"/>
        <v>0</v>
      </c>
      <c r="M475" s="21" t="s">
        <v>155</v>
      </c>
      <c r="N475" s="26" t="s">
        <v>146</v>
      </c>
      <c r="O475">
        <v>0</v>
      </c>
      <c r="Q475" s="1" t="b">
        <f t="shared" si="376"/>
        <v>1</v>
      </c>
      <c r="R475" t="b">
        <f t="shared" si="377"/>
        <v>1</v>
      </c>
      <c r="S475" t="b">
        <f t="shared" si="378"/>
        <v>1</v>
      </c>
    </row>
    <row r="476" spans="2:19" x14ac:dyDescent="0.15">
      <c r="B476" s="23"/>
      <c r="D476" t="s">
        <v>49</v>
      </c>
      <c r="E476" s="9" t="s">
        <v>160</v>
      </c>
      <c r="F476" s="14" t="s">
        <v>15</v>
      </c>
      <c r="G476">
        <v>16</v>
      </c>
      <c r="H476" s="7">
        <v>0</v>
      </c>
      <c r="I476" s="1" t="str">
        <f t="shared" si="373"/>
        <v>0FF</v>
      </c>
      <c r="J476" t="str">
        <f t="shared" si="374"/>
        <v>0</v>
      </c>
      <c r="K476">
        <f t="shared" si="375"/>
        <v>0</v>
      </c>
      <c r="M476" s="21" t="s">
        <v>158</v>
      </c>
      <c r="N476" s="26" t="s">
        <v>159</v>
      </c>
      <c r="O476">
        <v>0</v>
      </c>
      <c r="Q476" s="1" t="b">
        <f t="shared" si="376"/>
        <v>1</v>
      </c>
      <c r="R476" t="b">
        <f t="shared" si="377"/>
        <v>1</v>
      </c>
      <c r="S476" t="b">
        <f t="shared" si="378"/>
        <v>1</v>
      </c>
    </row>
    <row r="477" spans="2:19" x14ac:dyDescent="0.15">
      <c r="B477" s="23"/>
      <c r="C477" s="2" t="s">
        <v>87</v>
      </c>
      <c r="D477" s="2" t="s">
        <v>46</v>
      </c>
      <c r="E477" s="11" t="s">
        <v>161</v>
      </c>
      <c r="F477" s="13" t="s">
        <v>15</v>
      </c>
      <c r="G477" s="2">
        <v>2</v>
      </c>
      <c r="H477" s="2">
        <v>0</v>
      </c>
      <c r="I477" s="3" t="str">
        <f t="shared" ref="I477:I479" si="379">TESTdivide(E477,F477,G477,H477)</f>
        <v>011</v>
      </c>
      <c r="J477" s="2" t="str">
        <f t="shared" ref="J477:J479" si="380">TESTdivideByRef1(E477,F477,G477,H477)</f>
        <v>1</v>
      </c>
      <c r="K477" s="2">
        <f t="shared" ref="K477:K479" si="381">TESTdivideByRef2(E477,F477,G477,H477)</f>
        <v>0</v>
      </c>
      <c r="L477" s="2"/>
      <c r="M477" s="20" t="s">
        <v>78</v>
      </c>
      <c r="N477" s="25" t="s">
        <v>44</v>
      </c>
      <c r="O477" s="2">
        <v>0</v>
      </c>
      <c r="P477" s="2"/>
      <c r="Q477" s="3" t="b">
        <f t="shared" ref="Q477:Q479" si="382">getText(I477)=getText(M477)</f>
        <v>1</v>
      </c>
      <c r="R477" s="2" t="b">
        <f t="shared" ref="R477:R479" si="383">getText(J477)=getText(N477)</f>
        <v>1</v>
      </c>
      <c r="S477" s="2" t="b">
        <f t="shared" ref="S477:S479" si="384">getText(K477)=getText(O477)</f>
        <v>1</v>
      </c>
    </row>
    <row r="478" spans="2:19" x14ac:dyDescent="0.15">
      <c r="B478" s="23"/>
      <c r="D478" t="s">
        <v>47</v>
      </c>
      <c r="E478" s="9" t="s">
        <v>162</v>
      </c>
      <c r="F478" s="14" t="s">
        <v>15</v>
      </c>
      <c r="G478">
        <v>10</v>
      </c>
      <c r="H478" s="7">
        <v>0</v>
      </c>
      <c r="I478" s="1" t="str">
        <f t="shared" si="379"/>
        <v>099</v>
      </c>
      <c r="J478" t="str">
        <f t="shared" si="380"/>
        <v>1</v>
      </c>
      <c r="K478">
        <f t="shared" si="381"/>
        <v>0</v>
      </c>
      <c r="M478" s="21" t="s">
        <v>154</v>
      </c>
      <c r="N478" s="26" t="s">
        <v>44</v>
      </c>
      <c r="O478">
        <v>0</v>
      </c>
      <c r="Q478" s="1" t="b">
        <f t="shared" si="382"/>
        <v>1</v>
      </c>
      <c r="R478" t="b">
        <f t="shared" si="383"/>
        <v>1</v>
      </c>
      <c r="S478" t="b">
        <f t="shared" si="384"/>
        <v>1</v>
      </c>
    </row>
    <row r="479" spans="2:19" x14ac:dyDescent="0.15">
      <c r="D479" t="s">
        <v>49</v>
      </c>
      <c r="E479" s="9" t="s">
        <v>163</v>
      </c>
      <c r="F479" s="14" t="s">
        <v>15</v>
      </c>
      <c r="G479">
        <v>16</v>
      </c>
      <c r="H479" s="7">
        <v>0</v>
      </c>
      <c r="I479" s="1" t="str">
        <f t="shared" si="379"/>
        <v>0FF</v>
      </c>
      <c r="J479" t="str">
        <f t="shared" si="380"/>
        <v>1</v>
      </c>
      <c r="K479">
        <f t="shared" si="381"/>
        <v>0</v>
      </c>
      <c r="M479" s="21" t="s">
        <v>157</v>
      </c>
      <c r="N479" s="26" t="s">
        <v>44</v>
      </c>
      <c r="O479">
        <v>0</v>
      </c>
      <c r="Q479" s="1" t="b">
        <f t="shared" si="382"/>
        <v>1</v>
      </c>
      <c r="R479" t="b">
        <f t="shared" si="383"/>
        <v>1</v>
      </c>
      <c r="S479" t="b">
        <f t="shared" si="384"/>
        <v>1</v>
      </c>
    </row>
    <row r="480" spans="2:19" x14ac:dyDescent="0.15">
      <c r="C480" s="2" t="s">
        <v>97</v>
      </c>
      <c r="D480" s="2" t="s">
        <v>47</v>
      </c>
      <c r="E480" s="11" t="s">
        <v>164</v>
      </c>
      <c r="F480" s="13" t="s">
        <v>15</v>
      </c>
      <c r="G480" s="2">
        <v>10</v>
      </c>
      <c r="H480" s="24">
        <v>0</v>
      </c>
      <c r="I480" s="3" t="str">
        <f t="shared" ref="I480:I481" si="385">TESTdivide(E480,F480,G480,H480)</f>
        <v>099</v>
      </c>
      <c r="J480" s="2" t="str">
        <f t="shared" ref="J480:J481" si="386">TESTdivideByRef1(E480,F480,G480,H480)</f>
        <v>9</v>
      </c>
      <c r="K480" s="2">
        <f t="shared" ref="K480:K481" si="387">TESTdivideByRef2(E480,F480,G480,H480)</f>
        <v>0</v>
      </c>
      <c r="L480" s="2"/>
      <c r="M480" s="20" t="s">
        <v>154</v>
      </c>
      <c r="N480" s="25" t="s">
        <v>101</v>
      </c>
      <c r="O480" s="2">
        <v>0</v>
      </c>
      <c r="P480" s="2"/>
      <c r="Q480" s="3" t="b">
        <f t="shared" ref="Q480:Q481" si="388">getText(I480)=getText(M480)</f>
        <v>1</v>
      </c>
      <c r="R480" s="2" t="b">
        <f t="shared" ref="R480:R481" si="389">getText(J480)=getText(N480)</f>
        <v>1</v>
      </c>
      <c r="S480" s="2" t="b">
        <f t="shared" ref="S480:S481" si="390">getText(K480)=getText(O480)</f>
        <v>1</v>
      </c>
    </row>
    <row r="481" spans="2:19" x14ac:dyDescent="0.15">
      <c r="D481" t="s">
        <v>49</v>
      </c>
      <c r="E481" s="9" t="s">
        <v>165</v>
      </c>
      <c r="F481" s="14" t="s">
        <v>15</v>
      </c>
      <c r="G481">
        <v>16</v>
      </c>
      <c r="H481" s="7">
        <v>0</v>
      </c>
      <c r="I481" s="1" t="str">
        <f t="shared" si="385"/>
        <v>0FF</v>
      </c>
      <c r="J481" t="str">
        <f t="shared" si="386"/>
        <v>F</v>
      </c>
      <c r="K481">
        <f t="shared" si="387"/>
        <v>0</v>
      </c>
      <c r="M481" s="21" t="s">
        <v>157</v>
      </c>
      <c r="N481" s="26" t="s">
        <v>99</v>
      </c>
      <c r="O481">
        <v>0</v>
      </c>
      <c r="Q481" s="1" t="b">
        <f t="shared" si="388"/>
        <v>1</v>
      </c>
      <c r="R481" t="b">
        <f t="shared" si="389"/>
        <v>1</v>
      </c>
      <c r="S481" t="b">
        <f t="shared" si="390"/>
        <v>1</v>
      </c>
    </row>
    <row r="482" spans="2:19" x14ac:dyDescent="0.15">
      <c r="B482" s="22" t="s">
        <v>92</v>
      </c>
      <c r="C482" s="2" t="s">
        <v>86</v>
      </c>
      <c r="D482" s="2" t="s">
        <v>46</v>
      </c>
      <c r="E482" s="11" t="s">
        <v>166</v>
      </c>
      <c r="F482" s="13" t="s">
        <v>15</v>
      </c>
      <c r="G482" s="2">
        <v>2</v>
      </c>
      <c r="H482" s="2">
        <v>0</v>
      </c>
      <c r="I482" s="3" t="str">
        <f t="shared" ref="I482:I484" si="391">TESTdivide(E482,F482,G482,H482)</f>
        <v>0100</v>
      </c>
      <c r="J482" s="2" t="str">
        <f t="shared" ref="J482:J484" si="392">TESTdivideByRef1(E482,F482,G482,H482)</f>
        <v>0</v>
      </c>
      <c r="K482" s="2">
        <f t="shared" ref="K482:K484" si="393">TESTdivideByRef2(E482,F482,G482,H482)</f>
        <v>0</v>
      </c>
      <c r="L482" s="2"/>
      <c r="M482" s="20" t="s">
        <v>167</v>
      </c>
      <c r="N482" s="25" t="s">
        <v>14</v>
      </c>
      <c r="O482" s="2">
        <v>0</v>
      </c>
      <c r="P482" s="2"/>
      <c r="Q482" s="3" t="b">
        <f t="shared" ref="Q482:Q484" si="394">getText(I482)=getText(M482)</f>
        <v>1</v>
      </c>
      <c r="R482" s="2" t="b">
        <f t="shared" ref="R482:R484" si="395">getText(J482)=getText(N482)</f>
        <v>1</v>
      </c>
      <c r="S482" s="2" t="b">
        <f t="shared" ref="S482:S484" si="396">getText(K482)=getText(O482)</f>
        <v>1</v>
      </c>
    </row>
    <row r="483" spans="2:19" x14ac:dyDescent="0.15">
      <c r="B483" s="23"/>
      <c r="D483" t="s">
        <v>47</v>
      </c>
      <c r="E483" s="9" t="s">
        <v>166</v>
      </c>
      <c r="F483" s="14" t="s">
        <v>15</v>
      </c>
      <c r="G483">
        <v>10</v>
      </c>
      <c r="H483" s="7">
        <v>0</v>
      </c>
      <c r="I483" s="1" t="str">
        <f t="shared" si="391"/>
        <v>0100</v>
      </c>
      <c r="J483" t="str">
        <f t="shared" si="392"/>
        <v>0</v>
      </c>
      <c r="K483">
        <f t="shared" si="393"/>
        <v>0</v>
      </c>
      <c r="M483" s="21" t="s">
        <v>167</v>
      </c>
      <c r="N483" s="26" t="s">
        <v>14</v>
      </c>
      <c r="O483">
        <v>0</v>
      </c>
      <c r="Q483" s="1" t="b">
        <f t="shared" si="394"/>
        <v>1</v>
      </c>
      <c r="R483" t="b">
        <f t="shared" si="395"/>
        <v>1</v>
      </c>
      <c r="S483" t="b">
        <f t="shared" si="396"/>
        <v>1</v>
      </c>
    </row>
    <row r="484" spans="2:19" x14ac:dyDescent="0.15">
      <c r="B484" s="23"/>
      <c r="D484" t="s">
        <v>49</v>
      </c>
      <c r="E484" s="9" t="s">
        <v>166</v>
      </c>
      <c r="F484" s="14" t="s">
        <v>15</v>
      </c>
      <c r="G484">
        <v>16</v>
      </c>
      <c r="H484" s="7">
        <v>0</v>
      </c>
      <c r="I484" s="1" t="str">
        <f t="shared" si="391"/>
        <v>0100</v>
      </c>
      <c r="J484" t="str">
        <f t="shared" si="392"/>
        <v>0</v>
      </c>
      <c r="K484">
        <f t="shared" si="393"/>
        <v>0</v>
      </c>
      <c r="M484" s="21" t="s">
        <v>167</v>
      </c>
      <c r="N484" s="26" t="s">
        <v>14</v>
      </c>
      <c r="O484">
        <v>0</v>
      </c>
      <c r="Q484" s="1" t="b">
        <f t="shared" si="394"/>
        <v>1</v>
      </c>
      <c r="R484" t="b">
        <f t="shared" si="395"/>
        <v>1</v>
      </c>
      <c r="S484" t="b">
        <f t="shared" si="396"/>
        <v>1</v>
      </c>
    </row>
    <row r="485" spans="2:19" x14ac:dyDescent="0.15">
      <c r="B485" s="23"/>
      <c r="C485" s="2" t="s">
        <v>87</v>
      </c>
      <c r="D485" s="2" t="s">
        <v>46</v>
      </c>
      <c r="E485" s="11" t="s">
        <v>168</v>
      </c>
      <c r="F485" s="13" t="s">
        <v>15</v>
      </c>
      <c r="G485" s="2">
        <v>2</v>
      </c>
      <c r="H485" s="2">
        <v>0</v>
      </c>
      <c r="I485" s="3" t="str">
        <f t="shared" ref="I485:I487" si="397">TESTdivide(E485,F485,G485,H485)</f>
        <v>0100</v>
      </c>
      <c r="J485" s="2" t="str">
        <f t="shared" ref="J485:J487" si="398">TESTdivideByRef1(E485,F485,G485,H485)</f>
        <v>1</v>
      </c>
      <c r="K485" s="2">
        <f t="shared" ref="K485:K487" si="399">TESTdivideByRef2(E485,F485,G485,H485)</f>
        <v>0</v>
      </c>
      <c r="L485" s="2"/>
      <c r="M485" s="20" t="s">
        <v>167</v>
      </c>
      <c r="N485" s="25" t="s">
        <v>44</v>
      </c>
      <c r="O485" s="2">
        <v>0</v>
      </c>
      <c r="P485" s="2"/>
      <c r="Q485" s="3" t="b">
        <f t="shared" ref="Q485:Q487" si="400">getText(I485)=getText(M485)</f>
        <v>1</v>
      </c>
      <c r="R485" s="2" t="b">
        <f t="shared" ref="R485:R487" si="401">getText(J485)=getText(N485)</f>
        <v>1</v>
      </c>
      <c r="S485" s="2" t="b">
        <f t="shared" ref="S485:S487" si="402">getText(K485)=getText(O485)</f>
        <v>1</v>
      </c>
    </row>
    <row r="486" spans="2:19" x14ac:dyDescent="0.15">
      <c r="B486" s="23"/>
      <c r="D486" t="s">
        <v>47</v>
      </c>
      <c r="E486" s="9" t="s">
        <v>168</v>
      </c>
      <c r="F486" s="14" t="s">
        <v>15</v>
      </c>
      <c r="G486">
        <v>10</v>
      </c>
      <c r="H486" s="7">
        <v>0</v>
      </c>
      <c r="I486" s="1" t="str">
        <f t="shared" si="397"/>
        <v>0100</v>
      </c>
      <c r="J486" t="str">
        <f t="shared" si="398"/>
        <v>1</v>
      </c>
      <c r="K486">
        <f t="shared" si="399"/>
        <v>0</v>
      </c>
      <c r="M486" s="21" t="s">
        <v>167</v>
      </c>
      <c r="N486" s="26" t="s">
        <v>44</v>
      </c>
      <c r="O486">
        <v>0</v>
      </c>
      <c r="Q486" s="1" t="b">
        <f t="shared" si="400"/>
        <v>1</v>
      </c>
      <c r="R486" t="b">
        <f t="shared" si="401"/>
        <v>1</v>
      </c>
      <c r="S486" t="b">
        <f t="shared" si="402"/>
        <v>1</v>
      </c>
    </row>
    <row r="487" spans="2:19" x14ac:dyDescent="0.15">
      <c r="D487" t="s">
        <v>49</v>
      </c>
      <c r="E487" s="9" t="s">
        <v>168</v>
      </c>
      <c r="F487" s="14" t="s">
        <v>15</v>
      </c>
      <c r="G487">
        <v>16</v>
      </c>
      <c r="H487" s="7">
        <v>0</v>
      </c>
      <c r="I487" s="1" t="str">
        <f t="shared" si="397"/>
        <v>0100</v>
      </c>
      <c r="J487" t="str">
        <f t="shared" si="398"/>
        <v>1</v>
      </c>
      <c r="K487">
        <f t="shared" si="399"/>
        <v>0</v>
      </c>
      <c r="M487" s="21" t="s">
        <v>167</v>
      </c>
      <c r="N487" s="26" t="s">
        <v>44</v>
      </c>
      <c r="O487">
        <v>0</v>
      </c>
      <c r="Q487" s="1" t="b">
        <f t="shared" si="400"/>
        <v>1</v>
      </c>
      <c r="R487" t="b">
        <f t="shared" si="401"/>
        <v>1</v>
      </c>
      <c r="S487" t="b">
        <f t="shared" si="402"/>
        <v>1</v>
      </c>
    </row>
    <row r="488" spans="2:19" x14ac:dyDescent="0.15">
      <c r="C488" s="2" t="s">
        <v>97</v>
      </c>
      <c r="D488" s="2" t="s">
        <v>47</v>
      </c>
      <c r="E488" s="11" t="s">
        <v>169</v>
      </c>
      <c r="F488" s="13" t="s">
        <v>15</v>
      </c>
      <c r="G488" s="2">
        <v>10</v>
      </c>
      <c r="H488" s="24">
        <v>0</v>
      </c>
      <c r="I488" s="3" t="str">
        <f t="shared" ref="I488:I489" si="403">TESTdivide(E488,F488,G488,H488)</f>
        <v>0100</v>
      </c>
      <c r="J488" s="2" t="str">
        <f t="shared" ref="J488:J489" si="404">TESTdivideByRef1(E488,F488,G488,H488)</f>
        <v>9</v>
      </c>
      <c r="K488" s="2">
        <f t="shared" ref="K488:K489" si="405">TESTdivideByRef2(E488,F488,G488,H488)</f>
        <v>0</v>
      </c>
      <c r="L488" s="2"/>
      <c r="M488" s="20" t="s">
        <v>167</v>
      </c>
      <c r="N488" s="25" t="s">
        <v>101</v>
      </c>
      <c r="O488" s="2">
        <v>0</v>
      </c>
      <c r="P488" s="2"/>
      <c r="Q488" s="3" t="b">
        <f t="shared" ref="Q488:Q489" si="406">getText(I488)=getText(M488)</f>
        <v>1</v>
      </c>
      <c r="R488" s="2" t="b">
        <f t="shared" ref="R488:R489" si="407">getText(J488)=getText(N488)</f>
        <v>1</v>
      </c>
      <c r="S488" s="2" t="b">
        <f t="shared" ref="S488:S489" si="408">getText(K488)=getText(O488)</f>
        <v>1</v>
      </c>
    </row>
    <row r="489" spans="2:19" x14ac:dyDescent="0.15">
      <c r="D489" t="s">
        <v>49</v>
      </c>
      <c r="E489" s="9" t="s">
        <v>170</v>
      </c>
      <c r="F489" s="14" t="s">
        <v>15</v>
      </c>
      <c r="G489">
        <v>16</v>
      </c>
      <c r="H489" s="7">
        <v>0</v>
      </c>
      <c r="I489" s="1" t="str">
        <f t="shared" si="403"/>
        <v>0100</v>
      </c>
      <c r="J489" t="str">
        <f t="shared" si="404"/>
        <v>F</v>
      </c>
      <c r="K489">
        <f t="shared" si="405"/>
        <v>0</v>
      </c>
      <c r="M489" s="21" t="s">
        <v>167</v>
      </c>
      <c r="N489" s="26" t="s">
        <v>99</v>
      </c>
      <c r="O489">
        <v>0</v>
      </c>
      <c r="Q489" s="1" t="b">
        <f t="shared" si="406"/>
        <v>1</v>
      </c>
      <c r="R489" t="b">
        <f t="shared" si="407"/>
        <v>1</v>
      </c>
      <c r="S489" t="b">
        <f t="shared" si="408"/>
        <v>1</v>
      </c>
    </row>
    <row r="490" spans="2:19" x14ac:dyDescent="0.15">
      <c r="B490" s="22" t="s">
        <v>93</v>
      </c>
      <c r="C490" s="2" t="s">
        <v>86</v>
      </c>
      <c r="D490" s="2" t="s">
        <v>46</v>
      </c>
      <c r="E490" s="11" t="s">
        <v>171</v>
      </c>
      <c r="F490" s="13" t="s">
        <v>15</v>
      </c>
      <c r="G490" s="2">
        <v>2</v>
      </c>
      <c r="H490" s="2">
        <v>0</v>
      </c>
      <c r="I490" s="3" t="str">
        <f t="shared" ref="I490:I492" si="409">TESTdivide(E490,F490,G490,H490)</f>
        <v>0101</v>
      </c>
      <c r="J490" s="2" t="str">
        <f t="shared" ref="J490:J492" si="410">TESTdivideByRef1(E490,F490,G490,H490)</f>
        <v>0</v>
      </c>
      <c r="K490" s="2">
        <f t="shared" ref="K490:K492" si="411">TESTdivideByRef2(E490,F490,G490,H490)</f>
        <v>0</v>
      </c>
      <c r="L490" s="2"/>
      <c r="M490" s="20" t="s">
        <v>172</v>
      </c>
      <c r="N490" s="25" t="s">
        <v>14</v>
      </c>
      <c r="O490" s="2">
        <v>0</v>
      </c>
      <c r="P490" s="2"/>
      <c r="Q490" s="3" t="b">
        <f t="shared" ref="Q490:Q492" si="412">getText(I490)=getText(M490)</f>
        <v>1</v>
      </c>
      <c r="R490" s="2" t="b">
        <f t="shared" ref="R490:R492" si="413">getText(J490)=getText(N490)</f>
        <v>1</v>
      </c>
      <c r="S490" s="2" t="b">
        <f t="shared" ref="S490:S492" si="414">getText(K490)=getText(O490)</f>
        <v>1</v>
      </c>
    </row>
    <row r="491" spans="2:19" x14ac:dyDescent="0.15">
      <c r="B491" s="23"/>
      <c r="D491" t="s">
        <v>47</v>
      </c>
      <c r="E491" s="9" t="s">
        <v>171</v>
      </c>
      <c r="F491" s="14" t="s">
        <v>15</v>
      </c>
      <c r="G491">
        <v>10</v>
      </c>
      <c r="H491" s="7">
        <v>0</v>
      </c>
      <c r="I491" s="1" t="str">
        <f t="shared" si="409"/>
        <v>0101</v>
      </c>
      <c r="J491" t="str">
        <f t="shared" si="410"/>
        <v>0</v>
      </c>
      <c r="K491">
        <f t="shared" si="411"/>
        <v>0</v>
      </c>
      <c r="M491" s="21" t="s">
        <v>172</v>
      </c>
      <c r="N491" s="26" t="s">
        <v>14</v>
      </c>
      <c r="O491">
        <v>0</v>
      </c>
      <c r="Q491" s="1" t="b">
        <f t="shared" si="412"/>
        <v>1</v>
      </c>
      <c r="R491" t="b">
        <f t="shared" si="413"/>
        <v>1</v>
      </c>
      <c r="S491" t="b">
        <f t="shared" si="414"/>
        <v>1</v>
      </c>
    </row>
    <row r="492" spans="2:19" x14ac:dyDescent="0.15">
      <c r="B492" s="23"/>
      <c r="D492" t="s">
        <v>49</v>
      </c>
      <c r="E492" s="9" t="s">
        <v>171</v>
      </c>
      <c r="F492" s="14" t="s">
        <v>15</v>
      </c>
      <c r="G492">
        <v>16</v>
      </c>
      <c r="H492" s="7">
        <v>0</v>
      </c>
      <c r="I492" s="1" t="str">
        <f t="shared" si="409"/>
        <v>0101</v>
      </c>
      <c r="J492" t="str">
        <f t="shared" si="410"/>
        <v>0</v>
      </c>
      <c r="K492">
        <f t="shared" si="411"/>
        <v>0</v>
      </c>
      <c r="M492" s="21" t="s">
        <v>172</v>
      </c>
      <c r="N492" s="26" t="s">
        <v>14</v>
      </c>
      <c r="O492">
        <v>0</v>
      </c>
      <c r="Q492" s="1" t="b">
        <f t="shared" si="412"/>
        <v>1</v>
      </c>
      <c r="R492" t="b">
        <f t="shared" si="413"/>
        <v>1</v>
      </c>
      <c r="S492" t="b">
        <f t="shared" si="414"/>
        <v>1</v>
      </c>
    </row>
    <row r="493" spans="2:19" x14ac:dyDescent="0.15">
      <c r="B493" s="23"/>
      <c r="C493" s="2" t="s">
        <v>87</v>
      </c>
      <c r="D493" s="2" t="s">
        <v>46</v>
      </c>
      <c r="E493" s="11" t="s">
        <v>174</v>
      </c>
      <c r="F493" s="13" t="s">
        <v>15</v>
      </c>
      <c r="G493" s="2">
        <v>2</v>
      </c>
      <c r="H493" s="2">
        <v>0</v>
      </c>
      <c r="I493" s="3" t="str">
        <f t="shared" ref="I493:I495" si="415">TESTdivide(E493,F493,G493,H493)</f>
        <v>0101</v>
      </c>
      <c r="J493" s="2" t="str">
        <f t="shared" ref="J493:J495" si="416">TESTdivideByRef1(E493,F493,G493,H493)</f>
        <v>1</v>
      </c>
      <c r="K493" s="2">
        <f t="shared" ref="K493:K495" si="417">TESTdivideByRef2(E493,F493,G493,H493)</f>
        <v>0</v>
      </c>
      <c r="L493" s="2"/>
      <c r="M493" s="20" t="s">
        <v>172</v>
      </c>
      <c r="N493" s="25" t="s">
        <v>44</v>
      </c>
      <c r="O493" s="2">
        <v>0</v>
      </c>
      <c r="P493" s="2"/>
      <c r="Q493" s="3" t="b">
        <f t="shared" ref="Q493:Q495" si="418">getText(I493)=getText(M493)</f>
        <v>1</v>
      </c>
      <c r="R493" s="2" t="b">
        <f t="shared" ref="R493:R495" si="419">getText(J493)=getText(N493)</f>
        <v>1</v>
      </c>
      <c r="S493" s="2" t="b">
        <f t="shared" ref="S493:S495" si="420">getText(K493)=getText(O493)</f>
        <v>1</v>
      </c>
    </row>
    <row r="494" spans="2:19" x14ac:dyDescent="0.15">
      <c r="B494" s="23"/>
      <c r="D494" t="s">
        <v>47</v>
      </c>
      <c r="E494" s="9" t="s">
        <v>173</v>
      </c>
      <c r="F494" s="14" t="s">
        <v>15</v>
      </c>
      <c r="G494">
        <v>10</v>
      </c>
      <c r="H494" s="7">
        <v>0</v>
      </c>
      <c r="I494" s="1" t="str">
        <f t="shared" si="415"/>
        <v>0101</v>
      </c>
      <c r="J494" t="str">
        <f t="shared" si="416"/>
        <v>1</v>
      </c>
      <c r="K494">
        <f t="shared" si="417"/>
        <v>0</v>
      </c>
      <c r="M494" s="21" t="s">
        <v>172</v>
      </c>
      <c r="N494" s="26" t="s">
        <v>44</v>
      </c>
      <c r="O494">
        <v>0</v>
      </c>
      <c r="Q494" s="1" t="b">
        <f t="shared" si="418"/>
        <v>1</v>
      </c>
      <c r="R494" t="b">
        <f t="shared" si="419"/>
        <v>1</v>
      </c>
      <c r="S494" t="b">
        <f t="shared" si="420"/>
        <v>1</v>
      </c>
    </row>
    <row r="495" spans="2:19" x14ac:dyDescent="0.15">
      <c r="D495" t="s">
        <v>49</v>
      </c>
      <c r="E495" s="9" t="s">
        <v>173</v>
      </c>
      <c r="F495" s="14" t="s">
        <v>15</v>
      </c>
      <c r="G495">
        <v>16</v>
      </c>
      <c r="H495" s="7">
        <v>0</v>
      </c>
      <c r="I495" s="1" t="str">
        <f t="shared" si="415"/>
        <v>0101</v>
      </c>
      <c r="J495" t="str">
        <f t="shared" si="416"/>
        <v>1</v>
      </c>
      <c r="K495">
        <f t="shared" si="417"/>
        <v>0</v>
      </c>
      <c r="M495" s="21" t="s">
        <v>172</v>
      </c>
      <c r="N495" s="26" t="s">
        <v>44</v>
      </c>
      <c r="O495">
        <v>0</v>
      </c>
      <c r="Q495" s="1" t="b">
        <f t="shared" si="418"/>
        <v>1</v>
      </c>
      <c r="R495" t="b">
        <f t="shared" si="419"/>
        <v>1</v>
      </c>
      <c r="S495" t="b">
        <f t="shared" si="420"/>
        <v>1</v>
      </c>
    </row>
    <row r="496" spans="2:19" x14ac:dyDescent="0.15">
      <c r="C496" s="2" t="s">
        <v>97</v>
      </c>
      <c r="D496" s="2" t="s">
        <v>47</v>
      </c>
      <c r="E496" s="11" t="s">
        <v>175</v>
      </c>
      <c r="F496" s="13" t="s">
        <v>15</v>
      </c>
      <c r="G496" s="2">
        <v>10</v>
      </c>
      <c r="H496" s="24">
        <v>0</v>
      </c>
      <c r="I496" s="3" t="str">
        <f t="shared" ref="I496:I497" si="421">TESTdivide(E496,F496,G496,H496)</f>
        <v>0101</v>
      </c>
      <c r="J496" s="2" t="str">
        <f t="shared" ref="J496:J497" si="422">TESTdivideByRef1(E496,F496,G496,H496)</f>
        <v>9</v>
      </c>
      <c r="K496" s="2">
        <f t="shared" ref="K496:K497" si="423">TESTdivideByRef2(E496,F496,G496,H496)</f>
        <v>0</v>
      </c>
      <c r="L496" s="2"/>
      <c r="M496" s="20" t="s">
        <v>172</v>
      </c>
      <c r="N496" s="25" t="s">
        <v>101</v>
      </c>
      <c r="O496" s="2">
        <v>0</v>
      </c>
      <c r="P496" s="2"/>
      <c r="Q496" s="3" t="b">
        <f t="shared" ref="Q496:Q497" si="424">getText(I496)=getText(M496)</f>
        <v>1</v>
      </c>
      <c r="R496" s="2" t="b">
        <f t="shared" ref="R496:R497" si="425">getText(J496)=getText(N496)</f>
        <v>1</v>
      </c>
      <c r="S496" s="2" t="b">
        <f t="shared" ref="S496:S497" si="426">getText(K496)=getText(O496)</f>
        <v>1</v>
      </c>
    </row>
    <row r="497" spans="2:19" x14ac:dyDescent="0.15">
      <c r="D497" t="s">
        <v>49</v>
      </c>
      <c r="E497" s="9" t="s">
        <v>176</v>
      </c>
      <c r="F497" s="14" t="s">
        <v>15</v>
      </c>
      <c r="G497">
        <v>16</v>
      </c>
      <c r="H497" s="7">
        <v>0</v>
      </c>
      <c r="I497" s="1" t="str">
        <f t="shared" si="421"/>
        <v>0101</v>
      </c>
      <c r="J497" t="str">
        <f t="shared" si="422"/>
        <v>F</v>
      </c>
      <c r="K497">
        <f t="shared" si="423"/>
        <v>0</v>
      </c>
      <c r="M497" s="21" t="s">
        <v>172</v>
      </c>
      <c r="N497" s="26" t="s">
        <v>99</v>
      </c>
      <c r="O497">
        <v>0</v>
      </c>
      <c r="Q497" s="1" t="b">
        <f t="shared" si="424"/>
        <v>1</v>
      </c>
      <c r="R497" t="b">
        <f t="shared" si="425"/>
        <v>1</v>
      </c>
      <c r="S497" t="b">
        <f t="shared" si="426"/>
        <v>1</v>
      </c>
    </row>
    <row r="498" spans="2:19" x14ac:dyDescent="0.15">
      <c r="B498" s="22" t="s">
        <v>94</v>
      </c>
      <c r="C498" s="2" t="s">
        <v>86</v>
      </c>
      <c r="D498" s="2" t="s">
        <v>46</v>
      </c>
      <c r="E498" s="11" t="s">
        <v>183</v>
      </c>
      <c r="F498" s="13" t="s">
        <v>15</v>
      </c>
      <c r="G498" s="2">
        <v>2</v>
      </c>
      <c r="H498" s="2">
        <v>0</v>
      </c>
      <c r="I498" s="3" t="str">
        <f t="shared" ref="I498:I500" si="427">TESTdivide(E498,F498,G498,H498)</f>
        <v>0111</v>
      </c>
      <c r="J498" s="2" t="str">
        <f t="shared" ref="J498:J500" si="428">TESTdivideByRef1(E498,F498,G498,H498)</f>
        <v>0</v>
      </c>
      <c r="K498" s="2">
        <f t="shared" ref="K498:K500" si="429">TESTdivideByRef2(E498,F498,G498,H498)</f>
        <v>0</v>
      </c>
      <c r="L498" s="2"/>
      <c r="M498" s="20" t="s">
        <v>188</v>
      </c>
      <c r="N498" s="25" t="s">
        <v>14</v>
      </c>
      <c r="O498" s="2">
        <v>0</v>
      </c>
      <c r="P498" s="2"/>
      <c r="Q498" s="3" t="b">
        <f t="shared" ref="Q498:Q500" si="430">getText(I498)=getText(M498)</f>
        <v>1</v>
      </c>
      <c r="R498" s="2" t="b">
        <f t="shared" ref="R498:R500" si="431">getText(J498)=getText(N498)</f>
        <v>1</v>
      </c>
      <c r="S498" s="2" t="b">
        <f t="shared" ref="S498:S500" si="432">getText(K498)=getText(O498)</f>
        <v>1</v>
      </c>
    </row>
    <row r="499" spans="2:19" x14ac:dyDescent="0.15">
      <c r="B499" s="23"/>
      <c r="D499" t="s">
        <v>47</v>
      </c>
      <c r="E499" s="9" t="s">
        <v>183</v>
      </c>
      <c r="F499" s="14" t="s">
        <v>15</v>
      </c>
      <c r="G499">
        <v>10</v>
      </c>
      <c r="H499" s="7">
        <v>0</v>
      </c>
      <c r="I499" s="1" t="str">
        <f t="shared" si="427"/>
        <v>0111</v>
      </c>
      <c r="J499" t="str">
        <f t="shared" si="428"/>
        <v>0</v>
      </c>
      <c r="K499">
        <f t="shared" si="429"/>
        <v>0</v>
      </c>
      <c r="M499" s="21" t="s">
        <v>188</v>
      </c>
      <c r="N499" s="26" t="s">
        <v>14</v>
      </c>
      <c r="O499">
        <v>0</v>
      </c>
      <c r="Q499" s="1" t="b">
        <f t="shared" si="430"/>
        <v>1</v>
      </c>
      <c r="R499" t="b">
        <f t="shared" si="431"/>
        <v>1</v>
      </c>
      <c r="S499" t="b">
        <f t="shared" si="432"/>
        <v>1</v>
      </c>
    </row>
    <row r="500" spans="2:19" x14ac:dyDescent="0.15">
      <c r="B500" s="23"/>
      <c r="D500" t="s">
        <v>49</v>
      </c>
      <c r="E500" s="9" t="s">
        <v>184</v>
      </c>
      <c r="F500" s="14" t="s">
        <v>15</v>
      </c>
      <c r="G500">
        <v>16</v>
      </c>
      <c r="H500" s="7">
        <v>0</v>
      </c>
      <c r="I500" s="1" t="str">
        <f t="shared" si="427"/>
        <v>0111</v>
      </c>
      <c r="J500" t="str">
        <f t="shared" si="428"/>
        <v>0</v>
      </c>
      <c r="K500">
        <f t="shared" si="429"/>
        <v>0</v>
      </c>
      <c r="M500" s="21" t="s">
        <v>188</v>
      </c>
      <c r="N500" s="26" t="s">
        <v>14</v>
      </c>
      <c r="O500">
        <v>0</v>
      </c>
      <c r="Q500" s="1" t="b">
        <f t="shared" si="430"/>
        <v>1</v>
      </c>
      <c r="R500" t="b">
        <f t="shared" si="431"/>
        <v>1</v>
      </c>
      <c r="S500" t="b">
        <f t="shared" si="432"/>
        <v>1</v>
      </c>
    </row>
    <row r="501" spans="2:19" x14ac:dyDescent="0.15">
      <c r="B501" s="23"/>
      <c r="C501" s="2" t="s">
        <v>87</v>
      </c>
      <c r="D501" s="2" t="s">
        <v>46</v>
      </c>
      <c r="E501" s="11" t="s">
        <v>182</v>
      </c>
      <c r="F501" s="13" t="s">
        <v>15</v>
      </c>
      <c r="G501" s="2">
        <v>2</v>
      </c>
      <c r="H501" s="2">
        <v>0</v>
      </c>
      <c r="I501" s="3" t="str">
        <f t="shared" ref="I501:I508" si="433">TESTdivide(E501,F501,G501,H501)</f>
        <v>0111</v>
      </c>
      <c r="J501" s="2" t="str">
        <f t="shared" ref="J501:J508" si="434">TESTdivideByRef1(E501,F501,G501,H501)</f>
        <v>1</v>
      </c>
      <c r="K501" s="2">
        <f t="shared" ref="K501:K508" si="435">TESTdivideByRef2(E501,F501,G501,H501)</f>
        <v>0</v>
      </c>
      <c r="L501" s="2"/>
      <c r="M501" s="20" t="s">
        <v>188</v>
      </c>
      <c r="N501" s="25" t="s">
        <v>44</v>
      </c>
      <c r="O501" s="2">
        <v>0</v>
      </c>
      <c r="P501" s="2"/>
      <c r="Q501" s="3" t="b">
        <f t="shared" ref="Q501:Q508" si="436">getText(I501)=getText(M501)</f>
        <v>1</v>
      </c>
      <c r="R501" s="2" t="b">
        <f t="shared" ref="R501:R508" si="437">getText(J501)=getText(N501)</f>
        <v>1</v>
      </c>
      <c r="S501" s="2" t="b">
        <f t="shared" ref="S501:S508" si="438">getText(K501)=getText(O501)</f>
        <v>1</v>
      </c>
    </row>
    <row r="502" spans="2:19" x14ac:dyDescent="0.15">
      <c r="B502" s="23"/>
      <c r="D502" t="s">
        <v>47</v>
      </c>
      <c r="E502" s="9" t="s">
        <v>182</v>
      </c>
      <c r="F502" s="14" t="s">
        <v>15</v>
      </c>
      <c r="G502">
        <v>10</v>
      </c>
      <c r="H502" s="7">
        <v>0</v>
      </c>
      <c r="I502" s="1" t="str">
        <f t="shared" si="433"/>
        <v>0111</v>
      </c>
      <c r="J502" t="str">
        <f t="shared" si="434"/>
        <v>1</v>
      </c>
      <c r="K502">
        <f t="shared" si="435"/>
        <v>0</v>
      </c>
      <c r="M502" s="21" t="s">
        <v>188</v>
      </c>
      <c r="N502" s="26" t="s">
        <v>44</v>
      </c>
      <c r="O502">
        <v>0</v>
      </c>
      <c r="Q502" s="1" t="b">
        <f t="shared" si="436"/>
        <v>1</v>
      </c>
      <c r="R502" t="b">
        <f t="shared" si="437"/>
        <v>1</v>
      </c>
      <c r="S502" t="b">
        <f t="shared" si="438"/>
        <v>1</v>
      </c>
    </row>
    <row r="503" spans="2:19" x14ac:dyDescent="0.15">
      <c r="D503" t="s">
        <v>49</v>
      </c>
      <c r="E503" s="9" t="s">
        <v>186</v>
      </c>
      <c r="F503" s="14" t="s">
        <v>15</v>
      </c>
      <c r="G503">
        <v>16</v>
      </c>
      <c r="H503" s="7">
        <v>0</v>
      </c>
      <c r="I503" s="1" t="str">
        <f t="shared" si="433"/>
        <v>0111</v>
      </c>
      <c r="J503" t="str">
        <f t="shared" si="434"/>
        <v>1</v>
      </c>
      <c r="K503">
        <f t="shared" si="435"/>
        <v>0</v>
      </c>
      <c r="M503" s="21" t="s">
        <v>188</v>
      </c>
      <c r="N503" s="26" t="s">
        <v>44</v>
      </c>
      <c r="O503">
        <v>0</v>
      </c>
      <c r="Q503" s="1" t="b">
        <f t="shared" si="436"/>
        <v>1</v>
      </c>
      <c r="R503" t="b">
        <f t="shared" si="437"/>
        <v>1</v>
      </c>
      <c r="S503" t="b">
        <f t="shared" si="438"/>
        <v>1</v>
      </c>
    </row>
    <row r="504" spans="2:19" x14ac:dyDescent="0.15">
      <c r="C504" s="2" t="s">
        <v>97</v>
      </c>
      <c r="D504" s="2" t="s">
        <v>47</v>
      </c>
      <c r="E504" s="11" t="s">
        <v>185</v>
      </c>
      <c r="F504" s="13" t="s">
        <v>15</v>
      </c>
      <c r="G504" s="2">
        <v>10</v>
      </c>
      <c r="H504" s="24">
        <v>0</v>
      </c>
      <c r="I504" s="3" t="str">
        <f t="shared" si="433"/>
        <v>0111</v>
      </c>
      <c r="J504" s="2" t="str">
        <f t="shared" si="434"/>
        <v>9</v>
      </c>
      <c r="K504" s="2">
        <f t="shared" si="435"/>
        <v>0</v>
      </c>
      <c r="L504" s="2"/>
      <c r="M504" s="20" t="s">
        <v>188</v>
      </c>
      <c r="N504" s="25" t="s">
        <v>101</v>
      </c>
      <c r="O504" s="2">
        <v>0</v>
      </c>
      <c r="P504" s="2"/>
      <c r="Q504" s="3" t="b">
        <f t="shared" si="436"/>
        <v>1</v>
      </c>
      <c r="R504" s="2" t="b">
        <f t="shared" si="437"/>
        <v>1</v>
      </c>
      <c r="S504" s="2" t="b">
        <f t="shared" si="438"/>
        <v>1</v>
      </c>
    </row>
    <row r="505" spans="2:19" x14ac:dyDescent="0.15">
      <c r="D505" t="s">
        <v>49</v>
      </c>
      <c r="E505" s="9" t="s">
        <v>187</v>
      </c>
      <c r="F505" s="14" t="s">
        <v>15</v>
      </c>
      <c r="G505">
        <v>16</v>
      </c>
      <c r="H505" s="7">
        <v>0</v>
      </c>
      <c r="I505" s="1" t="str">
        <f t="shared" si="433"/>
        <v>0111</v>
      </c>
      <c r="J505" t="str">
        <f t="shared" si="434"/>
        <v>F</v>
      </c>
      <c r="K505">
        <f t="shared" si="435"/>
        <v>0</v>
      </c>
      <c r="M505" s="21" t="s">
        <v>188</v>
      </c>
      <c r="N505" s="26" t="s">
        <v>99</v>
      </c>
      <c r="O505">
        <v>0</v>
      </c>
      <c r="Q505" s="1" t="b">
        <f t="shared" si="436"/>
        <v>1</v>
      </c>
      <c r="R505" t="b">
        <f t="shared" si="437"/>
        <v>1</v>
      </c>
      <c r="S505" t="b">
        <f t="shared" si="438"/>
        <v>1</v>
      </c>
    </row>
    <row r="506" spans="2:19" x14ac:dyDescent="0.15">
      <c r="B506" s="22" t="s">
        <v>95</v>
      </c>
      <c r="C506" s="2" t="s">
        <v>86</v>
      </c>
      <c r="D506" s="2" t="s">
        <v>46</v>
      </c>
      <c r="E506" s="11" t="s">
        <v>177</v>
      </c>
      <c r="F506" s="13" t="s">
        <v>15</v>
      </c>
      <c r="G506" s="2">
        <v>2</v>
      </c>
      <c r="H506" s="2">
        <v>0</v>
      </c>
      <c r="I506" s="3" t="str">
        <f t="shared" si="433"/>
        <v>01000</v>
      </c>
      <c r="J506" s="2" t="str">
        <f t="shared" si="434"/>
        <v>0</v>
      </c>
      <c r="K506" s="2">
        <f t="shared" si="435"/>
        <v>0</v>
      </c>
      <c r="L506" s="2"/>
      <c r="M506" s="20" t="s">
        <v>178</v>
      </c>
      <c r="N506" s="25" t="s">
        <v>14</v>
      </c>
      <c r="O506" s="2">
        <v>0</v>
      </c>
      <c r="P506" s="2"/>
      <c r="Q506" s="3" t="b">
        <f t="shared" si="436"/>
        <v>1</v>
      </c>
      <c r="R506" s="2" t="b">
        <f t="shared" si="437"/>
        <v>1</v>
      </c>
      <c r="S506" s="2" t="b">
        <f t="shared" si="438"/>
        <v>1</v>
      </c>
    </row>
    <row r="507" spans="2:19" x14ac:dyDescent="0.15">
      <c r="B507" s="23"/>
      <c r="D507" t="s">
        <v>47</v>
      </c>
      <c r="E507" s="9" t="s">
        <v>177</v>
      </c>
      <c r="F507" s="14" t="s">
        <v>15</v>
      </c>
      <c r="G507">
        <v>10</v>
      </c>
      <c r="H507" s="7">
        <v>0</v>
      </c>
      <c r="I507" s="1" t="str">
        <f t="shared" si="433"/>
        <v>01000</v>
      </c>
      <c r="J507" t="str">
        <f t="shared" si="434"/>
        <v>0</v>
      </c>
      <c r="K507">
        <f t="shared" si="435"/>
        <v>0</v>
      </c>
      <c r="M507" s="21" t="s">
        <v>178</v>
      </c>
      <c r="N507" s="26" t="s">
        <v>14</v>
      </c>
      <c r="O507">
        <v>0</v>
      </c>
      <c r="Q507" s="1" t="b">
        <f t="shared" si="436"/>
        <v>1</v>
      </c>
      <c r="R507" t="b">
        <f t="shared" si="437"/>
        <v>1</v>
      </c>
      <c r="S507" t="b">
        <f t="shared" si="438"/>
        <v>1</v>
      </c>
    </row>
    <row r="508" spans="2:19" x14ac:dyDescent="0.15">
      <c r="B508" s="23"/>
      <c r="D508" t="s">
        <v>49</v>
      </c>
      <c r="E508" s="9" t="s">
        <v>177</v>
      </c>
      <c r="F508" s="14" t="s">
        <v>15</v>
      </c>
      <c r="G508">
        <v>16</v>
      </c>
      <c r="H508" s="7">
        <v>0</v>
      </c>
      <c r="I508" s="1" t="str">
        <f t="shared" si="433"/>
        <v>01000</v>
      </c>
      <c r="J508" t="str">
        <f t="shared" si="434"/>
        <v>0</v>
      </c>
      <c r="K508">
        <f t="shared" si="435"/>
        <v>0</v>
      </c>
      <c r="M508" s="21" t="s">
        <v>178</v>
      </c>
      <c r="N508" s="26" t="s">
        <v>14</v>
      </c>
      <c r="O508">
        <v>0</v>
      </c>
      <c r="Q508" s="1" t="b">
        <f t="shared" si="436"/>
        <v>1</v>
      </c>
      <c r="R508" t="b">
        <f t="shared" si="437"/>
        <v>1</v>
      </c>
      <c r="S508" t="b">
        <f t="shared" si="438"/>
        <v>1</v>
      </c>
    </row>
    <row r="509" spans="2:19" x14ac:dyDescent="0.15">
      <c r="B509" s="23"/>
      <c r="C509" s="2" t="s">
        <v>87</v>
      </c>
      <c r="D509" s="2" t="s">
        <v>46</v>
      </c>
      <c r="E509" s="11" t="s">
        <v>179</v>
      </c>
      <c r="F509" s="13" t="s">
        <v>15</v>
      </c>
      <c r="G509" s="2">
        <v>2</v>
      </c>
      <c r="H509" s="2">
        <v>0</v>
      </c>
      <c r="I509" s="3" t="str">
        <f t="shared" ref="I509:I513" si="439">TESTdivide(E509,F509,G509,H509)</f>
        <v>01000</v>
      </c>
      <c r="J509" s="2" t="str">
        <f t="shared" ref="J509:J513" si="440">TESTdivideByRef1(E509,F509,G509,H509)</f>
        <v>1</v>
      </c>
      <c r="K509" s="2">
        <f t="shared" ref="K509:K513" si="441">TESTdivideByRef2(E509,F509,G509,H509)</f>
        <v>0</v>
      </c>
      <c r="L509" s="2"/>
      <c r="M509" s="20" t="s">
        <v>178</v>
      </c>
      <c r="N509" s="25" t="s">
        <v>44</v>
      </c>
      <c r="O509" s="2">
        <v>0</v>
      </c>
      <c r="P509" s="2"/>
      <c r="Q509" s="3" t="b">
        <f t="shared" ref="Q509:Q513" si="442">getText(I509)=getText(M509)</f>
        <v>1</v>
      </c>
      <c r="R509" s="2" t="b">
        <f t="shared" ref="R509:R513" si="443">getText(J509)=getText(N509)</f>
        <v>1</v>
      </c>
      <c r="S509" s="2" t="b">
        <f t="shared" ref="S509:S513" si="444">getText(K509)=getText(O509)</f>
        <v>1</v>
      </c>
    </row>
    <row r="510" spans="2:19" x14ac:dyDescent="0.15">
      <c r="B510" s="23"/>
      <c r="D510" t="s">
        <v>47</v>
      </c>
      <c r="E510" s="9" t="s">
        <v>16</v>
      </c>
      <c r="F510" s="14" t="s">
        <v>15</v>
      </c>
      <c r="G510">
        <v>10</v>
      </c>
      <c r="H510" s="7">
        <v>0</v>
      </c>
      <c r="I510" s="1" t="str">
        <f t="shared" si="439"/>
        <v>01000</v>
      </c>
      <c r="J510" t="str">
        <f t="shared" si="440"/>
        <v>1</v>
      </c>
      <c r="K510">
        <f t="shared" si="441"/>
        <v>0</v>
      </c>
      <c r="M510" s="21" t="s">
        <v>178</v>
      </c>
      <c r="N510" s="26" t="s">
        <v>44</v>
      </c>
      <c r="O510">
        <v>0</v>
      </c>
      <c r="Q510" s="1" t="b">
        <f t="shared" si="442"/>
        <v>1</v>
      </c>
      <c r="R510" t="b">
        <f t="shared" si="443"/>
        <v>1</v>
      </c>
      <c r="S510" t="b">
        <f t="shared" si="444"/>
        <v>1</v>
      </c>
    </row>
    <row r="511" spans="2:19" x14ac:dyDescent="0.15">
      <c r="D511" t="s">
        <v>49</v>
      </c>
      <c r="E511" s="9" t="s">
        <v>16</v>
      </c>
      <c r="F511" s="14" t="s">
        <v>15</v>
      </c>
      <c r="G511">
        <v>16</v>
      </c>
      <c r="H511" s="7">
        <v>0</v>
      </c>
      <c r="I511" s="1" t="str">
        <f t="shared" si="439"/>
        <v>01000</v>
      </c>
      <c r="J511" t="str">
        <f t="shared" si="440"/>
        <v>1</v>
      </c>
      <c r="K511">
        <f t="shared" si="441"/>
        <v>0</v>
      </c>
      <c r="M511" s="21" t="s">
        <v>178</v>
      </c>
      <c r="N511" s="26" t="s">
        <v>44</v>
      </c>
      <c r="O511">
        <v>0</v>
      </c>
      <c r="Q511" s="1" t="b">
        <f t="shared" si="442"/>
        <v>1</v>
      </c>
      <c r="R511" t="b">
        <f t="shared" si="443"/>
        <v>1</v>
      </c>
      <c r="S511" t="b">
        <f t="shared" si="444"/>
        <v>1</v>
      </c>
    </row>
    <row r="512" spans="2:19" x14ac:dyDescent="0.15">
      <c r="C512" s="2" t="s">
        <v>97</v>
      </c>
      <c r="D512" s="2" t="s">
        <v>47</v>
      </c>
      <c r="E512" s="11" t="s">
        <v>180</v>
      </c>
      <c r="F512" s="13" t="s">
        <v>15</v>
      </c>
      <c r="G512" s="2">
        <v>10</v>
      </c>
      <c r="H512" s="24">
        <v>0</v>
      </c>
      <c r="I512" s="3" t="str">
        <f t="shared" si="439"/>
        <v>01000</v>
      </c>
      <c r="J512" s="2" t="str">
        <f t="shared" si="440"/>
        <v>9</v>
      </c>
      <c r="K512" s="2">
        <f t="shared" si="441"/>
        <v>0</v>
      </c>
      <c r="L512" s="2"/>
      <c r="M512" s="20" t="s">
        <v>178</v>
      </c>
      <c r="N512" s="25" t="s">
        <v>101</v>
      </c>
      <c r="O512" s="2">
        <v>0</v>
      </c>
      <c r="P512" s="2"/>
      <c r="Q512" s="3" t="b">
        <f t="shared" si="442"/>
        <v>1</v>
      </c>
      <c r="R512" s="2" t="b">
        <f t="shared" si="443"/>
        <v>1</v>
      </c>
      <c r="S512" s="2" t="b">
        <f t="shared" si="444"/>
        <v>1</v>
      </c>
    </row>
    <row r="513" spans="2:19" x14ac:dyDescent="0.15">
      <c r="D513" t="s">
        <v>49</v>
      </c>
      <c r="E513" s="9" t="s">
        <v>181</v>
      </c>
      <c r="F513" s="14" t="s">
        <v>15</v>
      </c>
      <c r="G513">
        <v>16</v>
      </c>
      <c r="H513" s="7">
        <v>0</v>
      </c>
      <c r="I513" s="1" t="str">
        <f t="shared" si="439"/>
        <v>01000</v>
      </c>
      <c r="J513" t="str">
        <f t="shared" si="440"/>
        <v>F</v>
      </c>
      <c r="K513">
        <f t="shared" si="441"/>
        <v>0</v>
      </c>
      <c r="M513" s="21" t="s">
        <v>178</v>
      </c>
      <c r="N513" s="26" t="s">
        <v>99</v>
      </c>
      <c r="O513">
        <v>0</v>
      </c>
      <c r="Q513" s="1" t="b">
        <f t="shared" si="442"/>
        <v>1</v>
      </c>
      <c r="R513" t="b">
        <f t="shared" si="443"/>
        <v>1</v>
      </c>
      <c r="S513" t="b">
        <f t="shared" si="444"/>
        <v>1</v>
      </c>
    </row>
    <row r="514" spans="2:19" x14ac:dyDescent="0.15">
      <c r="B514" s="22" t="s">
        <v>96</v>
      </c>
      <c r="C514" s="2" t="s">
        <v>86</v>
      </c>
      <c r="D514" s="2" t="s">
        <v>46</v>
      </c>
      <c r="E514" s="11" t="s">
        <v>189</v>
      </c>
      <c r="F514" s="13" t="s">
        <v>15</v>
      </c>
      <c r="G514" s="2">
        <v>2</v>
      </c>
      <c r="H514" s="2">
        <v>0</v>
      </c>
      <c r="I514" s="3" t="str">
        <f t="shared" ref="I514:I521" si="445">TESTdivide(E514,F514,G514,H514)</f>
        <v>01001</v>
      </c>
      <c r="J514" s="2" t="str">
        <f t="shared" ref="J514:J521" si="446">TESTdivideByRef1(E514,F514,G514,H514)</f>
        <v>0</v>
      </c>
      <c r="K514" s="2">
        <f t="shared" ref="K514:K521" si="447">TESTdivideByRef2(E514,F514,G514,H514)</f>
        <v>0</v>
      </c>
      <c r="L514" s="2"/>
      <c r="M514" s="20" t="s">
        <v>190</v>
      </c>
      <c r="N514" s="25" t="s">
        <v>14</v>
      </c>
      <c r="O514" s="2">
        <v>0</v>
      </c>
      <c r="P514" s="2"/>
      <c r="Q514" s="3" t="b">
        <f t="shared" ref="Q514:Q521" si="448">getText(I514)=getText(M514)</f>
        <v>1</v>
      </c>
      <c r="R514" s="2" t="b">
        <f t="shared" ref="R514:R521" si="449">getText(J514)=getText(N514)</f>
        <v>1</v>
      </c>
      <c r="S514" s="2" t="b">
        <f t="shared" ref="S514:S521" si="450">getText(K514)=getText(O514)</f>
        <v>1</v>
      </c>
    </row>
    <row r="515" spans="2:19" x14ac:dyDescent="0.15">
      <c r="B515" s="23"/>
      <c r="D515" t="s">
        <v>47</v>
      </c>
      <c r="E515" s="9" t="s">
        <v>189</v>
      </c>
      <c r="F515" s="14" t="s">
        <v>15</v>
      </c>
      <c r="G515">
        <v>10</v>
      </c>
      <c r="H515" s="7">
        <v>0</v>
      </c>
      <c r="I515" s="1" t="str">
        <f t="shared" si="445"/>
        <v>01001</v>
      </c>
      <c r="J515" t="str">
        <f t="shared" si="446"/>
        <v>0</v>
      </c>
      <c r="K515">
        <f t="shared" si="447"/>
        <v>0</v>
      </c>
      <c r="M515" s="21" t="s">
        <v>190</v>
      </c>
      <c r="N515" s="26" t="s">
        <v>14</v>
      </c>
      <c r="O515">
        <v>0</v>
      </c>
      <c r="Q515" s="1" t="b">
        <f t="shared" si="448"/>
        <v>1</v>
      </c>
      <c r="R515" t="b">
        <f t="shared" si="449"/>
        <v>1</v>
      </c>
      <c r="S515" t="b">
        <f t="shared" si="450"/>
        <v>1</v>
      </c>
    </row>
    <row r="516" spans="2:19" x14ac:dyDescent="0.15">
      <c r="B516" s="23"/>
      <c r="D516" t="s">
        <v>49</v>
      </c>
      <c r="E516" s="9" t="s">
        <v>189</v>
      </c>
      <c r="F516" s="14" t="s">
        <v>15</v>
      </c>
      <c r="G516">
        <v>16</v>
      </c>
      <c r="H516" s="7">
        <v>0</v>
      </c>
      <c r="I516" s="1" t="str">
        <f t="shared" si="445"/>
        <v>01001</v>
      </c>
      <c r="J516" t="str">
        <f t="shared" si="446"/>
        <v>0</v>
      </c>
      <c r="K516">
        <f t="shared" si="447"/>
        <v>0</v>
      </c>
      <c r="M516" s="21" t="s">
        <v>190</v>
      </c>
      <c r="N516" s="26" t="s">
        <v>14</v>
      </c>
      <c r="O516">
        <v>0</v>
      </c>
      <c r="Q516" s="1" t="b">
        <f t="shared" si="448"/>
        <v>1</v>
      </c>
      <c r="R516" t="b">
        <f t="shared" si="449"/>
        <v>1</v>
      </c>
      <c r="S516" t="b">
        <f t="shared" si="450"/>
        <v>1</v>
      </c>
    </row>
    <row r="517" spans="2:19" x14ac:dyDescent="0.15">
      <c r="B517" s="23"/>
      <c r="C517" s="2" t="s">
        <v>87</v>
      </c>
      <c r="D517" s="2" t="s">
        <v>46</v>
      </c>
      <c r="E517" s="11" t="s">
        <v>191</v>
      </c>
      <c r="F517" s="13" t="s">
        <v>15</v>
      </c>
      <c r="G517" s="2">
        <v>2</v>
      </c>
      <c r="H517" s="2">
        <v>0</v>
      </c>
      <c r="I517" s="3" t="str">
        <f t="shared" si="445"/>
        <v>01001</v>
      </c>
      <c r="J517" s="2" t="str">
        <f t="shared" si="446"/>
        <v>1</v>
      </c>
      <c r="K517" s="2">
        <f t="shared" si="447"/>
        <v>0</v>
      </c>
      <c r="L517" s="2"/>
      <c r="M517" s="20" t="s">
        <v>190</v>
      </c>
      <c r="N517" s="25" t="s">
        <v>44</v>
      </c>
      <c r="O517" s="2">
        <v>0</v>
      </c>
      <c r="P517" s="2"/>
      <c r="Q517" s="3" t="b">
        <f t="shared" si="448"/>
        <v>1</v>
      </c>
      <c r="R517" s="2" t="b">
        <f t="shared" si="449"/>
        <v>1</v>
      </c>
      <c r="S517" s="2" t="b">
        <f t="shared" si="450"/>
        <v>1</v>
      </c>
    </row>
    <row r="518" spans="2:19" x14ac:dyDescent="0.15">
      <c r="B518" s="23"/>
      <c r="D518" t="s">
        <v>47</v>
      </c>
      <c r="E518" s="9" t="s">
        <v>191</v>
      </c>
      <c r="F518" s="14" t="s">
        <v>15</v>
      </c>
      <c r="G518">
        <v>10</v>
      </c>
      <c r="H518" s="7">
        <v>0</v>
      </c>
      <c r="I518" s="1" t="str">
        <f t="shared" si="445"/>
        <v>01001</v>
      </c>
      <c r="J518" t="str">
        <f t="shared" si="446"/>
        <v>1</v>
      </c>
      <c r="K518">
        <f t="shared" si="447"/>
        <v>0</v>
      </c>
      <c r="M518" s="21" t="s">
        <v>190</v>
      </c>
      <c r="N518" s="26" t="s">
        <v>44</v>
      </c>
      <c r="O518">
        <v>0</v>
      </c>
      <c r="Q518" s="1" t="b">
        <f t="shared" si="448"/>
        <v>1</v>
      </c>
      <c r="R518" t="b">
        <f t="shared" si="449"/>
        <v>1</v>
      </c>
      <c r="S518" t="b">
        <f t="shared" si="450"/>
        <v>1</v>
      </c>
    </row>
    <row r="519" spans="2:19" x14ac:dyDescent="0.15">
      <c r="D519" t="s">
        <v>49</v>
      </c>
      <c r="E519" s="9" t="s">
        <v>191</v>
      </c>
      <c r="F519" s="14" t="s">
        <v>15</v>
      </c>
      <c r="G519">
        <v>16</v>
      </c>
      <c r="H519" s="7">
        <v>0</v>
      </c>
      <c r="I519" s="1" t="str">
        <f t="shared" si="445"/>
        <v>01001</v>
      </c>
      <c r="J519" t="str">
        <f t="shared" si="446"/>
        <v>1</v>
      </c>
      <c r="K519">
        <f t="shared" si="447"/>
        <v>0</v>
      </c>
      <c r="M519" s="21" t="s">
        <v>190</v>
      </c>
      <c r="N519" s="26" t="s">
        <v>44</v>
      </c>
      <c r="O519">
        <v>0</v>
      </c>
      <c r="Q519" s="1" t="b">
        <f t="shared" si="448"/>
        <v>1</v>
      </c>
      <c r="R519" t="b">
        <f t="shared" si="449"/>
        <v>1</v>
      </c>
      <c r="S519" t="b">
        <f t="shared" si="450"/>
        <v>1</v>
      </c>
    </row>
    <row r="520" spans="2:19" x14ac:dyDescent="0.15">
      <c r="C520" s="2" t="s">
        <v>97</v>
      </c>
      <c r="D520" s="2" t="s">
        <v>47</v>
      </c>
      <c r="E520" s="11" t="s">
        <v>192</v>
      </c>
      <c r="F520" s="13" t="s">
        <v>15</v>
      </c>
      <c r="G520" s="2">
        <v>10</v>
      </c>
      <c r="H520" s="24">
        <v>0</v>
      </c>
      <c r="I520" s="3" t="str">
        <f t="shared" si="445"/>
        <v>01001</v>
      </c>
      <c r="J520" s="2" t="str">
        <f t="shared" si="446"/>
        <v>9</v>
      </c>
      <c r="K520" s="2">
        <f t="shared" si="447"/>
        <v>0</v>
      </c>
      <c r="L520" s="2"/>
      <c r="M520" s="20" t="s">
        <v>190</v>
      </c>
      <c r="N520" s="25" t="s">
        <v>101</v>
      </c>
      <c r="O520" s="2">
        <v>0</v>
      </c>
      <c r="P520" s="2"/>
      <c r="Q520" s="3" t="b">
        <f t="shared" si="448"/>
        <v>1</v>
      </c>
      <c r="R520" s="2" t="b">
        <f t="shared" si="449"/>
        <v>1</v>
      </c>
      <c r="S520" s="2" t="b">
        <f t="shared" si="450"/>
        <v>1</v>
      </c>
    </row>
    <row r="521" spans="2:19" x14ac:dyDescent="0.15">
      <c r="D521" t="s">
        <v>49</v>
      </c>
      <c r="E521" s="9" t="s">
        <v>193</v>
      </c>
      <c r="F521" s="14" t="s">
        <v>15</v>
      </c>
      <c r="G521">
        <v>16</v>
      </c>
      <c r="H521" s="7">
        <v>0</v>
      </c>
      <c r="I521" s="1" t="str">
        <f t="shared" si="445"/>
        <v>01001</v>
      </c>
      <c r="J521" t="str">
        <f t="shared" si="446"/>
        <v>F</v>
      </c>
      <c r="K521">
        <f t="shared" si="447"/>
        <v>0</v>
      </c>
      <c r="M521" s="21" t="s">
        <v>190</v>
      </c>
      <c r="N521" s="26" t="s">
        <v>99</v>
      </c>
      <c r="O521">
        <v>0</v>
      </c>
      <c r="Q521" s="1" t="b">
        <f t="shared" si="448"/>
        <v>1</v>
      </c>
      <c r="R521" t="b">
        <f t="shared" si="449"/>
        <v>1</v>
      </c>
      <c r="S521" t="b">
        <f t="shared" si="450"/>
        <v>1</v>
      </c>
    </row>
    <row r="522" spans="2:19" x14ac:dyDescent="0.15">
      <c r="B522" s="2" t="s">
        <v>76</v>
      </c>
      <c r="C522" s="2" t="s">
        <v>210</v>
      </c>
      <c r="D522" s="2" t="s">
        <v>46</v>
      </c>
      <c r="E522" s="11" t="s">
        <v>114</v>
      </c>
      <c r="F522" s="13" t="s">
        <v>115</v>
      </c>
      <c r="G522" s="2">
        <v>2</v>
      </c>
      <c r="H522" s="2">
        <v>-1</v>
      </c>
      <c r="I522" s="3" t="str">
        <f>TESTdivide(E522,F522,G522,H522)</f>
        <v>00</v>
      </c>
      <c r="J522" s="2" t="str">
        <f>TESTdivideByRef1(E522,F522,G522,H522)</f>
        <v>10</v>
      </c>
      <c r="K522" s="2">
        <f>TESTdivideByRef2(E522,F522,G522,H522)</f>
        <v>0</v>
      </c>
      <c r="L522" s="2"/>
      <c r="M522" s="3" t="s">
        <v>98</v>
      </c>
      <c r="N522" s="2" t="s">
        <v>15</v>
      </c>
      <c r="O522" s="2">
        <v>0</v>
      </c>
      <c r="P522" s="2"/>
      <c r="Q522" s="3" t="b">
        <f t="shared" ref="Q522:Q524" si="451">getText(I522)=getText(M522)</f>
        <v>1</v>
      </c>
      <c r="R522" s="2" t="b">
        <f t="shared" ref="R522:R524" si="452">getText(J522)=getText(N522)</f>
        <v>1</v>
      </c>
      <c r="S522" s="2" t="b">
        <f t="shared" ref="S522:S524" si="453">getText(K522)=getText(O522)</f>
        <v>1</v>
      </c>
    </row>
    <row r="523" spans="2:19" x14ac:dyDescent="0.15">
      <c r="D523" t="s">
        <v>47</v>
      </c>
      <c r="E523" s="9" t="s">
        <v>112</v>
      </c>
      <c r="F523" s="17" t="s">
        <v>196</v>
      </c>
      <c r="G523">
        <v>10</v>
      </c>
      <c r="H523" s="7">
        <v>-1</v>
      </c>
      <c r="I523" s="1" t="str">
        <f>TESTdivide(E523,F523,G523,H523)</f>
        <v>0</v>
      </c>
      <c r="J523" t="str">
        <f>TESTdivideByRef1(E523,F523,G523,H523)</f>
        <v>1</v>
      </c>
      <c r="K523">
        <f>TESTdivideByRef2(E523,F523,G523,H523)</f>
        <v>0</v>
      </c>
      <c r="M523" s="1" t="s">
        <v>14</v>
      </c>
      <c r="N523" t="s">
        <v>44</v>
      </c>
      <c r="O523">
        <v>0</v>
      </c>
      <c r="Q523" s="1" t="b">
        <f t="shared" si="451"/>
        <v>1</v>
      </c>
      <c r="R523" t="b">
        <f t="shared" si="452"/>
        <v>1</v>
      </c>
      <c r="S523" t="b">
        <f t="shared" si="453"/>
        <v>1</v>
      </c>
    </row>
    <row r="524" spans="2:19" x14ac:dyDescent="0.15">
      <c r="D524" t="s">
        <v>48</v>
      </c>
      <c r="E524" s="9" t="s">
        <v>83</v>
      </c>
      <c r="F524" s="17" t="s">
        <v>99</v>
      </c>
      <c r="G524">
        <v>16</v>
      </c>
      <c r="H524" s="7">
        <v>-1</v>
      </c>
      <c r="I524" s="1" t="str">
        <f t="shared" ref="I524" si="454">TESTdivide(E524,F524,G524,H524)</f>
        <v>0</v>
      </c>
      <c r="J524" t="str">
        <f t="shared" ref="J524" si="455">TESTdivideByRef1(E524,F524,G524,H524)</f>
        <v>5</v>
      </c>
      <c r="K524">
        <f t="shared" ref="K524" si="456">TESTdivideByRef2(E524,F524,G524,H524)</f>
        <v>0</v>
      </c>
      <c r="M524" s="1" t="s">
        <v>14</v>
      </c>
      <c r="N524" t="s">
        <v>83</v>
      </c>
      <c r="O524">
        <v>0</v>
      </c>
      <c r="Q524" s="1" t="b">
        <f t="shared" si="451"/>
        <v>1</v>
      </c>
      <c r="R524" t="b">
        <f t="shared" si="452"/>
        <v>1</v>
      </c>
      <c r="S524" t="b">
        <f t="shared" si="453"/>
        <v>1</v>
      </c>
    </row>
    <row r="525" spans="2:19" x14ac:dyDescent="0.15">
      <c r="C525" s="2" t="s">
        <v>77</v>
      </c>
      <c r="D525" s="2" t="s">
        <v>46</v>
      </c>
      <c r="E525" s="11" t="s">
        <v>114</v>
      </c>
      <c r="F525" s="13" t="s">
        <v>115</v>
      </c>
      <c r="G525" s="2">
        <v>2</v>
      </c>
      <c r="H525" s="2">
        <v>0</v>
      </c>
      <c r="I525" s="3" t="str">
        <f t="shared" ref="I525" si="457">TESTdivide(E525,F525,G525,H525)</f>
        <v>00</v>
      </c>
      <c r="J525" s="2" t="str">
        <f t="shared" ref="J525" si="458">TESTdivideByRef1(E525,F525,G525,H525)</f>
        <v>10</v>
      </c>
      <c r="K525" s="2">
        <f t="shared" ref="K525" si="459">TESTdivideByRef2(E525,F525,G525,H525)</f>
        <v>0</v>
      </c>
      <c r="L525" s="2"/>
      <c r="M525" s="3" t="s">
        <v>98</v>
      </c>
      <c r="N525" s="2" t="s">
        <v>15</v>
      </c>
      <c r="O525" s="2">
        <v>0</v>
      </c>
      <c r="P525" s="2"/>
      <c r="Q525" s="3" t="b">
        <f t="shared" ref="Q525:Q526" si="460">getText(I525)=getText(M525)</f>
        <v>1</v>
      </c>
      <c r="R525" s="2" t="b">
        <f t="shared" ref="R525:R526" si="461">getText(J525)=getText(N525)</f>
        <v>1</v>
      </c>
      <c r="S525" s="2" t="b">
        <f t="shared" ref="S525:S526" si="462">getText(K525)=getText(O525)</f>
        <v>1</v>
      </c>
    </row>
    <row r="526" spans="2:19" x14ac:dyDescent="0.15">
      <c r="D526" t="s">
        <v>47</v>
      </c>
      <c r="E526" s="9" t="s">
        <v>112</v>
      </c>
      <c r="F526" s="17" t="s">
        <v>196</v>
      </c>
      <c r="G526">
        <v>10</v>
      </c>
      <c r="H526" s="7">
        <v>0</v>
      </c>
      <c r="I526" s="1" t="str">
        <f t="shared" ref="I526" si="463">TESTdivide(E526,F526,G526,H526)</f>
        <v>0</v>
      </c>
      <c r="J526" t="str">
        <f t="shared" ref="J526" si="464">TESTdivideByRef1(E526,F526,G526,H526)</f>
        <v>1</v>
      </c>
      <c r="K526">
        <f t="shared" ref="K526" si="465">TESTdivideByRef2(E526,F526,G526,H526)</f>
        <v>0</v>
      </c>
      <c r="M526" s="1" t="s">
        <v>14</v>
      </c>
      <c r="N526" t="s">
        <v>44</v>
      </c>
      <c r="O526">
        <v>0</v>
      </c>
      <c r="Q526" s="1" t="b">
        <f t="shared" si="460"/>
        <v>1</v>
      </c>
      <c r="R526" t="b">
        <f t="shared" si="461"/>
        <v>1</v>
      </c>
      <c r="S526" t="b">
        <f t="shared" si="462"/>
        <v>1</v>
      </c>
    </row>
    <row r="527" spans="2:19" x14ac:dyDescent="0.15">
      <c r="D527" t="s">
        <v>49</v>
      </c>
      <c r="E527" s="9" t="s">
        <v>197</v>
      </c>
      <c r="F527" s="17" t="s">
        <v>198</v>
      </c>
      <c r="G527">
        <v>16</v>
      </c>
      <c r="H527" s="7">
        <v>0</v>
      </c>
      <c r="I527" s="1" t="str">
        <f t="shared" ref="I527" si="466">TESTdivide(E527,F527,G527,H527)</f>
        <v>0</v>
      </c>
      <c r="J527" t="str">
        <f t="shared" ref="J527" si="467">TESTdivideByRef1(E527,F527,G527,H527)</f>
        <v>5</v>
      </c>
      <c r="K527">
        <f t="shared" ref="K527" si="468">TESTdivideByRef2(E527,F527,G527,H527)</f>
        <v>0</v>
      </c>
      <c r="M527" s="1" t="s">
        <v>14</v>
      </c>
      <c r="N527" t="s">
        <v>83</v>
      </c>
      <c r="O527">
        <v>0</v>
      </c>
      <c r="Q527" s="1" t="b">
        <f t="shared" ref="Q527:Q528" si="469">getText(I527)=getText(M527)</f>
        <v>1</v>
      </c>
      <c r="R527" t="b">
        <f t="shared" ref="R527:R528" si="470">getText(J527)=getText(N527)</f>
        <v>1</v>
      </c>
      <c r="S527" t="b">
        <f t="shared" ref="S527:S528" si="471">getText(K527)=getText(O527)</f>
        <v>1</v>
      </c>
    </row>
    <row r="528" spans="2:19" x14ac:dyDescent="0.15">
      <c r="C528" s="2" t="s">
        <v>195</v>
      </c>
      <c r="D528" s="2" t="s">
        <v>208</v>
      </c>
      <c r="E528" s="11" t="s">
        <v>15</v>
      </c>
      <c r="F528" s="13" t="s">
        <v>18</v>
      </c>
      <c r="G528" s="2">
        <v>2</v>
      </c>
      <c r="H528" s="2">
        <v>1</v>
      </c>
      <c r="I528" s="3" t="str">
        <f t="shared" ref="I528:I531" si="472">TESTdivide(E528,F528,G528,H528)</f>
        <v>001</v>
      </c>
      <c r="J528" s="2" t="str">
        <f t="shared" ref="J528:J531" si="473">TESTdivideByRef1(E528,F528,G528,H528)</f>
        <v>1</v>
      </c>
      <c r="K528" s="2">
        <f t="shared" ref="K528:K531" si="474">TESTdivideByRef2(E528,F528,G528,H528)</f>
        <v>0</v>
      </c>
      <c r="L528" s="2"/>
      <c r="M528" s="3" t="s">
        <v>82</v>
      </c>
      <c r="N528" s="22" t="s">
        <v>44</v>
      </c>
      <c r="O528" s="2">
        <v>0</v>
      </c>
      <c r="P528" s="2"/>
      <c r="Q528" s="3" t="b">
        <f t="shared" si="469"/>
        <v>1</v>
      </c>
      <c r="R528" s="2" t="b">
        <f t="shared" si="470"/>
        <v>1</v>
      </c>
      <c r="S528" s="2" t="b">
        <f t="shared" si="471"/>
        <v>1</v>
      </c>
    </row>
    <row r="529" spans="1:19" x14ac:dyDescent="0.15">
      <c r="C529" s="6"/>
      <c r="D529" s="7" t="s">
        <v>209</v>
      </c>
      <c r="E529" s="9" t="s">
        <v>15</v>
      </c>
      <c r="F529" s="14" t="s">
        <v>18</v>
      </c>
      <c r="G529" s="6">
        <v>2</v>
      </c>
      <c r="H529" s="6">
        <v>2</v>
      </c>
      <c r="I529" s="1" t="str">
        <f t="shared" ref="I529" si="475">TESTdivide(E529,F529,G529,H529)</f>
        <v>0010</v>
      </c>
      <c r="J529" s="6" t="str">
        <f t="shared" ref="J529" si="476">TESTdivideByRef1(E529,F529,G529,H529)</f>
        <v>10</v>
      </c>
      <c r="K529" s="6">
        <f t="shared" ref="K529" si="477">TESTdivideByRef2(E529,F529,G529,H529)</f>
        <v>0</v>
      </c>
      <c r="L529" s="6"/>
      <c r="M529" s="1" t="s">
        <v>80</v>
      </c>
      <c r="N529" s="27" t="s">
        <v>15</v>
      </c>
      <c r="O529" s="6">
        <v>0</v>
      </c>
      <c r="P529" s="6"/>
      <c r="Q529" s="1" t="b">
        <f t="shared" ref="Q529:Q530" si="478">getText(I529)=getText(M529)</f>
        <v>1</v>
      </c>
      <c r="R529" s="6" t="b">
        <f t="shared" ref="R529:R530" si="479">getText(J529)=getText(N529)</f>
        <v>1</v>
      </c>
      <c r="S529" s="6" t="b">
        <f t="shared" ref="S529:S530" si="480">getText(K529)=getText(O529)</f>
        <v>1</v>
      </c>
    </row>
    <row r="530" spans="1:19" x14ac:dyDescent="0.15">
      <c r="D530" t="s">
        <v>47</v>
      </c>
      <c r="E530" s="9" t="s">
        <v>44</v>
      </c>
      <c r="F530" s="17" t="s">
        <v>81</v>
      </c>
      <c r="G530">
        <v>10</v>
      </c>
      <c r="H530" s="7">
        <v>1</v>
      </c>
      <c r="I530" s="1" t="str">
        <f t="shared" si="472"/>
        <v>03</v>
      </c>
      <c r="J530" t="str">
        <f t="shared" si="473"/>
        <v>1</v>
      </c>
      <c r="K530">
        <f t="shared" si="474"/>
        <v>0</v>
      </c>
      <c r="M530" s="1" t="s">
        <v>206</v>
      </c>
      <c r="N530" s="23" t="s">
        <v>44</v>
      </c>
      <c r="O530">
        <v>0</v>
      </c>
      <c r="Q530" s="1" t="b">
        <f t="shared" si="478"/>
        <v>1</v>
      </c>
      <c r="R530" t="b">
        <f t="shared" si="479"/>
        <v>1</v>
      </c>
      <c r="S530" t="b">
        <f t="shared" si="480"/>
        <v>1</v>
      </c>
    </row>
    <row r="531" spans="1:19" x14ac:dyDescent="0.15">
      <c r="D531" t="s">
        <v>49</v>
      </c>
      <c r="E531" s="9" t="s">
        <v>83</v>
      </c>
      <c r="F531" s="17" t="s">
        <v>99</v>
      </c>
      <c r="G531">
        <v>16</v>
      </c>
      <c r="H531" s="7">
        <v>1</v>
      </c>
      <c r="I531" s="1" t="str">
        <f t="shared" si="472"/>
        <v>05</v>
      </c>
      <c r="J531" t="str">
        <f t="shared" si="473"/>
        <v>5</v>
      </c>
      <c r="K531">
        <f t="shared" si="474"/>
        <v>0</v>
      </c>
      <c r="M531" s="1" t="s">
        <v>207</v>
      </c>
      <c r="N531" s="23" t="s">
        <v>83</v>
      </c>
      <c r="O531">
        <v>0</v>
      </c>
      <c r="Q531" s="1" t="b">
        <f t="shared" ref="Q531" si="481">getText(I531)=getText(M531)</f>
        <v>1</v>
      </c>
      <c r="R531" t="b">
        <f t="shared" ref="R531" si="482">getText(J531)=getText(N531)</f>
        <v>1</v>
      </c>
      <c r="S531" t="b">
        <f t="shared" ref="S531" si="483">getText(K531)=getText(O531)</f>
        <v>1</v>
      </c>
    </row>
    <row r="532" spans="1:19" x14ac:dyDescent="0.15">
      <c r="C532" s="2" t="s">
        <v>194</v>
      </c>
      <c r="D532" s="2" t="s">
        <v>204</v>
      </c>
      <c r="E532" s="11" t="s">
        <v>114</v>
      </c>
      <c r="F532" s="13" t="s">
        <v>115</v>
      </c>
      <c r="G532" s="2">
        <v>2</v>
      </c>
      <c r="H532" s="2">
        <v>255</v>
      </c>
      <c r="I532" s="3" t="str">
        <f>TESTdivide(E532,F532,G532,H532)</f>
        <v>00101010101010101010101010101010101010101010101010101010101010101010101010101010101010101010101010101010101010101010101010101010101010101010101010101010101010101010101010101010101010101010101010101010101010101010101010101010101010101010101010101010101010101</v>
      </c>
      <c r="J532" s="2" t="str">
        <f>TESTdivideByRef1(E532,F532,G532,H532)</f>
        <v>1</v>
      </c>
      <c r="K532" s="2">
        <f>TESTdivideByRef2(E532,F532,G532,H532)</f>
        <v>0</v>
      </c>
      <c r="L532" s="2"/>
      <c r="M532" s="3" t="s">
        <v>199</v>
      </c>
      <c r="N532" s="2" t="s">
        <v>44</v>
      </c>
      <c r="O532" s="2">
        <v>0</v>
      </c>
      <c r="P532" s="2"/>
      <c r="Q532" s="3" t="b">
        <f t="shared" ref="Q532:Q535" si="484">getText(I532)=getText(M532)</f>
        <v>1</v>
      </c>
      <c r="R532" s="2" t="b">
        <f t="shared" ref="R532:R535" si="485">getText(J532)=getText(N532)</f>
        <v>1</v>
      </c>
      <c r="S532" s="2" t="b">
        <f t="shared" ref="S532:S535" si="486">getText(K532)=getText(O532)</f>
        <v>1</v>
      </c>
    </row>
    <row r="533" spans="1:19" x14ac:dyDescent="0.15">
      <c r="C533" s="6"/>
      <c r="D533" s="7" t="s">
        <v>203</v>
      </c>
      <c r="E533" s="9" t="s">
        <v>15</v>
      </c>
      <c r="F533" s="14" t="s">
        <v>18</v>
      </c>
      <c r="G533" s="6">
        <v>2</v>
      </c>
      <c r="H533" s="6">
        <v>256</v>
      </c>
      <c r="I533" s="1" t="str">
        <f t="shared" ref="I533" si="487">TESTdivide(E533,F533,G533,H533)</f>
        <v>001010101010101010101010101010101010101010101010101010101010101010101010101010101010101010101010101010101010101010101010101010101010101010101010101010101010101010101010101010101010101010101010101010101010101010101010101010101010101010101010101010101010101010</v>
      </c>
      <c r="J533" s="6" t="str">
        <f t="shared" ref="J533" si="488">TESTdivideByRef1(E533,F533,G533,H533)</f>
        <v>10</v>
      </c>
      <c r="K533" s="6">
        <f t="shared" ref="K533" si="489">TESTdivideByRef2(E533,F533,G533,H533)</f>
        <v>0</v>
      </c>
      <c r="L533" s="6"/>
      <c r="M533" s="1" t="s">
        <v>202</v>
      </c>
      <c r="N533" s="6" t="s">
        <v>15</v>
      </c>
      <c r="O533" s="6">
        <v>0</v>
      </c>
      <c r="P533" s="6"/>
      <c r="Q533" s="1" t="b">
        <f t="shared" ref="Q533" si="490">getText(I533)=getText(M533)</f>
        <v>1</v>
      </c>
      <c r="R533" s="6" t="b">
        <f t="shared" ref="R533" si="491">getText(J533)=getText(N533)</f>
        <v>1</v>
      </c>
      <c r="S533" s="6" t="b">
        <f t="shared" ref="S533" si="492">getText(K533)=getText(O533)</f>
        <v>1</v>
      </c>
    </row>
    <row r="534" spans="1:19" x14ac:dyDescent="0.15">
      <c r="D534" t="s">
        <v>47</v>
      </c>
      <c r="E534" s="9" t="s">
        <v>200</v>
      </c>
      <c r="F534" s="17" t="s">
        <v>196</v>
      </c>
      <c r="G534">
        <v>10</v>
      </c>
      <c r="H534" s="7">
        <v>255</v>
      </c>
      <c r="I534" s="1" t="str">
        <f>TESTdivide(E534,F534,G534,H534)</f>
        <v>0333333333333333333333333333333333333333333333333333333333333333333333333333333333333333333333333333333333333333333333333333333333333333333333333333333333333333333333333333333333333333333333333333333333333333333333333333333333333333333333333333333333333333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J534" t="str">
        <f>TESTdivideByRef1(E534,F534,G534,H534)</f>
        <v>1</v>
      </c>
      <c r="K534">
        <f>TESTdivideByRef2(E534,F534,G534,H534)</f>
        <v>0</v>
      </c>
      <c r="M534" s="1" t="s">
        <v>201</v>
      </c>
      <c r="N534" t="s">
        <v>44</v>
      </c>
      <c r="O534">
        <v>0</v>
      </c>
      <c r="Q534" s="1" t="b">
        <f t="shared" si="484"/>
        <v>1</v>
      </c>
      <c r="R534" t="b">
        <f t="shared" si="485"/>
        <v>1</v>
      </c>
      <c r="S534" t="b">
        <f t="shared" si="486"/>
        <v>1</v>
      </c>
    </row>
    <row r="535" spans="1:19" x14ac:dyDescent="0.15">
      <c r="D535" t="s">
        <v>49</v>
      </c>
      <c r="E535" s="9" t="s">
        <v>197</v>
      </c>
      <c r="F535" s="17" t="s">
        <v>198</v>
      </c>
      <c r="G535">
        <v>16</v>
      </c>
      <c r="H535" s="7">
        <v>255</v>
      </c>
      <c r="I535" s="1" t="str">
        <f>TESTdivide(E535,F535,G535,H535)</f>
        <v>0555555555555555555555555555555555555555555555555555555555555555555555555555555555555555555555555555555555555555555555555555555555555555555555555555555555555555555555555555555555555555555555555555555555555555555555555555555555555555555555555555555555555555</v>
      </c>
      <c r="J535" t="str">
        <f>TESTdivideByRef1(E535,F535,G535,H535)</f>
        <v>5</v>
      </c>
      <c r="K535">
        <f>TESTdivideByRef2(E535,F535,G535,H535)</f>
        <v>0</v>
      </c>
      <c r="M535" s="1" t="s">
        <v>205</v>
      </c>
      <c r="N535" t="s">
        <v>83</v>
      </c>
      <c r="O535">
        <v>0</v>
      </c>
      <c r="Q535" s="1" t="b">
        <f t="shared" si="484"/>
        <v>1</v>
      </c>
      <c r="R535" t="b">
        <f t="shared" si="485"/>
        <v>1</v>
      </c>
      <c r="S535" t="b">
        <f t="shared" si="486"/>
        <v>1</v>
      </c>
    </row>
    <row r="536" spans="1:19" s="2" customFormat="1" x14ac:dyDescent="0.15">
      <c r="A536" s="2" t="s">
        <v>60</v>
      </c>
      <c r="B536" s="2" t="s">
        <v>587</v>
      </c>
      <c r="C536" s="2" t="s">
        <v>3</v>
      </c>
      <c r="D536" s="2" t="s">
        <v>598</v>
      </c>
      <c r="E536" s="3">
        <v>0</v>
      </c>
      <c r="F536" s="2">
        <v>2</v>
      </c>
      <c r="G536" s="2">
        <v>2</v>
      </c>
      <c r="I536" s="3" t="str">
        <f t="shared" ref="I536:I575" si="493">TESTconvIntPrtOfNPntToIntPrtOfNPnt(E536,F536,G536)</f>
        <v>0</v>
      </c>
      <c r="M536" s="3" t="s">
        <v>14</v>
      </c>
      <c r="Q536" s="3" t="b">
        <f t="shared" ref="Q536:Q544" si="494">getText(I536)=getText(M536)</f>
        <v>1</v>
      </c>
    </row>
    <row r="537" spans="1:19" x14ac:dyDescent="0.15">
      <c r="B537" t="s">
        <v>589</v>
      </c>
      <c r="C537" t="s">
        <v>4</v>
      </c>
      <c r="D537" t="s">
        <v>599</v>
      </c>
      <c r="E537" s="1">
        <v>111</v>
      </c>
      <c r="F537">
        <v>2</v>
      </c>
      <c r="G537">
        <v>7</v>
      </c>
      <c r="I537" s="1" t="str">
        <f t="shared" si="493"/>
        <v>10</v>
      </c>
      <c r="M537" s="1" t="s">
        <v>15</v>
      </c>
      <c r="Q537" s="1" t="b">
        <f t="shared" si="494"/>
        <v>1</v>
      </c>
      <c r="R537" s="6"/>
    </row>
    <row r="538" spans="1:19" x14ac:dyDescent="0.15">
      <c r="C538" t="s">
        <v>5</v>
      </c>
      <c r="D538" t="s">
        <v>600</v>
      </c>
      <c r="E538" s="1">
        <v>10000</v>
      </c>
      <c r="F538">
        <v>2</v>
      </c>
      <c r="G538">
        <v>16</v>
      </c>
      <c r="I538" s="1" t="str">
        <f t="shared" si="493"/>
        <v>10</v>
      </c>
      <c r="M538" s="1" t="s">
        <v>15</v>
      </c>
      <c r="Q538" s="1" t="b">
        <f t="shared" si="494"/>
        <v>1</v>
      </c>
      <c r="R538" s="6"/>
    </row>
    <row r="539" spans="1:19" x14ac:dyDescent="0.15">
      <c r="C539" t="s">
        <v>6</v>
      </c>
      <c r="D539" t="s">
        <v>598</v>
      </c>
      <c r="E539" s="1">
        <v>0</v>
      </c>
      <c r="F539">
        <v>7</v>
      </c>
      <c r="G539">
        <v>2</v>
      </c>
      <c r="I539" s="1" t="str">
        <f t="shared" si="493"/>
        <v>0</v>
      </c>
      <c r="M539" s="1" t="s">
        <v>14</v>
      </c>
      <c r="Q539" s="1" t="b">
        <f t="shared" si="494"/>
        <v>1</v>
      </c>
      <c r="R539" s="6"/>
    </row>
    <row r="540" spans="1:19" x14ac:dyDescent="0.15">
      <c r="C540" t="s">
        <v>7</v>
      </c>
      <c r="D540" t="s">
        <v>599</v>
      </c>
      <c r="E540" s="1">
        <v>10</v>
      </c>
      <c r="F540">
        <v>7</v>
      </c>
      <c r="G540">
        <v>7</v>
      </c>
      <c r="I540" s="1" t="str">
        <f t="shared" si="493"/>
        <v>10</v>
      </c>
      <c r="M540" s="1" t="s">
        <v>15</v>
      </c>
      <c r="Q540" s="1" t="b">
        <f t="shared" si="494"/>
        <v>1</v>
      </c>
      <c r="R540" s="6"/>
    </row>
    <row r="541" spans="1:19" x14ac:dyDescent="0.15">
      <c r="C541" t="s">
        <v>8</v>
      </c>
      <c r="D541" t="s">
        <v>600</v>
      </c>
      <c r="E541" s="1">
        <v>22</v>
      </c>
      <c r="F541">
        <v>7</v>
      </c>
      <c r="G541">
        <v>16</v>
      </c>
      <c r="I541" s="1" t="str">
        <f t="shared" si="493"/>
        <v>10</v>
      </c>
      <c r="M541" s="1" t="s">
        <v>15</v>
      </c>
      <c r="Q541" s="1" t="b">
        <f t="shared" si="494"/>
        <v>1</v>
      </c>
      <c r="R541" s="6"/>
    </row>
    <row r="542" spans="1:19" x14ac:dyDescent="0.15">
      <c r="C542" t="s">
        <v>9</v>
      </c>
      <c r="D542" t="s">
        <v>598</v>
      </c>
      <c r="E542" s="1">
        <v>0</v>
      </c>
      <c r="F542">
        <v>16</v>
      </c>
      <c r="G542">
        <v>2</v>
      </c>
      <c r="I542" s="1" t="str">
        <f t="shared" si="493"/>
        <v>0</v>
      </c>
      <c r="M542" s="1" t="s">
        <v>14</v>
      </c>
      <c r="Q542" s="1" t="b">
        <f t="shared" si="494"/>
        <v>1</v>
      </c>
      <c r="R542" s="6"/>
    </row>
    <row r="543" spans="1:19" x14ac:dyDescent="0.15">
      <c r="C543" t="s">
        <v>10</v>
      </c>
      <c r="D543" t="s">
        <v>599</v>
      </c>
      <c r="E543" s="1">
        <v>7</v>
      </c>
      <c r="F543">
        <v>16</v>
      </c>
      <c r="G543">
        <v>7</v>
      </c>
      <c r="I543" s="1" t="str">
        <f t="shared" si="493"/>
        <v>10</v>
      </c>
      <c r="M543" s="1" t="s">
        <v>15</v>
      </c>
      <c r="Q543" s="1" t="b">
        <f t="shared" si="494"/>
        <v>1</v>
      </c>
      <c r="R543" s="6"/>
    </row>
    <row r="544" spans="1:19" s="6" customFormat="1" x14ac:dyDescent="0.15">
      <c r="C544" s="6" t="s">
        <v>11</v>
      </c>
      <c r="D544" s="6" t="s">
        <v>600</v>
      </c>
      <c r="E544" s="1">
        <v>10</v>
      </c>
      <c r="F544" s="6">
        <v>16</v>
      </c>
      <c r="G544" s="6">
        <v>16</v>
      </c>
      <c r="I544" s="1" t="str">
        <f t="shared" si="493"/>
        <v>10</v>
      </c>
      <c r="M544" s="1" t="s">
        <v>15</v>
      </c>
      <c r="Q544" s="1" t="b">
        <f t="shared" si="494"/>
        <v>1</v>
      </c>
    </row>
    <row r="545" spans="2:17" s="6" customFormat="1" x14ac:dyDescent="0.15">
      <c r="B545" s="2" t="s">
        <v>587</v>
      </c>
      <c r="C545" s="2" t="s">
        <v>25</v>
      </c>
      <c r="D545" s="2" t="s">
        <v>3</v>
      </c>
      <c r="E545" s="3">
        <v>10001</v>
      </c>
      <c r="F545" s="2">
        <v>2</v>
      </c>
      <c r="G545" s="2">
        <v>2</v>
      </c>
      <c r="H545" s="2"/>
      <c r="I545" s="3" t="str">
        <f t="shared" si="493"/>
        <v>10001</v>
      </c>
      <c r="J545" s="2"/>
      <c r="K545" s="2"/>
      <c r="L545" s="2"/>
      <c r="M545" s="3" t="s">
        <v>16</v>
      </c>
      <c r="N545" s="2"/>
      <c r="O545" s="2"/>
      <c r="P545" s="2"/>
      <c r="Q545" s="3" t="b">
        <f t="shared" ref="Q545:Q547" si="495">getText(I545)=getText(M545)</f>
        <v>1</v>
      </c>
    </row>
    <row r="546" spans="2:17" s="6" customFormat="1" x14ac:dyDescent="0.15">
      <c r="B546" s="6" t="s">
        <v>588</v>
      </c>
      <c r="C546" s="6" t="s">
        <v>53</v>
      </c>
      <c r="D546" s="6" t="s">
        <v>4</v>
      </c>
      <c r="E546" s="1">
        <v>10001</v>
      </c>
      <c r="F546" s="6">
        <v>2</v>
      </c>
      <c r="G546" s="6">
        <v>7</v>
      </c>
      <c r="I546" s="1" t="str">
        <f t="shared" si="493"/>
        <v>23</v>
      </c>
      <c r="M546" s="1" t="s">
        <v>17</v>
      </c>
      <c r="Q546" s="1" t="b">
        <f t="shared" si="495"/>
        <v>1</v>
      </c>
    </row>
    <row r="547" spans="2:17" s="6" customFormat="1" x14ac:dyDescent="0.15">
      <c r="C547" s="7" t="s">
        <v>54</v>
      </c>
      <c r="D547" s="6" t="s">
        <v>5</v>
      </c>
      <c r="E547" s="1">
        <v>10001</v>
      </c>
      <c r="F547" s="6">
        <v>2</v>
      </c>
      <c r="G547" s="6">
        <v>16</v>
      </c>
      <c r="I547" s="1" t="str">
        <f t="shared" si="493"/>
        <v>11</v>
      </c>
      <c r="M547" s="1" t="s">
        <v>18</v>
      </c>
      <c r="Q547" s="1" t="b">
        <f t="shared" si="495"/>
        <v>1</v>
      </c>
    </row>
    <row r="548" spans="2:17" s="6" customFormat="1" x14ac:dyDescent="0.15">
      <c r="D548" s="6" t="s">
        <v>6</v>
      </c>
      <c r="E548" s="1">
        <v>23</v>
      </c>
      <c r="F548" s="6">
        <v>7</v>
      </c>
      <c r="G548" s="6">
        <v>2</v>
      </c>
      <c r="I548" s="1" t="str">
        <f t="shared" si="493"/>
        <v>10001</v>
      </c>
      <c r="M548" s="1" t="s">
        <v>16</v>
      </c>
      <c r="Q548" s="1" t="b">
        <f t="shared" ref="Q548:Q550" si="496">getText(I548)=getText(M548)</f>
        <v>1</v>
      </c>
    </row>
    <row r="549" spans="2:17" s="6" customFormat="1" x14ac:dyDescent="0.15">
      <c r="D549" s="6" t="s">
        <v>7</v>
      </c>
      <c r="E549" s="1">
        <v>23</v>
      </c>
      <c r="F549" s="6">
        <v>7</v>
      </c>
      <c r="G549" s="6">
        <v>7</v>
      </c>
      <c r="I549" s="1" t="str">
        <f t="shared" si="493"/>
        <v>23</v>
      </c>
      <c r="M549" s="1" t="s">
        <v>17</v>
      </c>
      <c r="Q549" s="1" t="b">
        <f t="shared" si="496"/>
        <v>1</v>
      </c>
    </row>
    <row r="550" spans="2:17" s="6" customFormat="1" x14ac:dyDescent="0.15">
      <c r="D550" s="6" t="s">
        <v>8</v>
      </c>
      <c r="E550" s="1">
        <v>23</v>
      </c>
      <c r="F550" s="6">
        <v>7</v>
      </c>
      <c r="G550" s="6">
        <v>16</v>
      </c>
      <c r="I550" s="1" t="str">
        <f t="shared" si="493"/>
        <v>11</v>
      </c>
      <c r="M550" s="1" t="s">
        <v>18</v>
      </c>
      <c r="Q550" s="1" t="b">
        <f t="shared" si="496"/>
        <v>1</v>
      </c>
    </row>
    <row r="551" spans="2:17" s="6" customFormat="1" x14ac:dyDescent="0.15">
      <c r="D551" s="6" t="s">
        <v>9</v>
      </c>
      <c r="E551" s="1">
        <v>11</v>
      </c>
      <c r="F551" s="6">
        <v>16</v>
      </c>
      <c r="G551" s="6">
        <v>2</v>
      </c>
      <c r="I551" s="1" t="str">
        <f t="shared" si="493"/>
        <v>10001</v>
      </c>
      <c r="M551" s="1" t="s">
        <v>16</v>
      </c>
      <c r="Q551" s="1" t="b">
        <f t="shared" ref="Q551:Q553" si="497">getText(I551)=getText(M551)</f>
        <v>1</v>
      </c>
    </row>
    <row r="552" spans="2:17" s="6" customFormat="1" x14ac:dyDescent="0.15">
      <c r="D552" s="6" t="s">
        <v>10</v>
      </c>
      <c r="E552" s="1">
        <v>11</v>
      </c>
      <c r="F552" s="6">
        <v>16</v>
      </c>
      <c r="G552" s="6">
        <v>7</v>
      </c>
      <c r="I552" s="1" t="str">
        <f t="shared" si="493"/>
        <v>23</v>
      </c>
      <c r="M552" s="1" t="s">
        <v>17</v>
      </c>
      <c r="Q552" s="1" t="b">
        <f t="shared" si="497"/>
        <v>1</v>
      </c>
    </row>
    <row r="553" spans="2:17" s="6" customFormat="1" x14ac:dyDescent="0.15">
      <c r="D553" s="6" t="s">
        <v>11</v>
      </c>
      <c r="E553" s="1">
        <v>11</v>
      </c>
      <c r="F553" s="6">
        <v>16</v>
      </c>
      <c r="G553" s="6">
        <v>16</v>
      </c>
      <c r="I553" s="1" t="str">
        <f t="shared" si="493"/>
        <v>11</v>
      </c>
      <c r="M553" s="1" t="s">
        <v>18</v>
      </c>
      <c r="Q553" s="1" t="b">
        <f t="shared" si="497"/>
        <v>1</v>
      </c>
    </row>
    <row r="554" spans="2:17" s="6" customFormat="1" x14ac:dyDescent="0.15">
      <c r="C554" s="2" t="s">
        <v>23</v>
      </c>
      <c r="D554" s="2" t="s">
        <v>3</v>
      </c>
      <c r="E554" s="3">
        <v>11</v>
      </c>
      <c r="F554" s="2">
        <v>2</v>
      </c>
      <c r="G554" s="2">
        <v>2</v>
      </c>
      <c r="H554" s="2"/>
      <c r="I554" s="3" t="str">
        <f t="shared" si="493"/>
        <v>11</v>
      </c>
      <c r="J554" s="2"/>
      <c r="K554" s="2"/>
      <c r="L554" s="2"/>
      <c r="M554" s="3" t="s">
        <v>18</v>
      </c>
      <c r="N554" s="2"/>
      <c r="O554" s="2"/>
      <c r="P554" s="2"/>
      <c r="Q554" s="3" t="b">
        <f t="shared" ref="Q554" si="498">getText(I554)=getText(M554)</f>
        <v>1</v>
      </c>
    </row>
    <row r="555" spans="2:17" s="6" customFormat="1" x14ac:dyDescent="0.15">
      <c r="C555" s="6" t="s">
        <v>53</v>
      </c>
      <c r="D555" s="6" t="s">
        <v>4</v>
      </c>
      <c r="E555" s="1">
        <v>110000</v>
      </c>
      <c r="F555" s="6">
        <v>2</v>
      </c>
      <c r="G555" s="6">
        <v>7</v>
      </c>
      <c r="I555" s="1" t="str">
        <f t="shared" si="493"/>
        <v>66</v>
      </c>
      <c r="M555" s="1" t="s">
        <v>20</v>
      </c>
      <c r="Q555" s="1" t="b">
        <f t="shared" ref="Q555" si="499">getText(I555)=getText(M555)</f>
        <v>1</v>
      </c>
    </row>
    <row r="556" spans="2:17" s="6" customFormat="1" x14ac:dyDescent="0.15">
      <c r="C556" s="6" t="s">
        <v>55</v>
      </c>
      <c r="D556" s="6" t="s">
        <v>5</v>
      </c>
      <c r="E556" s="1">
        <v>11111111</v>
      </c>
      <c r="F556" s="7">
        <v>2</v>
      </c>
      <c r="G556" s="7">
        <v>16</v>
      </c>
      <c r="I556" s="1" t="str">
        <f t="shared" si="493"/>
        <v>FF</v>
      </c>
      <c r="M556" s="1" t="s">
        <v>22</v>
      </c>
      <c r="Q556" s="1" t="b">
        <f t="shared" ref="Q556" si="500">getText(I556)=getText(M556)</f>
        <v>1</v>
      </c>
    </row>
    <row r="557" spans="2:17" s="6" customFormat="1" x14ac:dyDescent="0.15">
      <c r="D557" s="6" t="s">
        <v>6</v>
      </c>
      <c r="E557" s="1">
        <v>3</v>
      </c>
      <c r="F557" s="7">
        <v>7</v>
      </c>
      <c r="G557" s="7">
        <v>2</v>
      </c>
      <c r="I557" s="1" t="str">
        <f t="shared" si="493"/>
        <v>11</v>
      </c>
      <c r="M557" s="1" t="s">
        <v>18</v>
      </c>
      <c r="Q557" s="1" t="b">
        <f t="shared" ref="Q557:Q562" si="501">getText(I557)=getText(M557)</f>
        <v>1</v>
      </c>
    </row>
    <row r="558" spans="2:17" s="6" customFormat="1" x14ac:dyDescent="0.15">
      <c r="D558" s="6" t="s">
        <v>7</v>
      </c>
      <c r="E558" s="1">
        <v>66</v>
      </c>
      <c r="F558" s="7">
        <v>7</v>
      </c>
      <c r="G558" s="7">
        <v>7</v>
      </c>
      <c r="I558" s="1" t="str">
        <f t="shared" si="493"/>
        <v>66</v>
      </c>
      <c r="M558" s="1" t="s">
        <v>20</v>
      </c>
      <c r="Q558" s="1" t="b">
        <f t="shared" si="501"/>
        <v>1</v>
      </c>
    </row>
    <row r="559" spans="2:17" s="6" customFormat="1" x14ac:dyDescent="0.15">
      <c r="D559" s="6" t="s">
        <v>8</v>
      </c>
      <c r="E559" s="1">
        <v>513</v>
      </c>
      <c r="F559" s="7">
        <v>7</v>
      </c>
      <c r="G559" s="7">
        <v>16</v>
      </c>
      <c r="I559" s="1" t="str">
        <f t="shared" si="493"/>
        <v>FF</v>
      </c>
      <c r="M559" s="1" t="s">
        <v>22</v>
      </c>
      <c r="Q559" s="1" t="b">
        <f t="shared" si="501"/>
        <v>1</v>
      </c>
    </row>
    <row r="560" spans="2:17" s="6" customFormat="1" x14ac:dyDescent="0.15">
      <c r="D560" s="6" t="s">
        <v>9</v>
      </c>
      <c r="E560" s="8">
        <v>3</v>
      </c>
      <c r="F560" s="7">
        <v>16</v>
      </c>
      <c r="G560" s="7">
        <v>2</v>
      </c>
      <c r="I560" s="1" t="str">
        <f t="shared" si="493"/>
        <v>11</v>
      </c>
      <c r="M560" s="1" t="s">
        <v>18</v>
      </c>
      <c r="Q560" s="1" t="b">
        <f t="shared" si="501"/>
        <v>1</v>
      </c>
    </row>
    <row r="561" spans="3:18" s="6" customFormat="1" x14ac:dyDescent="0.15">
      <c r="D561" s="6" t="s">
        <v>10</v>
      </c>
      <c r="E561" s="1">
        <v>30</v>
      </c>
      <c r="F561" s="7">
        <v>16</v>
      </c>
      <c r="G561" s="7">
        <v>7</v>
      </c>
      <c r="I561" s="1" t="str">
        <f t="shared" si="493"/>
        <v>66</v>
      </c>
      <c r="M561" s="1" t="s">
        <v>20</v>
      </c>
      <c r="Q561" s="1" t="b">
        <f t="shared" si="501"/>
        <v>1</v>
      </c>
    </row>
    <row r="562" spans="3:18" s="6" customFormat="1" x14ac:dyDescent="0.15">
      <c r="D562" s="6" t="s">
        <v>11</v>
      </c>
      <c r="E562" s="8" t="s">
        <v>26</v>
      </c>
      <c r="F562" s="7">
        <v>16</v>
      </c>
      <c r="G562" s="7">
        <v>16</v>
      </c>
      <c r="I562" s="1" t="str">
        <f t="shared" si="493"/>
        <v>FF</v>
      </c>
      <c r="M562" s="1" t="s">
        <v>22</v>
      </c>
      <c r="Q562" s="1" t="b">
        <f t="shared" si="501"/>
        <v>1</v>
      </c>
    </row>
    <row r="563" spans="3:18" s="6" customFormat="1" x14ac:dyDescent="0.15">
      <c r="C563" s="2" t="s">
        <v>24</v>
      </c>
      <c r="D563" s="2" t="s">
        <v>3</v>
      </c>
      <c r="E563" s="3">
        <v>100</v>
      </c>
      <c r="F563" s="2">
        <v>2</v>
      </c>
      <c r="G563" s="2">
        <v>2</v>
      </c>
      <c r="H563" s="2"/>
      <c r="I563" s="3" t="str">
        <f t="shared" si="493"/>
        <v>100</v>
      </c>
      <c r="J563" s="2"/>
      <c r="K563" s="2"/>
      <c r="L563" s="2"/>
      <c r="M563" s="3" t="s">
        <v>21</v>
      </c>
      <c r="N563" s="2"/>
      <c r="O563" s="2"/>
      <c r="P563" s="2"/>
      <c r="Q563" s="3" t="b">
        <f t="shared" ref="Q563" si="502">getText(I563)=getText(M563)</f>
        <v>1</v>
      </c>
    </row>
    <row r="564" spans="3:18" s="6" customFormat="1" x14ac:dyDescent="0.15">
      <c r="C564" s="6" t="s">
        <v>53</v>
      </c>
      <c r="D564" s="6" t="s">
        <v>4</v>
      </c>
      <c r="E564" s="1">
        <v>110001</v>
      </c>
      <c r="F564" s="6">
        <v>2</v>
      </c>
      <c r="G564" s="6">
        <v>7</v>
      </c>
      <c r="I564" s="1" t="str">
        <f t="shared" si="493"/>
        <v>100</v>
      </c>
      <c r="M564" s="1" t="s">
        <v>21</v>
      </c>
      <c r="Q564" s="1" t="b">
        <f t="shared" ref="Q564" si="503">getText(I564)=getText(M564)</f>
        <v>1</v>
      </c>
    </row>
    <row r="565" spans="3:18" s="6" customFormat="1" x14ac:dyDescent="0.15">
      <c r="C565" s="6" t="s">
        <v>56</v>
      </c>
      <c r="D565" s="6" t="s">
        <v>5</v>
      </c>
      <c r="E565" s="1">
        <v>100000000</v>
      </c>
      <c r="F565" s="6">
        <v>2</v>
      </c>
      <c r="G565" s="6">
        <v>16</v>
      </c>
      <c r="I565" s="1" t="str">
        <f t="shared" si="493"/>
        <v>100</v>
      </c>
      <c r="M565" s="1" t="s">
        <v>21</v>
      </c>
      <c r="Q565" s="1" t="b">
        <f t="shared" ref="Q565" si="504">getText(I565)=getText(M565)</f>
        <v>1</v>
      </c>
    </row>
    <row r="566" spans="3:18" s="6" customFormat="1" x14ac:dyDescent="0.15">
      <c r="D566" s="6" t="s">
        <v>6</v>
      </c>
      <c r="E566" s="1">
        <v>4</v>
      </c>
      <c r="F566" s="7">
        <v>7</v>
      </c>
      <c r="G566" s="7">
        <v>2</v>
      </c>
      <c r="I566" s="1" t="str">
        <f t="shared" si="493"/>
        <v>100</v>
      </c>
      <c r="M566" s="1" t="s">
        <v>21</v>
      </c>
      <c r="Q566" s="1" t="b">
        <f t="shared" ref="Q566:Q568" si="505">getText(I566)=getText(M566)</f>
        <v>1</v>
      </c>
    </row>
    <row r="567" spans="3:18" s="6" customFormat="1" x14ac:dyDescent="0.15">
      <c r="D567" s="6" t="s">
        <v>7</v>
      </c>
      <c r="E567" s="1">
        <v>100</v>
      </c>
      <c r="F567" s="7">
        <v>7</v>
      </c>
      <c r="G567" s="7">
        <v>7</v>
      </c>
      <c r="I567" s="1" t="str">
        <f t="shared" si="493"/>
        <v>100</v>
      </c>
      <c r="M567" s="1" t="s">
        <v>21</v>
      </c>
      <c r="Q567" s="1" t="b">
        <f t="shared" si="505"/>
        <v>1</v>
      </c>
    </row>
    <row r="568" spans="3:18" s="6" customFormat="1" x14ac:dyDescent="0.15">
      <c r="D568" s="6" t="s">
        <v>8</v>
      </c>
      <c r="E568" s="1">
        <v>514</v>
      </c>
      <c r="F568" s="7">
        <v>7</v>
      </c>
      <c r="G568" s="7">
        <v>16</v>
      </c>
      <c r="I568" s="1" t="str">
        <f t="shared" si="493"/>
        <v>100</v>
      </c>
      <c r="M568" s="1" t="s">
        <v>21</v>
      </c>
      <c r="Q568" s="1" t="b">
        <f t="shared" si="505"/>
        <v>1</v>
      </c>
    </row>
    <row r="569" spans="3:18" s="6" customFormat="1" x14ac:dyDescent="0.15">
      <c r="D569" s="6" t="s">
        <v>9</v>
      </c>
      <c r="E569" s="1">
        <v>4</v>
      </c>
      <c r="F569" s="7">
        <v>16</v>
      </c>
      <c r="G569" s="7">
        <v>2</v>
      </c>
      <c r="I569" s="1" t="str">
        <f t="shared" si="493"/>
        <v>100</v>
      </c>
      <c r="M569" s="1" t="s">
        <v>21</v>
      </c>
      <c r="Q569" s="1" t="b">
        <f t="shared" ref="Q569:Q571" si="506">getText(I569)=getText(M569)</f>
        <v>1</v>
      </c>
    </row>
    <row r="570" spans="3:18" s="6" customFormat="1" x14ac:dyDescent="0.15">
      <c r="D570" s="6" t="s">
        <v>10</v>
      </c>
      <c r="E570" s="1">
        <v>31</v>
      </c>
      <c r="F570" s="7">
        <v>16</v>
      </c>
      <c r="G570" s="7">
        <v>7</v>
      </c>
      <c r="I570" s="1" t="str">
        <f t="shared" si="493"/>
        <v>100</v>
      </c>
      <c r="M570" s="1" t="s">
        <v>21</v>
      </c>
      <c r="Q570" s="1" t="b">
        <f t="shared" si="506"/>
        <v>1</v>
      </c>
    </row>
    <row r="571" spans="3:18" s="6" customFormat="1" x14ac:dyDescent="0.15">
      <c r="D571" s="6" t="s">
        <v>11</v>
      </c>
      <c r="E571" s="8">
        <v>100</v>
      </c>
      <c r="F571" s="7">
        <v>16</v>
      </c>
      <c r="G571" s="7">
        <v>16</v>
      </c>
      <c r="I571" s="1" t="str">
        <f t="shared" si="493"/>
        <v>100</v>
      </c>
      <c r="M571" s="1" t="s">
        <v>21</v>
      </c>
      <c r="Q571" s="1" t="b">
        <f t="shared" si="506"/>
        <v>1</v>
      </c>
    </row>
    <row r="572" spans="3:18" s="6" customFormat="1" x14ac:dyDescent="0.15">
      <c r="C572" s="2" t="s">
        <v>27</v>
      </c>
      <c r="D572" s="2" t="s">
        <v>3</v>
      </c>
      <c r="E572" s="3">
        <v>111</v>
      </c>
      <c r="F572" s="2">
        <v>2</v>
      </c>
      <c r="G572" s="2">
        <v>2</v>
      </c>
      <c r="H572" s="2"/>
      <c r="I572" s="3" t="str">
        <f t="shared" si="493"/>
        <v>111</v>
      </c>
      <c r="J572" s="2"/>
      <c r="K572" s="2"/>
      <c r="L572" s="2"/>
      <c r="M572" s="3" t="s">
        <v>31</v>
      </c>
      <c r="N572" s="2"/>
      <c r="O572" s="2"/>
      <c r="P572" s="2"/>
      <c r="Q572" s="3" t="b">
        <f t="shared" ref="Q572:Q574" si="507">getText(I572)=getText(M572)</f>
        <v>1</v>
      </c>
    </row>
    <row r="573" spans="3:18" x14ac:dyDescent="0.15">
      <c r="C573" s="6" t="s">
        <v>53</v>
      </c>
      <c r="D573" s="6" t="s">
        <v>4</v>
      </c>
      <c r="E573" s="1">
        <v>101010110</v>
      </c>
      <c r="F573" s="6">
        <v>2</v>
      </c>
      <c r="G573" s="6">
        <v>7</v>
      </c>
      <c r="I573" s="1" t="str">
        <f t="shared" si="493"/>
        <v>666</v>
      </c>
      <c r="M573" s="1" t="s">
        <v>32</v>
      </c>
      <c r="Q573" s="1" t="b">
        <f t="shared" si="507"/>
        <v>1</v>
      </c>
      <c r="R573" s="6"/>
    </row>
    <row r="574" spans="3:18" x14ac:dyDescent="0.15">
      <c r="C574" s="6" t="s">
        <v>57</v>
      </c>
      <c r="D574" s="6" t="s">
        <v>5</v>
      </c>
      <c r="E574" s="9" t="s">
        <v>30</v>
      </c>
      <c r="F574" s="6">
        <v>2</v>
      </c>
      <c r="G574" s="6">
        <v>16</v>
      </c>
      <c r="I574" s="1" t="str">
        <f t="shared" si="493"/>
        <v>FFF</v>
      </c>
      <c r="M574" s="1" t="s">
        <v>33</v>
      </c>
      <c r="Q574" s="1" t="b">
        <f t="shared" si="507"/>
        <v>1</v>
      </c>
      <c r="R574" s="6"/>
    </row>
    <row r="575" spans="3:18" x14ac:dyDescent="0.15">
      <c r="C575" s="6"/>
      <c r="D575" s="6" t="s">
        <v>6</v>
      </c>
      <c r="E575" s="1">
        <v>10</v>
      </c>
      <c r="F575" s="7">
        <v>7</v>
      </c>
      <c r="G575" s="7">
        <v>2</v>
      </c>
      <c r="I575" s="1" t="str">
        <f t="shared" si="493"/>
        <v>111</v>
      </c>
      <c r="M575" s="1" t="s">
        <v>31</v>
      </c>
      <c r="Q575" s="1" t="b">
        <f t="shared" ref="Q575:Q589" si="508">getText(I575)=getText(M575)</f>
        <v>1</v>
      </c>
      <c r="R575" s="6"/>
    </row>
    <row r="576" spans="3:18" x14ac:dyDescent="0.15">
      <c r="C576" s="6"/>
      <c r="D576" s="6" t="s">
        <v>7</v>
      </c>
      <c r="E576" s="1">
        <v>666</v>
      </c>
      <c r="F576" s="7">
        <v>7</v>
      </c>
      <c r="G576" s="7">
        <v>7</v>
      </c>
      <c r="I576" s="1" t="str">
        <f t="shared" ref="I576" si="509">TESTconvIntPrtOfNPntToIntPrtOfNPnt(E576,F576,G576)</f>
        <v>666</v>
      </c>
      <c r="M576" s="1" t="s">
        <v>32</v>
      </c>
      <c r="Q576" s="1" t="b">
        <f t="shared" si="508"/>
        <v>1</v>
      </c>
      <c r="R576" s="6"/>
    </row>
    <row r="577" spans="1:18" x14ac:dyDescent="0.15">
      <c r="C577" s="6"/>
      <c r="D577" s="6" t="s">
        <v>8</v>
      </c>
      <c r="E577" s="1">
        <v>14640</v>
      </c>
      <c r="F577" s="7">
        <v>7</v>
      </c>
      <c r="G577" s="7">
        <v>16</v>
      </c>
      <c r="I577" s="1" t="str">
        <f t="shared" ref="I577" si="510">TESTconvIntPrtOfNPntToIntPrtOfNPnt(E577,F577,G577)</f>
        <v>FFF</v>
      </c>
      <c r="M577" s="1" t="s">
        <v>33</v>
      </c>
      <c r="Q577" s="1" t="b">
        <f t="shared" si="508"/>
        <v>1</v>
      </c>
      <c r="R577" s="6"/>
    </row>
    <row r="578" spans="1:18" x14ac:dyDescent="0.15">
      <c r="C578" s="6"/>
      <c r="D578" s="6" t="s">
        <v>9</v>
      </c>
      <c r="E578" s="1">
        <v>7</v>
      </c>
      <c r="F578" s="7">
        <v>16</v>
      </c>
      <c r="G578" s="7">
        <v>2</v>
      </c>
      <c r="I578" s="1" t="str">
        <f t="shared" ref="I578:I589" si="511">TESTconvIntPrtOfNPntToIntPrtOfNPnt(E578,F578,G578)</f>
        <v>111</v>
      </c>
      <c r="M578" s="1" t="s">
        <v>31</v>
      </c>
      <c r="Q578" s="1" t="b">
        <f t="shared" si="508"/>
        <v>1</v>
      </c>
      <c r="R578" s="6"/>
    </row>
    <row r="579" spans="1:18" x14ac:dyDescent="0.15">
      <c r="C579" s="6"/>
      <c r="D579" s="6" t="s">
        <v>10</v>
      </c>
      <c r="E579" s="1">
        <v>156</v>
      </c>
      <c r="F579" s="7">
        <v>16</v>
      </c>
      <c r="G579" s="7">
        <v>7</v>
      </c>
      <c r="I579" s="1" t="str">
        <f t="shared" si="511"/>
        <v>666</v>
      </c>
      <c r="M579" s="1" t="s">
        <v>32</v>
      </c>
      <c r="Q579" s="1" t="b">
        <f t="shared" si="508"/>
        <v>1</v>
      </c>
      <c r="R579" s="6"/>
    </row>
    <row r="580" spans="1:18" x14ac:dyDescent="0.15">
      <c r="C580" s="6"/>
      <c r="D580" s="6" t="s">
        <v>11</v>
      </c>
      <c r="E580" s="8" t="s">
        <v>35</v>
      </c>
      <c r="F580" s="7">
        <v>16</v>
      </c>
      <c r="G580" s="7">
        <v>16</v>
      </c>
      <c r="I580" s="1" t="str">
        <f t="shared" si="511"/>
        <v>FFF</v>
      </c>
      <c r="M580" s="1" t="s">
        <v>33</v>
      </c>
      <c r="Q580" s="1" t="b">
        <f t="shared" si="508"/>
        <v>1</v>
      </c>
      <c r="R580" s="6"/>
    </row>
    <row r="581" spans="1:18" x14ac:dyDescent="0.15">
      <c r="C581" s="2" t="s">
        <v>28</v>
      </c>
      <c r="D581" s="2" t="s">
        <v>3</v>
      </c>
      <c r="E581" s="3">
        <v>1000</v>
      </c>
      <c r="F581" s="2">
        <v>2</v>
      </c>
      <c r="G581" s="2">
        <v>2</v>
      </c>
      <c r="H581" s="2"/>
      <c r="I581" s="3" t="str">
        <f t="shared" si="511"/>
        <v>1000</v>
      </c>
      <c r="J581" s="2"/>
      <c r="K581" s="2"/>
      <c r="L581" s="2"/>
      <c r="M581" s="3" t="s">
        <v>34</v>
      </c>
      <c r="N581" s="2"/>
      <c r="O581" s="2"/>
      <c r="P581" s="2"/>
      <c r="Q581" s="3" t="b">
        <f t="shared" si="508"/>
        <v>1</v>
      </c>
      <c r="R581" s="6"/>
    </row>
    <row r="582" spans="1:18" x14ac:dyDescent="0.15">
      <c r="C582" s="6" t="s">
        <v>53</v>
      </c>
      <c r="D582" s="6" t="s">
        <v>4</v>
      </c>
      <c r="E582" s="1">
        <v>101010111</v>
      </c>
      <c r="F582" s="6">
        <v>2</v>
      </c>
      <c r="G582" s="6">
        <v>7</v>
      </c>
      <c r="I582" s="1" t="str">
        <f t="shared" si="511"/>
        <v>1000</v>
      </c>
      <c r="M582" s="1" t="s">
        <v>34</v>
      </c>
      <c r="Q582" s="1" t="b">
        <f t="shared" si="508"/>
        <v>1</v>
      </c>
      <c r="R582" s="6"/>
    </row>
    <row r="583" spans="1:18" x14ac:dyDescent="0.15">
      <c r="C583" s="6" t="s">
        <v>58</v>
      </c>
      <c r="D583" s="6" t="s">
        <v>5</v>
      </c>
      <c r="E583" s="9" t="s">
        <v>29</v>
      </c>
      <c r="F583" s="6">
        <v>2</v>
      </c>
      <c r="G583" s="6">
        <v>16</v>
      </c>
      <c r="I583" s="1" t="str">
        <f t="shared" si="511"/>
        <v>1000</v>
      </c>
      <c r="M583" s="1" t="s">
        <v>34</v>
      </c>
      <c r="Q583" s="1" t="b">
        <f t="shared" si="508"/>
        <v>1</v>
      </c>
      <c r="R583" s="6"/>
    </row>
    <row r="584" spans="1:18" x14ac:dyDescent="0.15">
      <c r="C584" s="6"/>
      <c r="D584" s="6" t="s">
        <v>6</v>
      </c>
      <c r="E584" s="1">
        <v>11</v>
      </c>
      <c r="F584" s="7">
        <v>7</v>
      </c>
      <c r="G584" s="7">
        <v>2</v>
      </c>
      <c r="I584" s="1" t="str">
        <f t="shared" si="511"/>
        <v>1000</v>
      </c>
      <c r="M584" s="1" t="s">
        <v>34</v>
      </c>
      <c r="Q584" s="1" t="b">
        <f t="shared" si="508"/>
        <v>1</v>
      </c>
      <c r="R584" s="6"/>
    </row>
    <row r="585" spans="1:18" x14ac:dyDescent="0.15">
      <c r="C585" s="6"/>
      <c r="D585" s="6" t="s">
        <v>7</v>
      </c>
      <c r="E585" s="1">
        <v>1000</v>
      </c>
      <c r="F585" s="7">
        <v>7</v>
      </c>
      <c r="G585" s="7">
        <v>7</v>
      </c>
      <c r="I585" s="1" t="str">
        <f t="shared" si="511"/>
        <v>1000</v>
      </c>
      <c r="M585" s="1" t="s">
        <v>34</v>
      </c>
      <c r="Q585" s="1" t="b">
        <f t="shared" si="508"/>
        <v>1</v>
      </c>
      <c r="R585" s="6"/>
    </row>
    <row r="586" spans="1:18" x14ac:dyDescent="0.15">
      <c r="C586" s="6"/>
      <c r="D586" s="6" t="s">
        <v>8</v>
      </c>
      <c r="E586" s="1">
        <v>14641</v>
      </c>
      <c r="F586" s="7">
        <v>7</v>
      </c>
      <c r="G586" s="7">
        <v>16</v>
      </c>
      <c r="I586" s="1" t="str">
        <f t="shared" si="511"/>
        <v>1000</v>
      </c>
      <c r="M586" s="1" t="s">
        <v>34</v>
      </c>
      <c r="Q586" s="1" t="b">
        <f t="shared" si="508"/>
        <v>1</v>
      </c>
      <c r="R586" s="6"/>
    </row>
    <row r="587" spans="1:18" x14ac:dyDescent="0.15">
      <c r="C587" s="6"/>
      <c r="D587" s="6" t="s">
        <v>9</v>
      </c>
      <c r="E587" s="1">
        <v>8</v>
      </c>
      <c r="F587" s="7">
        <v>16</v>
      </c>
      <c r="G587" s="7">
        <v>2</v>
      </c>
      <c r="I587" s="1" t="str">
        <f t="shared" si="511"/>
        <v>1000</v>
      </c>
      <c r="M587" s="1" t="s">
        <v>34</v>
      </c>
      <c r="Q587" s="1" t="b">
        <f t="shared" si="508"/>
        <v>1</v>
      </c>
      <c r="R587" s="6"/>
    </row>
    <row r="588" spans="1:18" x14ac:dyDescent="0.15">
      <c r="C588" s="6"/>
      <c r="D588" s="6" t="s">
        <v>10</v>
      </c>
      <c r="E588" s="1">
        <v>157</v>
      </c>
      <c r="F588" s="7">
        <v>16</v>
      </c>
      <c r="G588" s="7">
        <v>7</v>
      </c>
      <c r="I588" s="1" t="str">
        <f t="shared" si="511"/>
        <v>1000</v>
      </c>
      <c r="M588" s="1" t="s">
        <v>34</v>
      </c>
      <c r="Q588" s="1" t="b">
        <f t="shared" si="508"/>
        <v>1</v>
      </c>
      <c r="R588" s="6"/>
    </row>
    <row r="589" spans="1:18" x14ac:dyDescent="0.15">
      <c r="C589" s="6"/>
      <c r="D589" s="6" t="s">
        <v>11</v>
      </c>
      <c r="E589" s="1">
        <v>1000</v>
      </c>
      <c r="F589" s="7">
        <v>16</v>
      </c>
      <c r="G589" s="7">
        <v>16</v>
      </c>
      <c r="I589" s="1" t="str">
        <f t="shared" si="511"/>
        <v>1000</v>
      </c>
      <c r="M589" s="1" t="s">
        <v>34</v>
      </c>
      <c r="Q589" s="1" t="b">
        <f t="shared" si="508"/>
        <v>1</v>
      </c>
      <c r="R589" s="6"/>
    </row>
    <row r="590" spans="1:18" x14ac:dyDescent="0.15">
      <c r="A590" s="2" t="s">
        <v>441</v>
      </c>
      <c r="B590" s="2" t="s">
        <v>471</v>
      </c>
      <c r="C590" s="25" t="s">
        <v>456</v>
      </c>
      <c r="D590" s="2" t="s">
        <v>3</v>
      </c>
      <c r="E590" s="3">
        <v>0</v>
      </c>
      <c r="F590" s="2">
        <v>2</v>
      </c>
      <c r="G590" s="2">
        <v>2</v>
      </c>
      <c r="H590" s="2">
        <v>10</v>
      </c>
      <c r="I590" s="3" t="str">
        <f>TESTconvFrcPrtOfNPntToFrcPrtOfNPnt(E590,F590,G590,H590)</f>
        <v>0</v>
      </c>
      <c r="J590" s="2"/>
      <c r="K590" s="2"/>
      <c r="L590" s="2"/>
      <c r="M590" s="3" t="s">
        <v>14</v>
      </c>
      <c r="N590" s="2"/>
      <c r="O590" s="2"/>
      <c r="P590" s="2"/>
      <c r="Q590" s="3" t="b">
        <f t="shared" ref="Q590:Q600" si="512">getText(I590)=getText(M590)</f>
        <v>1</v>
      </c>
      <c r="R590" s="6"/>
    </row>
    <row r="591" spans="1:18" x14ac:dyDescent="0.15">
      <c r="A591" s="6"/>
      <c r="B591" s="6"/>
      <c r="C591" s="6"/>
      <c r="D591" s="6" t="s">
        <v>4</v>
      </c>
      <c r="E591" s="1">
        <v>0</v>
      </c>
      <c r="F591" s="7">
        <v>2</v>
      </c>
      <c r="G591" s="7">
        <v>7</v>
      </c>
      <c r="H591" s="6">
        <v>10</v>
      </c>
      <c r="I591" s="1" t="str">
        <f t="shared" ref="I591:I592" si="513">TESTconvFrcPrtOfNPntToFrcPrtOfNPnt(E591,F591,G591,H591)</f>
        <v>0</v>
      </c>
      <c r="J591" s="6"/>
      <c r="K591" s="6"/>
      <c r="L591" s="6"/>
      <c r="M591" s="1" t="s">
        <v>14</v>
      </c>
      <c r="N591" s="6"/>
      <c r="O591" s="6"/>
      <c r="P591" s="6"/>
      <c r="Q591" s="1" t="b">
        <f t="shared" si="512"/>
        <v>1</v>
      </c>
      <c r="R591" s="6"/>
    </row>
    <row r="592" spans="1:18" x14ac:dyDescent="0.15">
      <c r="D592" s="6" t="s">
        <v>5</v>
      </c>
      <c r="E592" s="1">
        <v>0</v>
      </c>
      <c r="F592" s="7">
        <v>2</v>
      </c>
      <c r="G592" s="7">
        <v>16</v>
      </c>
      <c r="H592" s="7">
        <v>10</v>
      </c>
      <c r="I592" s="1" t="str">
        <f t="shared" si="513"/>
        <v>0</v>
      </c>
      <c r="M592" s="1" t="s">
        <v>14</v>
      </c>
      <c r="Q592" s="1" t="b">
        <f t="shared" si="512"/>
        <v>1</v>
      </c>
      <c r="R592" s="6"/>
    </row>
    <row r="593" spans="2:18" x14ac:dyDescent="0.15">
      <c r="D593" s="6" t="s">
        <v>6</v>
      </c>
      <c r="E593" s="1">
        <v>0</v>
      </c>
      <c r="F593" s="7">
        <v>7</v>
      </c>
      <c r="G593" s="6">
        <v>2</v>
      </c>
      <c r="H593" s="7">
        <v>10</v>
      </c>
      <c r="I593" s="1" t="str">
        <f t="shared" ref="I593:I600" si="514">TESTconvFrcPrtOfNPntToFrcPrtOfNPnt(E593,F593,G593,H593)</f>
        <v>0</v>
      </c>
      <c r="M593" s="1" t="s">
        <v>14</v>
      </c>
      <c r="Q593" s="1" t="b">
        <f t="shared" si="512"/>
        <v>1</v>
      </c>
      <c r="R593" s="6"/>
    </row>
    <row r="594" spans="2:18" x14ac:dyDescent="0.15">
      <c r="D594" s="6" t="s">
        <v>7</v>
      </c>
      <c r="E594" s="1">
        <v>0</v>
      </c>
      <c r="F594" s="7">
        <v>7</v>
      </c>
      <c r="G594" s="7">
        <v>7</v>
      </c>
      <c r="H594">
        <v>10</v>
      </c>
      <c r="I594" s="1" t="str">
        <f t="shared" si="514"/>
        <v>0</v>
      </c>
      <c r="M594" s="1" t="s">
        <v>14</v>
      </c>
      <c r="Q594" s="1" t="b">
        <f t="shared" si="512"/>
        <v>1</v>
      </c>
      <c r="R594" s="6"/>
    </row>
    <row r="595" spans="2:18" x14ac:dyDescent="0.15">
      <c r="D595" s="6" t="s">
        <v>570</v>
      </c>
      <c r="E595" s="1">
        <v>0</v>
      </c>
      <c r="F595" s="7">
        <v>7</v>
      </c>
      <c r="G595" s="7">
        <v>16</v>
      </c>
      <c r="H595" s="7">
        <v>0</v>
      </c>
      <c r="I595" s="1" t="str">
        <f>TESTconvFrcPrtOfNPntToFrcPrtOfNPnt(E595,F595,G595,H595)</f>
        <v/>
      </c>
      <c r="Q595" s="1" t="b">
        <f t="shared" si="512"/>
        <v>1</v>
      </c>
      <c r="R595" s="6"/>
    </row>
    <row r="596" spans="2:18" x14ac:dyDescent="0.15">
      <c r="D596" s="6" t="s">
        <v>8</v>
      </c>
      <c r="E596" s="1">
        <v>0</v>
      </c>
      <c r="F596" s="7">
        <v>7</v>
      </c>
      <c r="G596" s="7">
        <v>16</v>
      </c>
      <c r="H596">
        <v>10</v>
      </c>
      <c r="I596" s="1" t="str">
        <f t="shared" si="514"/>
        <v>0</v>
      </c>
      <c r="M596" s="1" t="s">
        <v>14</v>
      </c>
      <c r="Q596" s="1" t="b">
        <f t="shared" si="512"/>
        <v>1</v>
      </c>
      <c r="R596" s="6"/>
    </row>
    <row r="597" spans="2:18" x14ac:dyDescent="0.15">
      <c r="D597" s="6" t="s">
        <v>571</v>
      </c>
      <c r="E597" s="1">
        <v>0</v>
      </c>
      <c r="F597" s="7">
        <v>7</v>
      </c>
      <c r="G597" s="7">
        <v>16</v>
      </c>
      <c r="H597">
        <v>0</v>
      </c>
      <c r="I597" s="1" t="str">
        <f t="shared" ref="I597" si="515">TESTconvFrcPrtOfNPntToFrcPrtOfNPnt(E597,F597,G597,H597)</f>
        <v/>
      </c>
      <c r="Q597" s="1" t="b">
        <f t="shared" ref="Q597" si="516">getText(I597)=getText(M597)</f>
        <v>1</v>
      </c>
      <c r="R597" s="6"/>
    </row>
    <row r="598" spans="2:18" x14ac:dyDescent="0.15">
      <c r="D598" s="6" t="s">
        <v>9</v>
      </c>
      <c r="E598" s="1">
        <v>0</v>
      </c>
      <c r="F598" s="7">
        <v>16</v>
      </c>
      <c r="G598" s="6">
        <v>2</v>
      </c>
      <c r="H598">
        <v>10</v>
      </c>
      <c r="I598" s="1" t="str">
        <f t="shared" si="514"/>
        <v>0</v>
      </c>
      <c r="M598" s="1" t="s">
        <v>14</v>
      </c>
      <c r="Q598" s="1" t="b">
        <f t="shared" si="512"/>
        <v>1</v>
      </c>
      <c r="R598" s="6"/>
    </row>
    <row r="599" spans="2:18" x14ac:dyDescent="0.15">
      <c r="D599" s="6" t="s">
        <v>10</v>
      </c>
      <c r="E599" s="1">
        <v>0</v>
      </c>
      <c r="F599" s="7">
        <v>16</v>
      </c>
      <c r="G599" s="7">
        <v>7</v>
      </c>
      <c r="H599">
        <v>10</v>
      </c>
      <c r="I599" s="1" t="str">
        <f t="shared" si="514"/>
        <v>0</v>
      </c>
      <c r="M599" s="1" t="s">
        <v>14</v>
      </c>
      <c r="Q599" s="1" t="b">
        <f t="shared" si="512"/>
        <v>1</v>
      </c>
      <c r="R599" s="6"/>
    </row>
    <row r="600" spans="2:18" x14ac:dyDescent="0.15">
      <c r="D600" s="6" t="s">
        <v>11</v>
      </c>
      <c r="E600" s="1">
        <v>0</v>
      </c>
      <c r="F600" s="7">
        <v>16</v>
      </c>
      <c r="G600" s="7">
        <v>16</v>
      </c>
      <c r="H600">
        <v>10</v>
      </c>
      <c r="I600" s="1" t="str">
        <f t="shared" si="514"/>
        <v>0</v>
      </c>
      <c r="M600" s="1" t="s">
        <v>14</v>
      </c>
      <c r="Q600" s="1" t="b">
        <f t="shared" si="512"/>
        <v>1</v>
      </c>
      <c r="R600" s="6"/>
    </row>
    <row r="601" spans="2:18" x14ac:dyDescent="0.15">
      <c r="B601" s="2" t="s">
        <v>472</v>
      </c>
      <c r="C601" s="22">
        <v>0.1</v>
      </c>
      <c r="D601" s="2" t="s">
        <v>3</v>
      </c>
      <c r="E601" s="3">
        <v>1</v>
      </c>
      <c r="F601" s="2">
        <v>2</v>
      </c>
      <c r="G601" s="2">
        <v>2</v>
      </c>
      <c r="H601" s="2">
        <v>10</v>
      </c>
      <c r="I601" s="3" t="str">
        <f t="shared" ref="I601:I609" si="517">TESTconvFrcPrtOfNPntToFrcPrtOfNPnt(E601,F601,G601,H601)</f>
        <v>1</v>
      </c>
      <c r="J601" s="2"/>
      <c r="K601" s="2"/>
      <c r="L601" s="2"/>
      <c r="M601" s="3" t="s">
        <v>44</v>
      </c>
      <c r="N601" s="2"/>
      <c r="O601" s="2"/>
      <c r="P601" s="2"/>
      <c r="Q601" s="3" t="b">
        <f t="shared" ref="Q601" si="518">getText(I601)=getText(M601)</f>
        <v>1</v>
      </c>
      <c r="R601" s="6"/>
    </row>
    <row r="602" spans="2:18" x14ac:dyDescent="0.15">
      <c r="D602" s="6" t="s">
        <v>4</v>
      </c>
      <c r="E602" s="1">
        <v>1</v>
      </c>
      <c r="F602">
        <v>2</v>
      </c>
      <c r="G602">
        <v>7</v>
      </c>
      <c r="H602">
        <v>10</v>
      </c>
      <c r="I602" s="1" t="str">
        <f t="shared" si="517"/>
        <v>3333333333</v>
      </c>
      <c r="M602" s="1" t="s">
        <v>443</v>
      </c>
      <c r="Q602" s="1" t="b">
        <f t="shared" ref="Q602" si="519">getText(I602)=getText(M602)</f>
        <v>1</v>
      </c>
      <c r="R602" s="6"/>
    </row>
    <row r="603" spans="2:18" x14ac:dyDescent="0.15">
      <c r="D603" s="6" t="s">
        <v>5</v>
      </c>
      <c r="E603" s="1">
        <v>1</v>
      </c>
      <c r="F603">
        <v>2</v>
      </c>
      <c r="G603">
        <v>16</v>
      </c>
      <c r="H603">
        <v>10</v>
      </c>
      <c r="I603" s="1" t="str">
        <f t="shared" si="517"/>
        <v>8</v>
      </c>
      <c r="M603" s="1" t="s">
        <v>444</v>
      </c>
      <c r="Q603" s="1" t="b">
        <f t="shared" ref="Q603" si="520">getText(I603)=getText(M603)</f>
        <v>1</v>
      </c>
      <c r="R603" s="6"/>
    </row>
    <row r="604" spans="2:18" x14ac:dyDescent="0.15">
      <c r="D604" s="6" t="s">
        <v>6</v>
      </c>
      <c r="E604" s="1">
        <v>1</v>
      </c>
      <c r="F604">
        <v>7</v>
      </c>
      <c r="G604">
        <v>2</v>
      </c>
      <c r="H604">
        <v>10</v>
      </c>
      <c r="I604" s="1" t="str">
        <f t="shared" si="517"/>
        <v>0010010010</v>
      </c>
      <c r="M604" s="1" t="s">
        <v>445</v>
      </c>
      <c r="Q604" s="1" t="b">
        <f t="shared" ref="Q604" si="521">getText(I604)=getText(M604)</f>
        <v>1</v>
      </c>
      <c r="R604" s="6"/>
    </row>
    <row r="605" spans="2:18" x14ac:dyDescent="0.15">
      <c r="D605" s="6" t="s">
        <v>7</v>
      </c>
      <c r="E605" s="1">
        <v>1</v>
      </c>
      <c r="F605">
        <v>7</v>
      </c>
      <c r="G605">
        <v>7</v>
      </c>
      <c r="H605">
        <v>10</v>
      </c>
      <c r="I605" s="1" t="str">
        <f t="shared" si="517"/>
        <v>1</v>
      </c>
      <c r="M605" s="1" t="s">
        <v>44</v>
      </c>
      <c r="Q605" s="1" t="b">
        <f t="shared" ref="Q605" si="522">getText(I605)=getText(M605)</f>
        <v>1</v>
      </c>
      <c r="R605" s="6"/>
    </row>
    <row r="606" spans="2:18" x14ac:dyDescent="0.15">
      <c r="D606" s="6" t="s">
        <v>8</v>
      </c>
      <c r="E606" s="1">
        <v>1</v>
      </c>
      <c r="F606">
        <v>7</v>
      </c>
      <c r="G606">
        <v>16</v>
      </c>
      <c r="H606">
        <v>10</v>
      </c>
      <c r="I606" s="1" t="str">
        <f t="shared" si="517"/>
        <v>2492492492</v>
      </c>
      <c r="M606" s="1" t="s">
        <v>446</v>
      </c>
      <c r="Q606" s="1" t="b">
        <f t="shared" ref="Q606" si="523">getText(I606)=getText(M606)</f>
        <v>1</v>
      </c>
      <c r="R606" s="6"/>
    </row>
    <row r="607" spans="2:18" x14ac:dyDescent="0.15">
      <c r="D607" s="6" t="s">
        <v>9</v>
      </c>
      <c r="E607" s="1">
        <v>1</v>
      </c>
      <c r="F607">
        <v>16</v>
      </c>
      <c r="G607">
        <v>2</v>
      </c>
      <c r="H607">
        <v>10</v>
      </c>
      <c r="I607" s="1" t="str">
        <f t="shared" si="517"/>
        <v>0001</v>
      </c>
      <c r="M607" s="1" t="s">
        <v>447</v>
      </c>
      <c r="Q607" s="1" t="b">
        <f t="shared" ref="Q607" si="524">getText(I607)=getText(M607)</f>
        <v>1</v>
      </c>
      <c r="R607" s="6"/>
    </row>
    <row r="608" spans="2:18" x14ac:dyDescent="0.15">
      <c r="D608" s="6" t="s">
        <v>10</v>
      </c>
      <c r="E608" s="1">
        <v>1</v>
      </c>
      <c r="F608">
        <v>16</v>
      </c>
      <c r="G608">
        <v>7</v>
      </c>
      <c r="H608">
        <v>10</v>
      </c>
      <c r="I608" s="1" t="str">
        <f t="shared" si="517"/>
        <v>0303030303</v>
      </c>
      <c r="M608" s="1" t="s">
        <v>448</v>
      </c>
      <c r="Q608" s="1" t="b">
        <f t="shared" ref="Q608:Q609" si="525">getText(I608)=getText(M608)</f>
        <v>1</v>
      </c>
      <c r="R608" s="6"/>
    </row>
    <row r="609" spans="2:18" x14ac:dyDescent="0.15">
      <c r="D609" s="6" t="s">
        <v>11</v>
      </c>
      <c r="E609" s="1">
        <v>1</v>
      </c>
      <c r="F609">
        <v>16</v>
      </c>
      <c r="G609">
        <v>16</v>
      </c>
      <c r="H609">
        <v>10</v>
      </c>
      <c r="I609" s="1" t="str">
        <f t="shared" si="517"/>
        <v>1</v>
      </c>
      <c r="M609" s="1" t="s">
        <v>44</v>
      </c>
      <c r="Q609" s="1" t="b">
        <f t="shared" si="525"/>
        <v>1</v>
      </c>
      <c r="R609" s="6"/>
    </row>
    <row r="610" spans="2:18" x14ac:dyDescent="0.15">
      <c r="B610" s="2" t="s">
        <v>473</v>
      </c>
      <c r="C610" s="25" t="s">
        <v>457</v>
      </c>
      <c r="D610" s="2" t="s">
        <v>3</v>
      </c>
      <c r="E610" s="3">
        <v>10</v>
      </c>
      <c r="F610" s="2">
        <v>2</v>
      </c>
      <c r="G610" s="2">
        <v>2</v>
      </c>
      <c r="H610" s="2">
        <v>10</v>
      </c>
      <c r="I610" s="3" t="str">
        <f t="shared" ref="I610:I618" si="526">TESTconvFrcPrtOfNPntToFrcPrtOfNPnt(E610,F610,G610,H610)</f>
        <v>1</v>
      </c>
      <c r="J610" s="2"/>
      <c r="K610" s="2"/>
      <c r="L610" s="2"/>
      <c r="M610" s="3" t="s">
        <v>44</v>
      </c>
      <c r="N610" s="2"/>
      <c r="O610" s="2"/>
      <c r="P610" s="2"/>
      <c r="Q610" s="3" t="b">
        <f t="shared" ref="Q610:Q618" si="527">getText(I610)=getText(M610)</f>
        <v>1</v>
      </c>
      <c r="R610" s="6"/>
    </row>
    <row r="611" spans="2:18" x14ac:dyDescent="0.15">
      <c r="D611" s="6" t="s">
        <v>4</v>
      </c>
      <c r="E611" s="1">
        <v>10</v>
      </c>
      <c r="F611">
        <v>2</v>
      </c>
      <c r="G611">
        <v>7</v>
      </c>
      <c r="H611">
        <v>10</v>
      </c>
      <c r="I611" s="1" t="str">
        <f t="shared" si="526"/>
        <v>3333333333</v>
      </c>
      <c r="M611" s="1" t="s">
        <v>443</v>
      </c>
      <c r="Q611" s="1" t="b">
        <f t="shared" si="527"/>
        <v>1</v>
      </c>
      <c r="R611" s="6"/>
    </row>
    <row r="612" spans="2:18" x14ac:dyDescent="0.15">
      <c r="D612" s="6" t="s">
        <v>5</v>
      </c>
      <c r="E612" s="1">
        <v>10</v>
      </c>
      <c r="F612">
        <v>2</v>
      </c>
      <c r="G612">
        <v>16</v>
      </c>
      <c r="H612">
        <v>10</v>
      </c>
      <c r="I612" s="1" t="str">
        <f t="shared" si="526"/>
        <v>8</v>
      </c>
      <c r="M612" s="1" t="s">
        <v>444</v>
      </c>
      <c r="Q612" s="1" t="b">
        <f t="shared" si="527"/>
        <v>1</v>
      </c>
      <c r="R612" s="6"/>
    </row>
    <row r="613" spans="2:18" x14ac:dyDescent="0.15">
      <c r="D613" s="6" t="s">
        <v>6</v>
      </c>
      <c r="E613" s="1">
        <v>10</v>
      </c>
      <c r="F613">
        <v>7</v>
      </c>
      <c r="G613">
        <v>2</v>
      </c>
      <c r="H613">
        <v>10</v>
      </c>
      <c r="I613" s="1" t="str">
        <f t="shared" si="526"/>
        <v>0010010010</v>
      </c>
      <c r="M613" s="1" t="s">
        <v>445</v>
      </c>
      <c r="Q613" s="1" t="b">
        <f t="shared" si="527"/>
        <v>1</v>
      </c>
      <c r="R613" s="6"/>
    </row>
    <row r="614" spans="2:18" x14ac:dyDescent="0.15">
      <c r="D614" s="6" t="s">
        <v>7</v>
      </c>
      <c r="E614" s="1">
        <v>10</v>
      </c>
      <c r="F614">
        <v>7</v>
      </c>
      <c r="G614">
        <v>7</v>
      </c>
      <c r="H614">
        <v>10</v>
      </c>
      <c r="I614" s="1" t="str">
        <f t="shared" si="526"/>
        <v>1</v>
      </c>
      <c r="M614" s="1" t="s">
        <v>44</v>
      </c>
      <c r="Q614" s="1" t="b">
        <f t="shared" si="527"/>
        <v>1</v>
      </c>
      <c r="R614" s="6"/>
    </row>
    <row r="615" spans="2:18" x14ac:dyDescent="0.15">
      <c r="D615" s="6" t="s">
        <v>8</v>
      </c>
      <c r="E615" s="1">
        <v>10</v>
      </c>
      <c r="F615">
        <v>7</v>
      </c>
      <c r="G615">
        <v>16</v>
      </c>
      <c r="H615">
        <v>10</v>
      </c>
      <c r="I615" s="1" t="str">
        <f t="shared" si="526"/>
        <v>2492492492</v>
      </c>
      <c r="M615" s="1" t="s">
        <v>446</v>
      </c>
      <c r="Q615" s="1" t="b">
        <f t="shared" si="527"/>
        <v>1</v>
      </c>
      <c r="R615" s="6"/>
    </row>
    <row r="616" spans="2:18" x14ac:dyDescent="0.15">
      <c r="D616" s="6" t="s">
        <v>9</v>
      </c>
      <c r="E616" s="1">
        <v>10</v>
      </c>
      <c r="F616">
        <v>16</v>
      </c>
      <c r="G616">
        <v>2</v>
      </c>
      <c r="H616">
        <v>10</v>
      </c>
      <c r="I616" s="1" t="str">
        <f t="shared" si="526"/>
        <v>0001</v>
      </c>
      <c r="M616" s="1" t="s">
        <v>447</v>
      </c>
      <c r="Q616" s="1" t="b">
        <f t="shared" si="527"/>
        <v>1</v>
      </c>
      <c r="R616" s="6"/>
    </row>
    <row r="617" spans="2:18" x14ac:dyDescent="0.15">
      <c r="D617" s="6" t="s">
        <v>10</v>
      </c>
      <c r="E617" s="1">
        <v>10</v>
      </c>
      <c r="F617">
        <v>16</v>
      </c>
      <c r="G617">
        <v>7</v>
      </c>
      <c r="H617">
        <v>10</v>
      </c>
      <c r="I617" s="1" t="str">
        <f t="shared" si="526"/>
        <v>0303030303</v>
      </c>
      <c r="M617" s="1" t="s">
        <v>448</v>
      </c>
      <c r="Q617" s="1" t="b">
        <f t="shared" si="527"/>
        <v>1</v>
      </c>
      <c r="R617" s="6"/>
    </row>
    <row r="618" spans="2:18" x14ac:dyDescent="0.15">
      <c r="D618" s="6" t="s">
        <v>11</v>
      </c>
      <c r="E618" s="1">
        <v>10</v>
      </c>
      <c r="F618">
        <v>16</v>
      </c>
      <c r="G618">
        <v>16</v>
      </c>
      <c r="H618">
        <v>10</v>
      </c>
      <c r="I618" s="1" t="str">
        <f t="shared" si="526"/>
        <v>1</v>
      </c>
      <c r="M618" s="1" t="s">
        <v>44</v>
      </c>
      <c r="Q618" s="1" t="b">
        <f t="shared" si="527"/>
        <v>1</v>
      </c>
      <c r="R618" s="6"/>
    </row>
    <row r="619" spans="2:18" x14ac:dyDescent="0.15">
      <c r="B619" s="2" t="s">
        <v>474</v>
      </c>
      <c r="C619" s="2" t="s">
        <v>219</v>
      </c>
      <c r="D619" s="2" t="s">
        <v>449</v>
      </c>
      <c r="E619" s="11" t="s">
        <v>465</v>
      </c>
      <c r="F619" s="2">
        <v>2</v>
      </c>
      <c r="G619" s="2">
        <v>4</v>
      </c>
      <c r="H619" s="2">
        <v>10</v>
      </c>
      <c r="I619" s="3" t="str">
        <f t="shared" ref="I619:I621" si="528">TESTconvFrcPrtOfNPntToFrcPrtOfNPnt(E619,F619,G619,H619)</f>
        <v>1</v>
      </c>
      <c r="J619" s="2"/>
      <c r="K619" s="2"/>
      <c r="L619" s="2"/>
      <c r="M619" s="3" t="s">
        <v>44</v>
      </c>
      <c r="N619" s="2"/>
      <c r="O619" s="2"/>
      <c r="P619" s="2"/>
      <c r="Q619" s="3" t="b">
        <f t="shared" ref="Q619:Q627" si="529">getText(I619)=getText(M619)</f>
        <v>1</v>
      </c>
      <c r="R619" s="6"/>
    </row>
    <row r="620" spans="2:18" x14ac:dyDescent="0.15">
      <c r="D620" s="6" t="s">
        <v>450</v>
      </c>
      <c r="E620" s="9" t="s">
        <v>458</v>
      </c>
      <c r="F620">
        <v>2</v>
      </c>
      <c r="G620">
        <v>8</v>
      </c>
      <c r="H620">
        <v>10</v>
      </c>
      <c r="I620" s="1" t="str">
        <f t="shared" si="528"/>
        <v>1</v>
      </c>
      <c r="M620" s="1" t="s">
        <v>44</v>
      </c>
      <c r="Q620" s="1" t="b">
        <f>getText(I620)=getText(M620)</f>
        <v>1</v>
      </c>
      <c r="R620" s="6"/>
    </row>
    <row r="621" spans="2:18" x14ac:dyDescent="0.15">
      <c r="D621" s="6" t="s">
        <v>5</v>
      </c>
      <c r="E621" s="9" t="s">
        <v>459</v>
      </c>
      <c r="F621">
        <v>2</v>
      </c>
      <c r="G621">
        <v>16</v>
      </c>
      <c r="H621">
        <v>10</v>
      </c>
      <c r="I621" s="1" t="str">
        <f t="shared" si="528"/>
        <v>1</v>
      </c>
      <c r="M621" s="1" t="s">
        <v>44</v>
      </c>
      <c r="Q621" s="1" t="b">
        <f t="shared" si="529"/>
        <v>1</v>
      </c>
      <c r="R621" s="6"/>
    </row>
    <row r="622" spans="2:18" x14ac:dyDescent="0.15">
      <c r="D622" s="6" t="s">
        <v>453</v>
      </c>
      <c r="E622" s="1">
        <v>4</v>
      </c>
      <c r="F622">
        <v>8</v>
      </c>
      <c r="G622">
        <v>2</v>
      </c>
      <c r="H622">
        <v>10</v>
      </c>
      <c r="I622" s="1" t="str">
        <f t="shared" ref="I622" si="530">TESTconvFrcPrtOfNPntToFrcPrtOfNPnt(E622,F622,G622,H622)</f>
        <v>1</v>
      </c>
      <c r="M622" s="1" t="s">
        <v>44</v>
      </c>
      <c r="Q622" s="1" t="b">
        <f t="shared" si="529"/>
        <v>1</v>
      </c>
      <c r="R622" s="6"/>
    </row>
    <row r="623" spans="2:18" x14ac:dyDescent="0.15">
      <c r="D623" s="6" t="s">
        <v>454</v>
      </c>
      <c r="E623" s="1">
        <v>2</v>
      </c>
      <c r="F623">
        <v>8</v>
      </c>
      <c r="G623">
        <v>4</v>
      </c>
      <c r="H623">
        <v>10</v>
      </c>
      <c r="I623" s="1" t="str">
        <f t="shared" ref="I623:I624" si="531">TESTconvFrcPrtOfNPntToFrcPrtOfNPnt(E623,F623,G623,H623)</f>
        <v>1</v>
      </c>
      <c r="M623" s="1" t="s">
        <v>44</v>
      </c>
      <c r="Q623" s="1" t="b">
        <f t="shared" si="529"/>
        <v>1</v>
      </c>
      <c r="R623" s="6"/>
    </row>
    <row r="624" spans="2:18" x14ac:dyDescent="0.15">
      <c r="D624" s="6" t="s">
        <v>455</v>
      </c>
      <c r="E624" s="9" t="s">
        <v>469</v>
      </c>
      <c r="F624">
        <v>8</v>
      </c>
      <c r="G624">
        <v>16</v>
      </c>
      <c r="H624">
        <v>10</v>
      </c>
      <c r="I624" s="1" t="str">
        <f t="shared" si="531"/>
        <v>1</v>
      </c>
      <c r="M624" s="1" t="s">
        <v>44</v>
      </c>
      <c r="Q624" s="1" t="b">
        <f t="shared" si="529"/>
        <v>1</v>
      </c>
      <c r="R624" s="6"/>
    </row>
    <row r="625" spans="3:18" x14ac:dyDescent="0.15">
      <c r="D625" s="6" t="s">
        <v>9</v>
      </c>
      <c r="E625" s="1">
        <v>8</v>
      </c>
      <c r="F625">
        <v>16</v>
      </c>
      <c r="G625">
        <v>2</v>
      </c>
      <c r="H625">
        <v>10</v>
      </c>
      <c r="I625" s="1" t="str">
        <f t="shared" ref="I625:I627" si="532">TESTconvFrcPrtOfNPntToFrcPrtOfNPnt(E625,F625,G625,H625)</f>
        <v>1</v>
      </c>
      <c r="M625" s="1" t="s">
        <v>44</v>
      </c>
      <c r="Q625" s="1" t="b">
        <f t="shared" si="529"/>
        <v>1</v>
      </c>
      <c r="R625" s="6"/>
    </row>
    <row r="626" spans="3:18" x14ac:dyDescent="0.15">
      <c r="D626" s="6" t="s">
        <v>451</v>
      </c>
      <c r="E626" s="1">
        <v>4</v>
      </c>
      <c r="F626">
        <v>16</v>
      </c>
      <c r="G626">
        <v>4</v>
      </c>
      <c r="H626">
        <v>10</v>
      </c>
      <c r="I626" s="1" t="str">
        <f t="shared" si="532"/>
        <v>1</v>
      </c>
      <c r="M626" s="1" t="s">
        <v>44</v>
      </c>
      <c r="Q626" s="1" t="b">
        <f t="shared" si="529"/>
        <v>1</v>
      </c>
      <c r="R626" s="6"/>
    </row>
    <row r="627" spans="3:18" x14ac:dyDescent="0.15">
      <c r="D627" s="6" t="s">
        <v>452</v>
      </c>
      <c r="E627" s="1">
        <v>2</v>
      </c>
      <c r="F627">
        <v>16</v>
      </c>
      <c r="G627">
        <v>8</v>
      </c>
      <c r="H627">
        <v>10</v>
      </c>
      <c r="I627" s="1" t="str">
        <f t="shared" si="532"/>
        <v>1</v>
      </c>
      <c r="M627" s="1" t="s">
        <v>44</v>
      </c>
      <c r="Q627" s="1" t="b">
        <f t="shared" si="529"/>
        <v>1</v>
      </c>
      <c r="R627" s="6"/>
    </row>
    <row r="628" spans="3:18" x14ac:dyDescent="0.15">
      <c r="C628" s="2" t="s">
        <v>224</v>
      </c>
      <c r="D628" s="2" t="s">
        <v>449</v>
      </c>
      <c r="E628" s="11" t="s">
        <v>459</v>
      </c>
      <c r="F628" s="2">
        <v>2</v>
      </c>
      <c r="G628" s="2">
        <v>4</v>
      </c>
      <c r="H628" s="2">
        <v>10</v>
      </c>
      <c r="I628" s="3" t="str">
        <f t="shared" ref="I628:I645" si="533">TESTconvFrcPrtOfNPntToFrcPrtOfNPnt(E628,F628,G628,H628)</f>
        <v>01</v>
      </c>
      <c r="J628" s="2"/>
      <c r="K628" s="2"/>
      <c r="L628" s="2"/>
      <c r="M628" s="3" t="s">
        <v>248</v>
      </c>
      <c r="N628" s="2"/>
      <c r="O628" s="2"/>
      <c r="P628" s="2"/>
      <c r="Q628" s="3" t="b">
        <f t="shared" ref="Q628:Q636" si="534">getText(I628)=getText(M628)</f>
        <v>1</v>
      </c>
      <c r="R628" s="6"/>
    </row>
    <row r="629" spans="3:18" x14ac:dyDescent="0.15">
      <c r="C629" s="6"/>
      <c r="D629" s="6" t="s">
        <v>450</v>
      </c>
      <c r="E629" s="9" t="s">
        <v>464</v>
      </c>
      <c r="F629">
        <v>2</v>
      </c>
      <c r="G629">
        <v>8</v>
      </c>
      <c r="H629">
        <v>10</v>
      </c>
      <c r="I629" s="1" t="str">
        <f t="shared" si="533"/>
        <v>01</v>
      </c>
      <c r="J629" s="6"/>
      <c r="K629" s="6"/>
      <c r="L629" s="6"/>
      <c r="M629" s="1" t="s">
        <v>248</v>
      </c>
      <c r="N629" s="6"/>
      <c r="O629" s="6"/>
      <c r="P629" s="6"/>
      <c r="Q629" s="1" t="b">
        <f t="shared" si="534"/>
        <v>1</v>
      </c>
      <c r="R629" s="6"/>
    </row>
    <row r="630" spans="3:18" x14ac:dyDescent="0.15">
      <c r="D630" s="6" t="s">
        <v>5</v>
      </c>
      <c r="E630" s="9" t="s">
        <v>466</v>
      </c>
      <c r="F630">
        <v>2</v>
      </c>
      <c r="G630">
        <v>16</v>
      </c>
      <c r="H630">
        <v>10</v>
      </c>
      <c r="I630" s="1" t="str">
        <f t="shared" si="533"/>
        <v>01</v>
      </c>
      <c r="M630" s="1" t="s">
        <v>248</v>
      </c>
      <c r="Q630" s="1" t="b">
        <f t="shared" si="534"/>
        <v>1</v>
      </c>
      <c r="R630" s="6"/>
    </row>
    <row r="631" spans="3:18" x14ac:dyDescent="0.15">
      <c r="D631" s="6" t="s">
        <v>453</v>
      </c>
      <c r="E631" s="9" t="s">
        <v>462</v>
      </c>
      <c r="F631">
        <v>8</v>
      </c>
      <c r="G631">
        <v>2</v>
      </c>
      <c r="H631">
        <v>10</v>
      </c>
      <c r="I631" s="1" t="str">
        <f t="shared" si="533"/>
        <v>01</v>
      </c>
      <c r="M631" s="1" t="s">
        <v>248</v>
      </c>
      <c r="Q631" s="1" t="b">
        <f t="shared" si="534"/>
        <v>1</v>
      </c>
      <c r="R631" s="6"/>
    </row>
    <row r="632" spans="3:18" x14ac:dyDescent="0.15">
      <c r="D632" s="6" t="s">
        <v>454</v>
      </c>
      <c r="E632" s="9" t="s">
        <v>469</v>
      </c>
      <c r="F632">
        <v>8</v>
      </c>
      <c r="G632">
        <v>4</v>
      </c>
      <c r="H632">
        <v>10</v>
      </c>
      <c r="I632" s="1" t="str">
        <f t="shared" si="533"/>
        <v>01</v>
      </c>
      <c r="M632" s="1" t="s">
        <v>248</v>
      </c>
      <c r="Q632" s="1" t="b">
        <f t="shared" si="534"/>
        <v>1</v>
      </c>
      <c r="R632" s="6"/>
    </row>
    <row r="633" spans="3:18" x14ac:dyDescent="0.15">
      <c r="D633" s="6" t="s">
        <v>455</v>
      </c>
      <c r="E633" s="9" t="s">
        <v>463</v>
      </c>
      <c r="F633">
        <v>8</v>
      </c>
      <c r="G633">
        <v>16</v>
      </c>
      <c r="H633">
        <v>10</v>
      </c>
      <c r="I633" s="1" t="str">
        <f t="shared" si="533"/>
        <v>01</v>
      </c>
      <c r="M633" s="1" t="s">
        <v>248</v>
      </c>
      <c r="Q633" s="1" t="b">
        <f t="shared" si="534"/>
        <v>1</v>
      </c>
      <c r="R633" s="6"/>
    </row>
    <row r="634" spans="3:18" x14ac:dyDescent="0.15">
      <c r="D634" s="6" t="s">
        <v>9</v>
      </c>
      <c r="E634" s="9" t="s">
        <v>460</v>
      </c>
      <c r="F634">
        <v>16</v>
      </c>
      <c r="G634">
        <v>2</v>
      </c>
      <c r="H634">
        <v>10</v>
      </c>
      <c r="I634" s="1" t="str">
        <f t="shared" si="533"/>
        <v>01</v>
      </c>
      <c r="M634" s="1" t="s">
        <v>248</v>
      </c>
      <c r="Q634" s="1" t="b">
        <f t="shared" si="534"/>
        <v>1</v>
      </c>
      <c r="R634" s="6"/>
    </row>
    <row r="635" spans="3:18" x14ac:dyDescent="0.15">
      <c r="D635" s="6" t="s">
        <v>451</v>
      </c>
      <c r="E635" s="9" t="s">
        <v>461</v>
      </c>
      <c r="F635">
        <v>16</v>
      </c>
      <c r="G635">
        <v>4</v>
      </c>
      <c r="H635">
        <v>10</v>
      </c>
      <c r="I635" s="1" t="str">
        <f t="shared" si="533"/>
        <v>01</v>
      </c>
      <c r="M635" s="1" t="s">
        <v>248</v>
      </c>
      <c r="Q635" s="1" t="b">
        <f t="shared" si="534"/>
        <v>1</v>
      </c>
      <c r="R635" s="6"/>
    </row>
    <row r="636" spans="3:18" x14ac:dyDescent="0.15">
      <c r="D636" s="6" t="s">
        <v>452</v>
      </c>
      <c r="E636" s="9" t="s">
        <v>469</v>
      </c>
      <c r="F636">
        <v>16</v>
      </c>
      <c r="G636">
        <v>8</v>
      </c>
      <c r="H636">
        <v>10</v>
      </c>
      <c r="I636" s="1" t="str">
        <f t="shared" si="533"/>
        <v>01</v>
      </c>
      <c r="M636" s="1" t="s">
        <v>248</v>
      </c>
      <c r="Q636" s="1" t="b">
        <f t="shared" si="534"/>
        <v>1</v>
      </c>
      <c r="R636" s="6"/>
    </row>
    <row r="637" spans="3:18" x14ac:dyDescent="0.15">
      <c r="C637" s="2" t="s">
        <v>225</v>
      </c>
      <c r="D637" s="2" t="s">
        <v>449</v>
      </c>
      <c r="E637" s="11" t="s">
        <v>464</v>
      </c>
      <c r="F637" s="2">
        <v>2</v>
      </c>
      <c r="G637" s="2">
        <v>4</v>
      </c>
      <c r="H637" s="2">
        <v>10</v>
      </c>
      <c r="I637" s="3" t="str">
        <f t="shared" si="533"/>
        <v>001</v>
      </c>
      <c r="J637" s="2"/>
      <c r="K637" s="2"/>
      <c r="L637" s="2"/>
      <c r="M637" s="3" t="s">
        <v>82</v>
      </c>
      <c r="N637" s="2"/>
      <c r="O637" s="2"/>
      <c r="P637" s="2"/>
      <c r="Q637" s="3" t="b">
        <f t="shared" ref="Q637:Q638" si="535">getText(I637)=getText(M637)</f>
        <v>1</v>
      </c>
      <c r="R637" s="6"/>
    </row>
    <row r="638" spans="3:18" x14ac:dyDescent="0.15">
      <c r="D638" s="6" t="s">
        <v>450</v>
      </c>
      <c r="E638" s="9" t="s">
        <v>467</v>
      </c>
      <c r="F638">
        <v>2</v>
      </c>
      <c r="G638">
        <v>8</v>
      </c>
      <c r="H638">
        <v>10</v>
      </c>
      <c r="I638" s="1" t="str">
        <f t="shared" si="533"/>
        <v>001</v>
      </c>
      <c r="M638" s="1" t="s">
        <v>82</v>
      </c>
      <c r="Q638" s="1" t="b">
        <f t="shared" si="535"/>
        <v>1</v>
      </c>
      <c r="R638" s="6"/>
    </row>
    <row r="639" spans="3:18" x14ac:dyDescent="0.15">
      <c r="D639" s="6" t="s">
        <v>5</v>
      </c>
      <c r="E639" s="9" t="s">
        <v>468</v>
      </c>
      <c r="F639">
        <v>2</v>
      </c>
      <c r="G639">
        <v>16</v>
      </c>
      <c r="H639">
        <v>10</v>
      </c>
      <c r="I639" s="1" t="str">
        <f t="shared" si="533"/>
        <v>001</v>
      </c>
      <c r="M639" s="1" t="s">
        <v>82</v>
      </c>
      <c r="Q639" s="1" t="b">
        <f t="shared" ref="Q639:Q649" si="536">getText(I639)=getText(M639)</f>
        <v>1</v>
      </c>
      <c r="R639" s="6"/>
    </row>
    <row r="640" spans="3:18" x14ac:dyDescent="0.15">
      <c r="D640" s="6" t="s">
        <v>453</v>
      </c>
      <c r="E640" s="9" t="s">
        <v>461</v>
      </c>
      <c r="F640">
        <v>8</v>
      </c>
      <c r="G640">
        <v>2</v>
      </c>
      <c r="H640">
        <v>10</v>
      </c>
      <c r="I640" s="1" t="str">
        <f t="shared" si="533"/>
        <v>001</v>
      </c>
      <c r="M640" s="1" t="s">
        <v>82</v>
      </c>
      <c r="Q640" s="1" t="b">
        <f t="shared" si="536"/>
        <v>1</v>
      </c>
      <c r="R640" s="6"/>
    </row>
    <row r="641" spans="2:18" x14ac:dyDescent="0.15">
      <c r="D641" s="6" t="s">
        <v>454</v>
      </c>
      <c r="E641" s="9" t="s">
        <v>465</v>
      </c>
      <c r="F641">
        <v>8</v>
      </c>
      <c r="G641">
        <v>4</v>
      </c>
      <c r="H641">
        <v>10</v>
      </c>
      <c r="I641" s="1" t="str">
        <f t="shared" si="533"/>
        <v>001</v>
      </c>
      <c r="M641" s="1" t="s">
        <v>82</v>
      </c>
      <c r="Q641" s="1" t="b">
        <f t="shared" si="536"/>
        <v>1</v>
      </c>
      <c r="R641" s="6"/>
    </row>
    <row r="642" spans="2:18" x14ac:dyDescent="0.15">
      <c r="D642" s="6" t="s">
        <v>455</v>
      </c>
      <c r="E642" s="9" t="s">
        <v>459</v>
      </c>
      <c r="F642">
        <v>8</v>
      </c>
      <c r="G642">
        <v>16</v>
      </c>
      <c r="H642">
        <v>10</v>
      </c>
      <c r="I642" s="1" t="str">
        <f t="shared" si="533"/>
        <v>001</v>
      </c>
      <c r="M642" s="1" t="s">
        <v>82</v>
      </c>
      <c r="Q642" s="1" t="b">
        <f t="shared" si="536"/>
        <v>1</v>
      </c>
      <c r="R642" s="6"/>
    </row>
    <row r="643" spans="2:18" x14ac:dyDescent="0.15">
      <c r="D643" s="6" t="s">
        <v>9</v>
      </c>
      <c r="E643" s="9" t="s">
        <v>462</v>
      </c>
      <c r="F643">
        <v>16</v>
      </c>
      <c r="G643">
        <v>2</v>
      </c>
      <c r="H643">
        <v>10</v>
      </c>
      <c r="I643" s="1" t="str">
        <f t="shared" si="533"/>
        <v>001</v>
      </c>
      <c r="M643" s="1" t="s">
        <v>82</v>
      </c>
      <c r="Q643" s="1" t="b">
        <f t="shared" si="536"/>
        <v>1</v>
      </c>
      <c r="R643" s="6"/>
    </row>
    <row r="644" spans="2:18" x14ac:dyDescent="0.15">
      <c r="D644" s="6" t="s">
        <v>451</v>
      </c>
      <c r="E644" s="9" t="s">
        <v>469</v>
      </c>
      <c r="F644">
        <v>16</v>
      </c>
      <c r="G644">
        <v>4</v>
      </c>
      <c r="H644">
        <v>10</v>
      </c>
      <c r="I644" s="1" t="str">
        <f t="shared" si="533"/>
        <v>001</v>
      </c>
      <c r="M644" s="1" t="s">
        <v>82</v>
      </c>
      <c r="Q644" s="1" t="b">
        <f t="shared" si="536"/>
        <v>1</v>
      </c>
      <c r="R644" s="6"/>
    </row>
    <row r="645" spans="2:18" x14ac:dyDescent="0.15">
      <c r="D645" s="6" t="s">
        <v>452</v>
      </c>
      <c r="E645" s="9" t="s">
        <v>470</v>
      </c>
      <c r="F645">
        <v>16</v>
      </c>
      <c r="G645">
        <v>8</v>
      </c>
      <c r="H645">
        <v>10</v>
      </c>
      <c r="I645" s="1" t="str">
        <f t="shared" si="533"/>
        <v>001</v>
      </c>
      <c r="M645" s="1" t="s">
        <v>82</v>
      </c>
      <c r="Q645" s="1" t="b">
        <f t="shared" si="536"/>
        <v>1</v>
      </c>
      <c r="R645" s="6"/>
    </row>
    <row r="646" spans="2:18" x14ac:dyDescent="0.15">
      <c r="B646" s="2" t="s">
        <v>442</v>
      </c>
      <c r="C646" s="22">
        <v>0</v>
      </c>
      <c r="D646" s="2"/>
      <c r="E646" s="3">
        <v>1</v>
      </c>
      <c r="F646" s="2">
        <v>3</v>
      </c>
      <c r="G646" s="2">
        <v>10</v>
      </c>
      <c r="H646" s="2">
        <v>0</v>
      </c>
      <c r="I646" s="3" t="str">
        <f t="shared" ref="I646:I649" si="537">TESTconvFrcPrtOfNPntToFrcPrtOfNPnt(E646,F646,G646,H646)</f>
        <v/>
      </c>
      <c r="J646" s="2"/>
      <c r="K646" s="2"/>
      <c r="L646" s="2"/>
      <c r="M646" s="3" t="s">
        <v>45</v>
      </c>
      <c r="N646" s="2"/>
      <c r="O646" s="2"/>
      <c r="P646" s="2"/>
      <c r="Q646" s="3" t="b">
        <f t="shared" si="536"/>
        <v>1</v>
      </c>
      <c r="R646" s="6"/>
    </row>
    <row r="647" spans="2:18" x14ac:dyDescent="0.15">
      <c r="C647" s="27">
        <v>1</v>
      </c>
      <c r="E647" s="1">
        <v>1</v>
      </c>
      <c r="F647">
        <v>3</v>
      </c>
      <c r="G647">
        <v>10</v>
      </c>
      <c r="H647">
        <v>1</v>
      </c>
      <c r="I647" s="1" t="str">
        <f t="shared" si="537"/>
        <v>3</v>
      </c>
      <c r="M647" s="1" t="s">
        <v>81</v>
      </c>
      <c r="Q647" s="1" t="b">
        <f t="shared" si="536"/>
        <v>1</v>
      </c>
      <c r="R647" s="6"/>
    </row>
    <row r="648" spans="2:18" x14ac:dyDescent="0.15">
      <c r="C648" s="27">
        <v>2</v>
      </c>
      <c r="E648" s="1">
        <v>1</v>
      </c>
      <c r="F648">
        <v>3</v>
      </c>
      <c r="G648">
        <v>10</v>
      </c>
      <c r="H648">
        <v>2</v>
      </c>
      <c r="I648" s="1" t="str">
        <f t="shared" si="537"/>
        <v>33</v>
      </c>
      <c r="M648" s="1" t="s">
        <v>475</v>
      </c>
      <c r="Q648" s="1" t="b">
        <f t="shared" si="536"/>
        <v>1</v>
      </c>
      <c r="R648" s="6"/>
    </row>
    <row r="649" spans="2:18" x14ac:dyDescent="0.15">
      <c r="C649" s="34">
        <v>255</v>
      </c>
      <c r="E649" s="1">
        <v>1</v>
      </c>
      <c r="F649">
        <v>3</v>
      </c>
      <c r="G649">
        <v>10</v>
      </c>
      <c r="H649">
        <v>255</v>
      </c>
      <c r="I649" s="1" t="str">
        <f t="shared" si="537"/>
        <v>333333333333333333333333333333333333333333333333333333333333333333333333333333333333333333333333333333333333333333333333333333333333333333333333333333333333333333333333333333333333333333333333333333333333333333333333333333333333333333333333333333333333333</v>
      </c>
      <c r="M649" s="1" t="s">
        <v>476</v>
      </c>
      <c r="Q649" s="1" t="b">
        <f t="shared" si="536"/>
        <v>1</v>
      </c>
      <c r="R649" s="6"/>
    </row>
    <row r="650" spans="2:18" x14ac:dyDescent="0.15">
      <c r="R650" s="6"/>
    </row>
  </sheetData>
  <phoneticPr fontId="1"/>
  <conditionalFormatting sqref="B1">
    <cfRule type="cellIs" dxfId="10" priority="47" operator="equal">
      <formula>"NG"</formula>
    </cfRule>
    <cfRule type="cellIs" dxfId="9" priority="48" operator="equal">
      <formula>"OK"</formula>
    </cfRule>
  </conditionalFormatting>
  <conditionalFormatting sqref="Q157:T1048576 Q1:T75 R76:T79 Q80:T90 R91:T91 Q92:T100 R101:T101 Q102:T136">
    <cfRule type="expression" dxfId="8" priority="14">
      <formula>AND(Q1&lt;&gt;"",Q1=FALSE)</formula>
    </cfRule>
  </conditionalFormatting>
  <conditionalFormatting sqref="Q137:T139">
    <cfRule type="expression" dxfId="7" priority="8">
      <formula>AND(Q137&lt;&gt;"",Q137=FALSE)</formula>
    </cfRule>
  </conditionalFormatting>
  <conditionalFormatting sqref="Q140:T142">
    <cfRule type="expression" dxfId="6" priority="7">
      <formula>AND(Q140&lt;&gt;"",Q140=FALSE)</formula>
    </cfRule>
  </conditionalFormatting>
  <conditionalFormatting sqref="Q143:T145">
    <cfRule type="expression" dxfId="5" priority="6">
      <formula>AND(Q143&lt;&gt;"",Q143=FALSE)</formula>
    </cfRule>
  </conditionalFormatting>
  <conditionalFormatting sqref="Q146:T148">
    <cfRule type="expression" dxfId="4" priority="5">
      <formula>AND(Q146&lt;&gt;"",Q146=FALSE)</formula>
    </cfRule>
  </conditionalFormatting>
  <conditionalFormatting sqref="Q149:T156">
    <cfRule type="expression" dxfId="3" priority="4">
      <formula>AND(Q149&lt;&gt;"",Q149=FALSE)</formula>
    </cfRule>
  </conditionalFormatting>
  <conditionalFormatting sqref="Q76:Q79">
    <cfRule type="expression" dxfId="2" priority="3">
      <formula>AND(Q76&lt;&gt;"",Q76=FALSE)</formula>
    </cfRule>
  </conditionalFormatting>
  <conditionalFormatting sqref="Q91">
    <cfRule type="expression" dxfId="1" priority="2">
      <formula>AND(Q91&lt;&gt;"",Q91=FALSE)</formula>
    </cfRule>
  </conditionalFormatting>
  <conditionalFormatting sqref="Q101">
    <cfRule type="expression" dxfId="0" priority="1">
      <formula>AND(Q101&lt;&gt;"",Q101=FALSE)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阿部航大</dc:creator>
  <cp:lastModifiedBy>阿部航大</cp:lastModifiedBy>
  <dcterms:created xsi:type="dcterms:W3CDTF">2018-05-15T00:36:42Z</dcterms:created>
  <dcterms:modified xsi:type="dcterms:W3CDTF">2018-05-19T12:56:18Z</dcterms:modified>
</cp:coreProperties>
</file>