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D:\DLL-InternalHex\VBA Test\"/>
    </mc:Choice>
  </mc:AlternateContent>
  <xr:revisionPtr revIDLastSave="0" documentId="10_ncr:8100000_{851F4602-E732-488D-85C8-7FCB52DB81FD}" xr6:coauthVersionLast="32" xr6:coauthVersionMax="32" xr10:uidLastSave="{00000000-0000-0000-0000-000000000000}"/>
  <bookViews>
    <workbookView xWindow="0" yWindow="14850" windowWidth="18645" windowHeight="9570" xr2:uid="{00000000-000D-0000-FFFF-FFFF00000000}"/>
  </bookViews>
  <sheets>
    <sheet name="Sheet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9" i="1" l="1"/>
  <c r="I58" i="1"/>
  <c r="I33" i="1"/>
  <c r="I32" i="1"/>
  <c r="Q56" i="1"/>
  <c r="Q52" i="1"/>
  <c r="Q48" i="1"/>
  <c r="Q55" i="1"/>
  <c r="Q51" i="1"/>
  <c r="Q47" i="1"/>
  <c r="Q54" i="1"/>
  <c r="Q50" i="1"/>
  <c r="Q46" i="1"/>
  <c r="Q53" i="1"/>
  <c r="Q49" i="1"/>
  <c r="I54" i="1"/>
  <c r="I53" i="1"/>
  <c r="I49" i="1"/>
  <c r="I56" i="1"/>
  <c r="I52" i="1"/>
  <c r="I48" i="1"/>
  <c r="I55" i="1"/>
  <c r="I51" i="1"/>
  <c r="I47" i="1"/>
  <c r="I50" i="1"/>
  <c r="I41" i="1"/>
  <c r="Q41" i="1"/>
  <c r="I42" i="1"/>
  <c r="Q42" i="1"/>
  <c r="I43" i="1"/>
  <c r="Q43" i="1"/>
  <c r="Q30" i="1"/>
  <c r="I36" i="1"/>
  <c r="I24" i="1"/>
  <c r="L142" i="1"/>
  <c r="I9" i="1"/>
  <c r="S105" i="1"/>
  <c r="Q16" i="1"/>
  <c r="R359" i="1"/>
  <c r="Q5" i="1"/>
  <c r="I492" i="1"/>
  <c r="I62" i="1"/>
  <c r="I71" i="1"/>
  <c r="I82" i="1"/>
  <c r="I143" i="1"/>
  <c r="I389" i="1"/>
  <c r="S132" i="1"/>
  <c r="I197" i="1"/>
  <c r="K133" i="1"/>
  <c r="Q439" i="1"/>
  <c r="J258" i="1"/>
  <c r="L141" i="1"/>
  <c r="Q112" i="1"/>
  <c r="K409" i="1"/>
  <c r="Q115" i="1"/>
  <c r="R141" i="1"/>
  <c r="I212" i="1"/>
  <c r="I327" i="1"/>
  <c r="T124" i="1"/>
  <c r="S351" i="1"/>
  <c r="Q161" i="1"/>
  <c r="K134" i="1"/>
  <c r="I165" i="1"/>
  <c r="T75" i="1"/>
  <c r="J214" i="1"/>
  <c r="S86" i="1"/>
  <c r="S121" i="1"/>
  <c r="L72" i="1"/>
  <c r="Q346" i="1"/>
  <c r="I136" i="1"/>
  <c r="J428" i="1"/>
  <c r="K358" i="1"/>
  <c r="R468" i="1"/>
  <c r="J203" i="1"/>
  <c r="Q256" i="1"/>
  <c r="Q571" i="1"/>
  <c r="S359" i="1"/>
  <c r="I398" i="1"/>
  <c r="J229" i="1"/>
  <c r="Q495" i="1"/>
  <c r="R194" i="1"/>
  <c r="I558" i="1"/>
  <c r="I474" i="1"/>
  <c r="Q192" i="1"/>
  <c r="R129" i="1"/>
  <c r="I416" i="1"/>
  <c r="R244" i="1"/>
  <c r="I514" i="1"/>
  <c r="Q18" i="1"/>
  <c r="I23" i="1"/>
  <c r="I28" i="1"/>
  <c r="Q8" i="1"/>
  <c r="I12" i="1"/>
  <c r="R63" i="1"/>
  <c r="Q7" i="1"/>
  <c r="T61" i="1"/>
  <c r="R264" i="1"/>
  <c r="K410" i="1"/>
  <c r="S425" i="1"/>
  <c r="S72" i="1"/>
  <c r="Q391" i="1"/>
  <c r="Q420" i="1"/>
  <c r="Q580" i="1"/>
  <c r="S106" i="1"/>
  <c r="R96" i="1"/>
  <c r="Q575" i="1"/>
  <c r="K125" i="1"/>
  <c r="I345" i="1"/>
  <c r="I534" i="1"/>
  <c r="T85" i="1"/>
  <c r="J74" i="1"/>
  <c r="R110" i="1"/>
  <c r="R100" i="1"/>
  <c r="K75" i="1"/>
  <c r="R94" i="1"/>
  <c r="R109" i="1"/>
  <c r="K130" i="1"/>
  <c r="I142" i="1"/>
  <c r="Q396" i="1"/>
  <c r="Q504" i="1"/>
  <c r="Q23" i="1"/>
  <c r="Q28" i="1"/>
  <c r="I10" i="1"/>
  <c r="Q10" i="1"/>
  <c r="Q13" i="1"/>
  <c r="S88" i="1"/>
  <c r="I78" i="1"/>
  <c r="S70" i="1"/>
  <c r="K89" i="1"/>
  <c r="I74" i="1"/>
  <c r="K92" i="1"/>
  <c r="Q339" i="1"/>
  <c r="R79" i="1"/>
  <c r="T111" i="1"/>
  <c r="R437" i="1"/>
  <c r="I61" i="1"/>
  <c r="L109" i="1"/>
  <c r="K467" i="1"/>
  <c r="I353" i="1"/>
  <c r="K375" i="1"/>
  <c r="L123" i="1"/>
  <c r="I112" i="1"/>
  <c r="T84" i="1"/>
  <c r="I486" i="1"/>
  <c r="I333" i="1"/>
  <c r="J391" i="1"/>
  <c r="T71" i="1"/>
  <c r="I99" i="1"/>
  <c r="Q354" i="1"/>
  <c r="R83" i="1"/>
  <c r="S68" i="1"/>
  <c r="R97" i="1"/>
  <c r="S453" i="1"/>
  <c r="K436" i="1"/>
  <c r="K82" i="1"/>
  <c r="J86" i="1"/>
  <c r="Q70" i="1"/>
  <c r="T141" i="1"/>
  <c r="I30" i="1"/>
  <c r="I34" i="1"/>
  <c r="R73" i="1"/>
  <c r="J123" i="1"/>
  <c r="Q200" i="1"/>
  <c r="S66" i="1"/>
  <c r="I158" i="1"/>
  <c r="Q169" i="1"/>
  <c r="R241" i="1"/>
  <c r="K424" i="1"/>
  <c r="L68" i="1"/>
  <c r="Q361" i="1"/>
  <c r="S64" i="1"/>
  <c r="Q423" i="1"/>
  <c r="Q332" i="1"/>
  <c r="R218" i="1"/>
  <c r="Q336" i="1"/>
  <c r="Q566" i="1"/>
  <c r="I107" i="1"/>
  <c r="J107" i="1"/>
  <c r="Q83" i="1"/>
  <c r="S93" i="1"/>
  <c r="Q219" i="1"/>
  <c r="J402" i="1"/>
  <c r="S111" i="1"/>
  <c r="R443" i="1"/>
  <c r="Q530" i="1"/>
  <c r="S437" i="1"/>
  <c r="Q427" i="1"/>
  <c r="S114" i="1"/>
  <c r="S91" i="1"/>
  <c r="Q20" i="1"/>
  <c r="T120" i="1"/>
  <c r="J90" i="1"/>
  <c r="L71" i="1"/>
  <c r="K70" i="1"/>
  <c r="T65" i="1"/>
  <c r="R71" i="1"/>
  <c r="I267" i="1"/>
  <c r="Q187" i="1"/>
  <c r="J220" i="1"/>
  <c r="S110" i="1"/>
  <c r="Q538" i="1"/>
  <c r="K108" i="1"/>
  <c r="Q113" i="1"/>
  <c r="I137" i="1"/>
  <c r="I550" i="1"/>
  <c r="I300" i="1"/>
  <c r="L102" i="1"/>
  <c r="I130" i="1"/>
  <c r="Q417" i="1"/>
  <c r="J141" i="1"/>
  <c r="S464" i="1"/>
  <c r="Q405" i="1"/>
  <c r="R70" i="1"/>
  <c r="L126" i="1"/>
  <c r="K443" i="1"/>
  <c r="T98" i="1"/>
  <c r="I400" i="1"/>
  <c r="I326" i="1"/>
  <c r="Q479" i="1"/>
  <c r="J401" i="1"/>
  <c r="Q444" i="1"/>
  <c r="J206" i="1"/>
  <c r="K140" i="1"/>
  <c r="S80" i="1"/>
  <c r="Q60" i="1"/>
  <c r="S362" i="1"/>
  <c r="R424" i="1"/>
  <c r="Q380" i="1"/>
  <c r="R112" i="1"/>
  <c r="K98" i="1"/>
  <c r="Q138" i="1"/>
  <c r="S405" i="1"/>
  <c r="R223" i="1"/>
  <c r="L121" i="1"/>
  <c r="S402" i="1"/>
  <c r="I139" i="1"/>
  <c r="Q514" i="1"/>
  <c r="I523" i="1"/>
  <c r="I22" i="1"/>
  <c r="R89" i="1"/>
  <c r="Q432" i="1"/>
  <c r="J129" i="1"/>
  <c r="I15" i="1"/>
  <c r="R64" i="1"/>
  <c r="K448" i="1"/>
  <c r="I522" i="1"/>
  <c r="S81" i="1"/>
  <c r="Q554" i="1"/>
  <c r="I494" i="1"/>
  <c r="I192" i="1"/>
  <c r="K440" i="1"/>
  <c r="L61" i="1"/>
  <c r="L79" i="1"/>
  <c r="L105" i="1"/>
  <c r="Q484" i="1"/>
  <c r="L81" i="1"/>
  <c r="S67" i="1"/>
  <c r="J110" i="1"/>
  <c r="J99" i="1"/>
  <c r="R200" i="1"/>
  <c r="I134" i="1"/>
  <c r="Q88" i="1"/>
  <c r="Q15" i="1"/>
  <c r="I6" i="1"/>
  <c r="I258" i="1"/>
  <c r="S450" i="1"/>
  <c r="Q287" i="1"/>
  <c r="J218" i="1"/>
  <c r="Q230" i="1"/>
  <c r="Q338" i="1"/>
  <c r="J354" i="1"/>
  <c r="R123" i="1"/>
  <c r="J124" i="1"/>
  <c r="J109" i="1"/>
  <c r="S135" i="1"/>
  <c r="K115" i="1"/>
  <c r="I348" i="1"/>
  <c r="S133" i="1"/>
  <c r="R406" i="1"/>
  <c r="J443" i="1"/>
  <c r="K77" i="1"/>
  <c r="Q135" i="1"/>
  <c r="S112" i="1"/>
  <c r="R217" i="1"/>
  <c r="J132" i="1"/>
  <c r="Q29" i="1"/>
  <c r="L111" i="1"/>
  <c r="Q61" i="1"/>
  <c r="R108" i="1"/>
  <c r="I159" i="1"/>
  <c r="J64" i="1"/>
  <c r="J84" i="1"/>
  <c r="Q358" i="1"/>
  <c r="I221" i="1"/>
  <c r="I114" i="1"/>
  <c r="S104" i="1"/>
  <c r="I259" i="1"/>
  <c r="J134" i="1"/>
  <c r="R119" i="1"/>
  <c r="R140" i="1"/>
  <c r="R65" i="1"/>
  <c r="L143" i="1"/>
  <c r="Q87" i="1"/>
  <c r="I75" i="1"/>
  <c r="I102" i="1"/>
  <c r="I484" i="1"/>
  <c r="J210" i="1"/>
  <c r="I539" i="1"/>
  <c r="S101" i="1"/>
  <c r="R198" i="1"/>
  <c r="T132" i="1"/>
  <c r="Q80" i="1"/>
  <c r="R85" i="1"/>
  <c r="Q325" i="1"/>
  <c r="K135" i="1"/>
  <c r="R204" i="1"/>
  <c r="I140" i="1"/>
  <c r="I157" i="1"/>
  <c r="J221" i="1"/>
  <c r="S117" i="1"/>
  <c r="I92" i="1"/>
  <c r="Q281" i="1"/>
  <c r="Q181" i="1"/>
  <c r="R72" i="1"/>
  <c r="J433" i="1"/>
  <c r="R219" i="1"/>
  <c r="J72" i="1"/>
  <c r="K431" i="1"/>
  <c r="J394" i="1"/>
  <c r="S139" i="1"/>
  <c r="K362" i="1"/>
  <c r="I257" i="1"/>
  <c r="I88" i="1"/>
  <c r="I211" i="1"/>
  <c r="K78" i="1"/>
  <c r="R237" i="1"/>
  <c r="R401" i="1"/>
  <c r="I70" i="1"/>
  <c r="R90" i="1"/>
  <c r="S141" i="1"/>
  <c r="J126" i="1"/>
  <c r="R458" i="1"/>
  <c r="I25" i="1"/>
  <c r="S357" i="1"/>
  <c r="R429" i="1"/>
  <c r="K142" i="1"/>
  <c r="K87" i="1"/>
  <c r="K79" i="1"/>
  <c r="I487" i="1"/>
  <c r="L77" i="1"/>
  <c r="I202" i="1"/>
  <c r="K67" i="1"/>
  <c r="I260" i="1"/>
  <c r="R246" i="1"/>
  <c r="S76" i="1"/>
  <c r="R362" i="1"/>
  <c r="S387" i="1"/>
  <c r="R136" i="1"/>
  <c r="J96" i="1"/>
  <c r="I542" i="1"/>
  <c r="Q581" i="1"/>
  <c r="I306" i="1"/>
  <c r="I172" i="1"/>
  <c r="K468" i="1"/>
  <c r="L99" i="1"/>
  <c r="R142" i="1"/>
  <c r="Q534" i="1"/>
  <c r="L112" i="1"/>
  <c r="S109" i="1"/>
  <c r="S394" i="1"/>
  <c r="R128" i="1"/>
  <c r="Q128" i="1"/>
  <c r="I421" i="1"/>
  <c r="R233" i="1"/>
  <c r="J233" i="1"/>
  <c r="Q24" i="1"/>
  <c r="I26" i="1"/>
  <c r="I13" i="1"/>
  <c r="I274" i="1"/>
  <c r="I72" i="1"/>
  <c r="S377" i="1"/>
  <c r="J355" i="1"/>
  <c r="Q97" i="1"/>
  <c r="Q77" i="1"/>
  <c r="S125" i="1"/>
  <c r="I470" i="1"/>
  <c r="J374" i="1"/>
  <c r="R215" i="1"/>
  <c r="T137" i="1"/>
  <c r="Q71" i="1"/>
  <c r="I27" i="1"/>
  <c r="Q11" i="1"/>
  <c r="I124" i="1"/>
  <c r="K84" i="1"/>
  <c r="I438" i="1"/>
  <c r="Q480" i="1"/>
  <c r="J100" i="1"/>
  <c r="S382" i="1"/>
  <c r="S445" i="1"/>
  <c r="R428" i="1"/>
  <c r="I195" i="1"/>
  <c r="J91" i="1"/>
  <c r="R411" i="1"/>
  <c r="K434" i="1"/>
  <c r="Q567" i="1"/>
  <c r="Q152" i="1"/>
  <c r="T60" i="1"/>
  <c r="Q468" i="1"/>
  <c r="Q269" i="1"/>
  <c r="Q285" i="1"/>
  <c r="I150" i="1"/>
  <c r="Q415" i="1"/>
  <c r="Q455" i="1"/>
  <c r="I35" i="1"/>
  <c r="Q472" i="1"/>
  <c r="R125" i="1"/>
  <c r="L131" i="1"/>
  <c r="K61" i="1"/>
  <c r="K85" i="1"/>
  <c r="J113" i="1"/>
  <c r="S61" i="1"/>
  <c r="R113" i="1"/>
  <c r="Q95" i="1"/>
  <c r="Q93" i="1"/>
  <c r="J125" i="1"/>
  <c r="I277" i="1"/>
  <c r="L127" i="1"/>
  <c r="Q282" i="1"/>
  <c r="Q347" i="1"/>
  <c r="I5" i="1"/>
  <c r="I66" i="1"/>
  <c r="I84" i="1"/>
  <c r="I337" i="1"/>
  <c r="R442" i="1"/>
  <c r="K123" i="1"/>
  <c r="R225" i="1"/>
  <c r="S367" i="1"/>
  <c r="J80" i="1"/>
  <c r="J194" i="1"/>
  <c r="J211" i="1"/>
  <c r="Q411" i="1"/>
  <c r="K121" i="1"/>
  <c r="I531" i="1"/>
  <c r="I397" i="1"/>
  <c r="Q164" i="1"/>
  <c r="T143" i="1"/>
  <c r="S366" i="1"/>
  <c r="S71" i="1"/>
  <c r="K104" i="1"/>
  <c r="S120" i="1"/>
  <c r="I163" i="1"/>
  <c r="S451" i="1"/>
  <c r="L78" i="1"/>
  <c r="I508" i="1"/>
  <c r="I171" i="1"/>
  <c r="J102" i="1"/>
  <c r="J454" i="1"/>
  <c r="J427" i="1"/>
  <c r="I115" i="1"/>
  <c r="Q425" i="1"/>
  <c r="S79" i="1"/>
  <c r="K60" i="1"/>
  <c r="K418" i="1"/>
  <c r="R67" i="1"/>
  <c r="Q4" i="1"/>
  <c r="I198" i="1"/>
  <c r="K119" i="1"/>
  <c r="Q149" i="1"/>
  <c r="I173" i="1"/>
  <c r="Q478" i="1"/>
  <c r="Q531" i="1"/>
  <c r="Q500" i="1"/>
  <c r="I121" i="1"/>
  <c r="L118" i="1"/>
  <c r="S60" i="1"/>
  <c r="R195" i="1"/>
  <c r="I399" i="1"/>
  <c r="R116" i="1"/>
  <c r="Q558" i="1"/>
  <c r="I568" i="1"/>
  <c r="I396" i="1"/>
  <c r="J95" i="1"/>
  <c r="R133" i="1"/>
  <c r="T112" i="1"/>
  <c r="K132" i="1"/>
  <c r="J135" i="1"/>
  <c r="T102" i="1"/>
  <c r="R433" i="1"/>
  <c r="K107" i="1"/>
  <c r="R62" i="1"/>
  <c r="J435" i="1"/>
  <c r="T129" i="1"/>
  <c r="S457" i="1"/>
  <c r="Q428" i="1"/>
  <c r="I574" i="1"/>
  <c r="I356" i="1"/>
  <c r="I155" i="1"/>
  <c r="R224" i="1"/>
  <c r="R425" i="1"/>
  <c r="S90" i="1"/>
  <c r="S378" i="1"/>
  <c r="Q155" i="1"/>
  <c r="Q19" i="1"/>
  <c r="I21" i="1"/>
  <c r="I14" i="1"/>
  <c r="I19" i="1"/>
  <c r="T100" i="1"/>
  <c r="S137" i="1"/>
  <c r="I86" i="1"/>
  <c r="I292" i="1"/>
  <c r="I118" i="1"/>
  <c r="I264" i="1"/>
  <c r="S404" i="1"/>
  <c r="I8" i="1"/>
  <c r="R103" i="1"/>
  <c r="I567" i="1"/>
  <c r="R351" i="1"/>
  <c r="Q124" i="1"/>
  <c r="T106" i="1"/>
  <c r="R409" i="1"/>
  <c r="S87" i="1"/>
  <c r="Q320" i="1"/>
  <c r="S434" i="1"/>
  <c r="K413" i="1"/>
  <c r="Q436" i="1"/>
  <c r="K455" i="1"/>
  <c r="S122" i="1"/>
  <c r="R256" i="1"/>
  <c r="I276" i="1"/>
  <c r="J456" i="1"/>
  <c r="K457" i="1"/>
  <c r="I77" i="1"/>
  <c r="K62" i="1"/>
  <c r="I135" i="1"/>
  <c r="R251" i="1"/>
  <c r="I189" i="1"/>
  <c r="J219" i="1"/>
  <c r="Q435" i="1"/>
  <c r="I445" i="1"/>
  <c r="Q264" i="1"/>
  <c r="I29" i="1"/>
  <c r="S417" i="1"/>
  <c r="Q491" i="1"/>
  <c r="R81" i="1"/>
  <c r="Q145" i="1"/>
  <c r="R98" i="1"/>
  <c r="S108" i="1"/>
  <c r="I95" i="1"/>
  <c r="T123" i="1"/>
  <c r="S142" i="1"/>
  <c r="I170" i="1"/>
  <c r="I125" i="1"/>
  <c r="Q117" i="1"/>
  <c r="T103" i="1"/>
  <c r="S401" i="1"/>
  <c r="I105" i="1"/>
  <c r="Q90" i="1"/>
  <c r="I209" i="1"/>
  <c r="S113" i="1"/>
  <c r="S395" i="1"/>
  <c r="R143" i="1"/>
  <c r="Q116" i="1"/>
  <c r="T116" i="1"/>
  <c r="R377" i="1"/>
  <c r="L108" i="1"/>
  <c r="Q395" i="1"/>
  <c r="I79" i="1"/>
  <c r="R99" i="1"/>
  <c r="Q190" i="1"/>
  <c r="I128" i="1"/>
  <c r="L104" i="1"/>
  <c r="J76" i="1"/>
  <c r="K435" i="1"/>
  <c r="Q512" i="1"/>
  <c r="I516" i="1"/>
  <c r="R203" i="1"/>
  <c r="Q123" i="1"/>
  <c r="R137" i="1"/>
  <c r="I160" i="1"/>
  <c r="T115" i="1"/>
  <c r="I403" i="1"/>
  <c r="K382" i="1"/>
  <c r="Q535" i="1"/>
  <c r="I270" i="1"/>
  <c r="I454" i="1"/>
  <c r="K128" i="1"/>
  <c r="K116" i="1"/>
  <c r="I81" i="1"/>
  <c r="Q186" i="1"/>
  <c r="J459" i="1"/>
  <c r="Q430" i="1"/>
  <c r="S354" i="1"/>
  <c r="I17" i="1"/>
  <c r="I490" i="1"/>
  <c r="J369" i="1"/>
  <c r="J375" i="1"/>
  <c r="K416" i="1"/>
  <c r="I369" i="1"/>
  <c r="Q454" i="1"/>
  <c r="L89" i="1"/>
  <c r="J227" i="1"/>
  <c r="R464" i="1"/>
  <c r="J451" i="1"/>
  <c r="Q467" i="1"/>
  <c r="I111" i="1"/>
  <c r="Q81" i="1"/>
  <c r="I213" i="1"/>
  <c r="Q569" i="1"/>
  <c r="T92" i="1"/>
  <c r="I291" i="1"/>
  <c r="K422" i="1"/>
  <c r="S126" i="1"/>
  <c r="Q261" i="1"/>
  <c r="K439" i="1"/>
  <c r="S115" i="1"/>
  <c r="Q79" i="1"/>
  <c r="I377" i="1"/>
  <c r="J250" i="1"/>
  <c r="Q201" i="1"/>
  <c r="I294" i="1"/>
  <c r="Q167" i="1"/>
  <c r="I314" i="1"/>
  <c r="L66" i="1"/>
  <c r="I460" i="1"/>
  <c r="I580" i="1"/>
  <c r="I310" i="1"/>
  <c r="I304" i="1"/>
  <c r="Q298" i="1"/>
  <c r="R376" i="1"/>
  <c r="R76" i="1"/>
  <c r="S118" i="1"/>
  <c r="I528" i="1"/>
  <c r="T130" i="1"/>
  <c r="I229" i="1"/>
  <c r="S379" i="1"/>
  <c r="I288" i="1"/>
  <c r="I309" i="1"/>
  <c r="L95" i="1"/>
  <c r="K466" i="1"/>
  <c r="Q561" i="1"/>
  <c r="K426" i="1"/>
  <c r="J118" i="1"/>
  <c r="Q253" i="1"/>
  <c r="J363" i="1"/>
  <c r="I493" i="1"/>
  <c r="I443" i="1"/>
  <c r="I126" i="1"/>
  <c r="R391" i="1"/>
  <c r="S363" i="1"/>
  <c r="Q283" i="1"/>
  <c r="K376" i="1"/>
  <c r="J371" i="1"/>
  <c r="I336" i="1"/>
  <c r="I290" i="1"/>
  <c r="R252" i="1"/>
  <c r="I318" i="1"/>
  <c r="Q288" i="1"/>
  <c r="I423" i="1"/>
  <c r="Q177" i="1"/>
  <c r="Q413" i="1"/>
  <c r="Q165" i="1"/>
  <c r="S96" i="1"/>
  <c r="L119" i="1"/>
  <c r="Q362" i="1"/>
  <c r="J207" i="1"/>
  <c r="K74" i="1"/>
  <c r="L69" i="1"/>
  <c r="I415" i="1"/>
  <c r="Q94" i="1"/>
  <c r="I322" i="1"/>
  <c r="Q76" i="1"/>
  <c r="S396" i="1"/>
  <c r="I127" i="1"/>
  <c r="R355" i="1"/>
  <c r="S62" i="1"/>
  <c r="J444" i="1"/>
  <c r="J68" i="1"/>
  <c r="Q193" i="1"/>
  <c r="Q69" i="1"/>
  <c r="R126" i="1"/>
  <c r="I496" i="1"/>
  <c r="I225" i="1"/>
  <c r="I538" i="1"/>
  <c r="Q121" i="1"/>
  <c r="T105" i="1"/>
  <c r="R379" i="1"/>
  <c r="R427" i="1"/>
  <c r="R460" i="1"/>
  <c r="R389" i="1"/>
  <c r="Q96" i="1"/>
  <c r="L100" i="1"/>
  <c r="S393" i="1"/>
  <c r="T74" i="1"/>
  <c r="Q547" i="1"/>
  <c r="Q465" i="1"/>
  <c r="Q528" i="1"/>
  <c r="Q248" i="1"/>
  <c r="S83" i="1"/>
  <c r="K106" i="1"/>
  <c r="J87" i="1"/>
  <c r="I90" i="1"/>
  <c r="I131" i="1"/>
  <c r="R392" i="1"/>
  <c r="I103" i="1"/>
  <c r="R122" i="1"/>
  <c r="K138" i="1"/>
  <c r="I193" i="1"/>
  <c r="Q133" i="1"/>
  <c r="R258" i="1"/>
  <c r="Q539" i="1"/>
  <c r="S77" i="1"/>
  <c r="T80" i="1"/>
  <c r="Q85" i="1"/>
  <c r="I20" i="1"/>
  <c r="Q498" i="1"/>
  <c r="L76" i="1"/>
  <c r="T66" i="1"/>
  <c r="I287" i="1"/>
  <c r="S375" i="1"/>
  <c r="I366" i="1"/>
  <c r="Q140" i="1"/>
  <c r="J83" i="1"/>
  <c r="R118" i="1"/>
  <c r="L101" i="1"/>
  <c r="Q327" i="1"/>
  <c r="Q460" i="1"/>
  <c r="Q511" i="1"/>
  <c r="L83" i="1"/>
  <c r="S364" i="1"/>
  <c r="I151" i="1"/>
  <c r="J259" i="1"/>
  <c r="R216" i="1"/>
  <c r="Q102" i="1"/>
  <c r="J139" i="1"/>
  <c r="Q103" i="1"/>
  <c r="Q100" i="1"/>
  <c r="R60" i="1"/>
  <c r="R134" i="1"/>
  <c r="I572" i="1"/>
  <c r="I544" i="1"/>
  <c r="R229" i="1"/>
  <c r="I199" i="1"/>
  <c r="Q404" i="1"/>
  <c r="I386" i="1"/>
  <c r="I533" i="1"/>
  <c r="K364" i="1"/>
  <c r="Q172" i="1"/>
  <c r="Q337" i="1"/>
  <c r="I94" i="1"/>
  <c r="I60" i="1"/>
  <c r="I480" i="1"/>
  <c r="R413" i="1"/>
  <c r="Q295" i="1"/>
  <c r="J116" i="1"/>
  <c r="S389" i="1"/>
  <c r="K129" i="1"/>
  <c r="Q245" i="1"/>
  <c r="L82" i="1"/>
  <c r="L122" i="1"/>
  <c r="J77" i="1"/>
  <c r="I374" i="1"/>
  <c r="I575" i="1"/>
  <c r="I505" i="1"/>
  <c r="K141" i="1"/>
  <c r="J82" i="1"/>
  <c r="I504" i="1"/>
  <c r="R417" i="1"/>
  <c r="I436" i="1"/>
  <c r="Q75" i="1"/>
  <c r="Q318" i="1"/>
  <c r="T140" i="1"/>
  <c r="I347" i="1"/>
  <c r="S131" i="1"/>
  <c r="R403" i="1"/>
  <c r="Q471" i="1"/>
  <c r="K423" i="1"/>
  <c r="K102" i="1"/>
  <c r="I200" i="1"/>
  <c r="Q153" i="1"/>
  <c r="K137" i="1"/>
  <c r="T108" i="1"/>
  <c r="J373" i="1"/>
  <c r="Q506" i="1"/>
  <c r="J438" i="1"/>
  <c r="I73" i="1"/>
  <c r="R361" i="1"/>
  <c r="Q363" i="1"/>
  <c r="Q387" i="1"/>
  <c r="I218" i="1"/>
  <c r="Q203" i="1"/>
  <c r="I196" i="1"/>
  <c r="S69" i="1"/>
  <c r="R211" i="1"/>
  <c r="R416" i="1"/>
  <c r="I354" i="1"/>
  <c r="I37" i="1"/>
  <c r="L63" i="1"/>
  <c r="Q98" i="1"/>
  <c r="I583" i="1"/>
  <c r="Q214" i="1"/>
  <c r="J93" i="1"/>
  <c r="L84" i="1"/>
  <c r="Q537" i="1"/>
  <c r="J119" i="1"/>
  <c r="R220" i="1"/>
  <c r="K88" i="1"/>
  <c r="Q62" i="1"/>
  <c r="I65" i="1"/>
  <c r="Q111" i="1"/>
  <c r="Q179" i="1"/>
  <c r="Q212" i="1"/>
  <c r="R88" i="1"/>
  <c r="S430" i="1"/>
  <c r="Q466" i="1"/>
  <c r="I559" i="1"/>
  <c r="S456" i="1"/>
  <c r="R418" i="1"/>
  <c r="Q176" i="1"/>
  <c r="L140" i="1"/>
  <c r="Q78" i="1"/>
  <c r="I215" i="1"/>
  <c r="I174" i="1"/>
  <c r="S398" i="1"/>
  <c r="I219" i="1"/>
  <c r="I363" i="1"/>
  <c r="J393" i="1"/>
  <c r="L139" i="1"/>
  <c r="Q64" i="1"/>
  <c r="K124" i="1"/>
  <c r="I482" i="1"/>
  <c r="L113" i="1"/>
  <c r="J385" i="1"/>
  <c r="L125" i="1"/>
  <c r="S355" i="1"/>
  <c r="I461" i="1"/>
  <c r="R383" i="1"/>
  <c r="R407" i="1"/>
  <c r="S463" i="1"/>
  <c r="J65" i="1"/>
  <c r="S376" i="1"/>
  <c r="Q542" i="1"/>
  <c r="K449" i="1"/>
  <c r="T68" i="1"/>
  <c r="I11" i="1"/>
  <c r="Q104" i="1"/>
  <c r="S454" i="1"/>
  <c r="I280" i="1"/>
  <c r="J131" i="1"/>
  <c r="R222" i="1"/>
  <c r="I295" i="1"/>
  <c r="R371" i="1"/>
  <c r="K396" i="1"/>
  <c r="Q150" i="1"/>
  <c r="I355" i="1"/>
  <c r="I237" i="1"/>
  <c r="I462" i="1"/>
  <c r="I372" i="1"/>
  <c r="I296" i="1"/>
  <c r="Q278" i="1"/>
  <c r="Q406" i="1"/>
  <c r="I328" i="1"/>
  <c r="K101" i="1"/>
  <c r="I120" i="1"/>
  <c r="R240" i="1"/>
  <c r="Q426" i="1"/>
  <c r="I387" i="1"/>
  <c r="Q227" i="1"/>
  <c r="I527" i="1"/>
  <c r="Q548" i="1"/>
  <c r="Q72" i="1"/>
  <c r="K438" i="1"/>
  <c r="Q215" i="1"/>
  <c r="J199" i="1"/>
  <c r="K350" i="1"/>
  <c r="R445" i="1"/>
  <c r="K113" i="1"/>
  <c r="J143" i="1"/>
  <c r="R114" i="1"/>
  <c r="I419" i="1"/>
  <c r="I346" i="1"/>
  <c r="R466" i="1"/>
  <c r="I503" i="1"/>
  <c r="S365" i="1"/>
  <c r="I525" i="1"/>
  <c r="Q392" i="1"/>
  <c r="Q299" i="1"/>
  <c r="J426" i="1"/>
  <c r="Q276" i="1"/>
  <c r="I233" i="1"/>
  <c r="R132" i="1"/>
  <c r="J384" i="1"/>
  <c r="S461" i="1"/>
  <c r="I412" i="1"/>
  <c r="R236" i="1"/>
  <c r="K406" i="1"/>
  <c r="I359" i="1"/>
  <c r="J252" i="1"/>
  <c r="R467" i="1"/>
  <c r="K421" i="1"/>
  <c r="T142" i="1"/>
  <c r="I254" i="1"/>
  <c r="T67" i="1"/>
  <c r="Q394" i="1"/>
  <c r="J263" i="1"/>
  <c r="R450" i="1"/>
  <c r="Q275" i="1"/>
  <c r="S469" i="1"/>
  <c r="I251" i="1"/>
  <c r="Q543" i="1"/>
  <c r="R353" i="1"/>
  <c r="Q356" i="1"/>
  <c r="Q403" i="1"/>
  <c r="R205" i="1"/>
  <c r="L93" i="1"/>
  <c r="Q450" i="1"/>
  <c r="K393" i="1"/>
  <c r="S103" i="1"/>
  <c r="S143" i="1"/>
  <c r="I317" i="1"/>
  <c r="R131" i="1"/>
  <c r="R263" i="1"/>
  <c r="K405" i="1"/>
  <c r="Q315" i="1"/>
  <c r="J200" i="1"/>
  <c r="R66" i="1"/>
  <c r="T69" i="1"/>
  <c r="K389" i="1"/>
  <c r="J202" i="1"/>
  <c r="K80" i="1"/>
  <c r="Q229" i="1"/>
  <c r="I175" i="1"/>
  <c r="T73" i="1"/>
  <c r="J378" i="1"/>
  <c r="K86" i="1"/>
  <c r="I434" i="1"/>
  <c r="I116" i="1"/>
  <c r="I164" i="1"/>
  <c r="Q351" i="1"/>
  <c r="J97" i="1"/>
  <c r="I129" i="1"/>
  <c r="I220" i="1"/>
  <c r="I476" i="1"/>
  <c r="S448" i="1"/>
  <c r="I269" i="1"/>
  <c r="Q418" i="1"/>
  <c r="Q156" i="1"/>
  <c r="I548" i="1"/>
  <c r="S127" i="1"/>
  <c r="Q68" i="1"/>
  <c r="J367" i="1"/>
  <c r="K374" i="1"/>
  <c r="Q412" i="1"/>
  <c r="R255" i="1"/>
  <c r="S124" i="1"/>
  <c r="R430" i="1"/>
  <c r="Q280" i="1"/>
  <c r="J457" i="1"/>
  <c r="K429" i="1"/>
  <c r="Q344" i="1"/>
  <c r="Q499" i="1"/>
  <c r="J386" i="1"/>
  <c r="I351" i="1"/>
  <c r="Q565" i="1"/>
  <c r="I428" i="1"/>
  <c r="L87" i="1"/>
  <c r="Q296" i="1"/>
  <c r="S388" i="1"/>
  <c r="R436" i="1"/>
  <c r="I247" i="1"/>
  <c r="I187" i="1"/>
  <c r="R91" i="1"/>
  <c r="S82" i="1"/>
  <c r="Q474" i="1"/>
  <c r="R78" i="1"/>
  <c r="J216" i="1"/>
  <c r="S369" i="1"/>
  <c r="Q322" i="1"/>
  <c r="Q12" i="1"/>
  <c r="Q579" i="1"/>
  <c r="Q496" i="1"/>
  <c r="Q290" i="1"/>
  <c r="K386" i="1"/>
  <c r="S399" i="1"/>
  <c r="I455" i="1"/>
  <c r="K392" i="1"/>
  <c r="I156" i="1"/>
  <c r="I183" i="1"/>
  <c r="Q317" i="1"/>
  <c r="J448" i="1"/>
  <c r="J436" i="1"/>
  <c r="Q146" i="1"/>
  <c r="K430" i="1"/>
  <c r="I232" i="1"/>
  <c r="Q289" i="1"/>
  <c r="I517" i="1"/>
  <c r="J469" i="1"/>
  <c r="Q443" i="1"/>
  <c r="I243" i="1"/>
  <c r="K403" i="1"/>
  <c r="K114" i="1"/>
  <c r="Q334" i="1"/>
  <c r="J407" i="1"/>
  <c r="Q509" i="1"/>
  <c r="R364" i="1"/>
  <c r="Q293" i="1"/>
  <c r="Q493" i="1"/>
  <c r="J409" i="1"/>
  <c r="I530" i="1"/>
  <c r="K391" i="1"/>
  <c r="K359" i="1"/>
  <c r="S438" i="1"/>
  <c r="I499" i="1"/>
  <c r="I489" i="1"/>
  <c r="Q174" i="1"/>
  <c r="Q416" i="1"/>
  <c r="R372" i="1"/>
  <c r="T126" i="1"/>
  <c r="I203" i="1"/>
  <c r="J237" i="1"/>
  <c r="K139" i="1"/>
  <c r="I362" i="1"/>
  <c r="J364" i="1"/>
  <c r="I570" i="1"/>
  <c r="L110" i="1"/>
  <c r="K452" i="1"/>
  <c r="Q160" i="1"/>
  <c r="J446" i="1"/>
  <c r="I153" i="1"/>
  <c r="T101" i="1"/>
  <c r="Q170" i="1"/>
  <c r="I532" i="1"/>
  <c r="I420" i="1"/>
  <c r="J195" i="1"/>
  <c r="I393" i="1"/>
  <c r="T89" i="1"/>
  <c r="J205" i="1"/>
  <c r="T109" i="1"/>
  <c r="K83" i="1"/>
  <c r="R253" i="1"/>
  <c r="L106" i="1"/>
  <c r="T119" i="1"/>
  <c r="S431" i="1"/>
  <c r="Q481" i="1"/>
  <c r="S410" i="1"/>
  <c r="I549" i="1"/>
  <c r="Q250" i="1"/>
  <c r="Q105" i="1"/>
  <c r="Q272" i="1"/>
  <c r="L117" i="1"/>
  <c r="R261" i="1"/>
  <c r="I100" i="1"/>
  <c r="Q368" i="1"/>
  <c r="L96" i="1"/>
  <c r="I117" i="1"/>
  <c r="R69" i="1"/>
  <c r="I402" i="1"/>
  <c r="S119" i="1"/>
  <c r="T114" i="1"/>
  <c r="T64" i="1"/>
  <c r="I208" i="1"/>
  <c r="I113" i="1"/>
  <c r="I63" i="1"/>
  <c r="Q348" i="1"/>
  <c r="Q25" i="1"/>
  <c r="Q360" i="1"/>
  <c r="K127" i="1"/>
  <c r="R259" i="1"/>
  <c r="I188" i="1"/>
  <c r="T91" i="1"/>
  <c r="Q204" i="1"/>
  <c r="S390" i="1"/>
  <c r="J122" i="1"/>
  <c r="Q17" i="1"/>
  <c r="J411" i="1"/>
  <c r="J388" i="1"/>
  <c r="R410" i="1"/>
  <c r="R86" i="1"/>
  <c r="Q393" i="1"/>
  <c r="Q9" i="1"/>
  <c r="L65" i="1"/>
  <c r="I468" i="1"/>
  <c r="J455" i="1"/>
  <c r="R212" i="1"/>
  <c r="I217" i="1"/>
  <c r="I552" i="1"/>
  <c r="L128" i="1"/>
  <c r="Q119" i="1"/>
  <c r="Q563" i="1"/>
  <c r="I373" i="1"/>
  <c r="I513" i="1"/>
  <c r="I67" i="1"/>
  <c r="I432" i="1"/>
  <c r="T87" i="1"/>
  <c r="K450" i="1"/>
  <c r="J78" i="1"/>
  <c r="R354" i="1"/>
  <c r="Q239" i="1"/>
  <c r="J70" i="1"/>
  <c r="J130" i="1"/>
  <c r="I234" i="1"/>
  <c r="Q536" i="1"/>
  <c r="I546" i="1"/>
  <c r="Q316" i="1"/>
  <c r="R431" i="1"/>
  <c r="J420" i="1"/>
  <c r="K461" i="1"/>
  <c r="J382" i="1"/>
  <c r="R139" i="1"/>
  <c r="S350" i="1"/>
  <c r="T104" i="1"/>
  <c r="L94" i="1"/>
  <c r="L80" i="1"/>
  <c r="K65" i="1"/>
  <c r="S440" i="1"/>
  <c r="Q369" i="1"/>
  <c r="T72" i="1"/>
  <c r="I122" i="1"/>
  <c r="T79" i="1"/>
  <c r="I442" i="1"/>
  <c r="J136" i="1"/>
  <c r="Q211" i="1"/>
  <c r="K419" i="1"/>
  <c r="L137" i="1"/>
  <c r="J62" i="1"/>
  <c r="Q553" i="1"/>
  <c r="R80" i="1"/>
  <c r="Q279" i="1"/>
  <c r="R254" i="1"/>
  <c r="Q502" i="1"/>
  <c r="S98" i="1"/>
  <c r="R365" i="1"/>
  <c r="Q408" i="1"/>
  <c r="Q366" i="1"/>
  <c r="Q224" i="1"/>
  <c r="S428" i="1"/>
  <c r="J111" i="1"/>
  <c r="S107" i="1"/>
  <c r="T121" i="1"/>
  <c r="K441" i="1"/>
  <c r="I261" i="1"/>
  <c r="Q440" i="1"/>
  <c r="I339" i="1"/>
  <c r="R117" i="1"/>
  <c r="I242" i="1"/>
  <c r="I206" i="1"/>
  <c r="K363" i="1"/>
  <c r="J434" i="1"/>
  <c r="K444" i="1"/>
  <c r="R243" i="1"/>
  <c r="Q564" i="1"/>
  <c r="Q367" i="1"/>
  <c r="I485" i="1"/>
  <c r="Q485" i="1"/>
  <c r="R115" i="1"/>
  <c r="S353" i="1"/>
  <c r="J453" i="1"/>
  <c r="I357" i="1"/>
  <c r="R454" i="1"/>
  <c r="Q139" i="1"/>
  <c r="J460" i="1"/>
  <c r="K458" i="1"/>
  <c r="J445" i="1"/>
  <c r="Q456" i="1"/>
  <c r="Q492" i="1"/>
  <c r="R247" i="1"/>
  <c r="K388" i="1"/>
  <c r="I360" i="1"/>
  <c r="I379" i="1"/>
  <c r="K401" i="1"/>
  <c r="Q240" i="1"/>
  <c r="I483" i="1"/>
  <c r="Q222" i="1"/>
  <c r="Q66" i="1"/>
  <c r="L130" i="1"/>
  <c r="R257" i="1"/>
  <c r="R414" i="1"/>
  <c r="J400" i="1"/>
  <c r="J117" i="1"/>
  <c r="S385" i="1"/>
  <c r="L132" i="1"/>
  <c r="R356" i="1"/>
  <c r="Q198" i="1"/>
  <c r="J128" i="1"/>
  <c r="I551" i="1"/>
  <c r="R455" i="1"/>
  <c r="T125" i="1"/>
  <c r="I555" i="1"/>
  <c r="J441" i="1"/>
  <c r="Q459" i="1"/>
  <c r="R395" i="1"/>
  <c r="I435" i="1"/>
  <c r="I547" i="1"/>
  <c r="K385" i="1"/>
  <c r="Q556" i="1"/>
  <c r="R444" i="1"/>
  <c r="K398" i="1"/>
  <c r="Q114" i="1"/>
  <c r="R446" i="1"/>
  <c r="I352" i="1"/>
  <c r="Q178" i="1"/>
  <c r="Q409" i="1"/>
  <c r="Q207" i="1"/>
  <c r="K411" i="1"/>
  <c r="S439" i="1"/>
  <c r="Q520" i="1"/>
  <c r="I452" i="1"/>
  <c r="I238" i="1"/>
  <c r="R127" i="1"/>
  <c r="J359" i="1"/>
  <c r="Q551" i="1"/>
  <c r="Q419" i="1"/>
  <c r="J404" i="1"/>
  <c r="I371" i="1"/>
  <c r="I564" i="1"/>
  <c r="J353" i="1"/>
  <c r="Q243" i="1"/>
  <c r="K355" i="1"/>
  <c r="I451" i="1"/>
  <c r="S95" i="1"/>
  <c r="K417" i="1"/>
  <c r="Q74" i="1"/>
  <c r="J81" i="1"/>
  <c r="Q195" i="1"/>
  <c r="J114" i="1"/>
  <c r="Q519" i="1"/>
  <c r="K402" i="1"/>
  <c r="I132" i="1"/>
  <c r="T95" i="1"/>
  <c r="Q26" i="1"/>
  <c r="K120" i="1"/>
  <c r="K464" i="1"/>
  <c r="Q400" i="1"/>
  <c r="I284" i="1"/>
  <c r="I465" i="1"/>
  <c r="R382" i="1"/>
  <c r="Q109" i="1"/>
  <c r="J242" i="1"/>
  <c r="I216" i="1"/>
  <c r="J204" i="1"/>
  <c r="Q158" i="1"/>
  <c r="I562" i="1"/>
  <c r="S102" i="1"/>
  <c r="S130" i="1"/>
  <c r="J397" i="1"/>
  <c r="I311" i="1"/>
  <c r="R249" i="1"/>
  <c r="J264" i="1"/>
  <c r="I540" i="1"/>
  <c r="Q273" i="1"/>
  <c r="I518" i="1"/>
  <c r="I578" i="1"/>
  <c r="Q483" i="1"/>
  <c r="I344" i="1"/>
  <c r="S426" i="1"/>
  <c r="R68" i="1"/>
  <c r="Q21" i="1"/>
  <c r="K365" i="1"/>
  <c r="J224" i="1"/>
  <c r="Q352" i="1"/>
  <c r="R367" i="1"/>
  <c r="R393" i="1"/>
  <c r="Q143" i="1"/>
  <c r="R462" i="1"/>
  <c r="K368" i="1"/>
  <c r="Q383" i="1"/>
  <c r="R369" i="1"/>
  <c r="R456" i="1"/>
  <c r="Q461" i="1"/>
  <c r="K427" i="1"/>
  <c r="K361" i="1"/>
  <c r="S73" i="1"/>
  <c r="S444" i="1"/>
  <c r="S371" i="1"/>
  <c r="I272" i="1"/>
  <c r="J421" i="1"/>
  <c r="Q422" i="1"/>
  <c r="I154" i="1"/>
  <c r="J464" i="1"/>
  <c r="Q381" i="1"/>
  <c r="I497" i="1"/>
  <c r="I152" i="1"/>
  <c r="R262" i="1"/>
  <c r="R440" i="1"/>
  <c r="Q242" i="1"/>
  <c r="Q247" i="1"/>
  <c r="L70" i="1"/>
  <c r="R93" i="1"/>
  <c r="I89" i="1"/>
  <c r="J432" i="1"/>
  <c r="Q333" i="1"/>
  <c r="K63" i="1"/>
  <c r="I204" i="1"/>
  <c r="R214" i="1"/>
  <c r="Q549" i="1"/>
  <c r="I325" i="1"/>
  <c r="T90" i="1"/>
  <c r="K379" i="1"/>
  <c r="Q359" i="1"/>
  <c r="Q559" i="1"/>
  <c r="I475" i="1"/>
  <c r="J357" i="1"/>
  <c r="Q244" i="1"/>
  <c r="Q570" i="1"/>
  <c r="I407" i="1"/>
  <c r="R461" i="1"/>
  <c r="Q110" i="1"/>
  <c r="K69" i="1"/>
  <c r="J392" i="1"/>
  <c r="T139" i="1"/>
  <c r="Q399" i="1"/>
  <c r="I83" i="1"/>
  <c r="Q401" i="1"/>
  <c r="I414" i="1"/>
  <c r="I495" i="1"/>
  <c r="Q235" i="1"/>
  <c r="J137" i="1"/>
  <c r="T82" i="1"/>
  <c r="K109" i="1"/>
  <c r="J387" i="1"/>
  <c r="I529" i="1"/>
  <c r="R201" i="1"/>
  <c r="K76" i="1"/>
  <c r="K373" i="1"/>
  <c r="K451" i="1"/>
  <c r="L90" i="1"/>
  <c r="Q122" i="1"/>
  <c r="S94" i="1"/>
  <c r="J213" i="1"/>
  <c r="J103" i="1"/>
  <c r="Q144" i="1"/>
  <c r="Q437" i="1"/>
  <c r="Q473" i="1"/>
  <c r="S360" i="1"/>
  <c r="Q159" i="1"/>
  <c r="Q254" i="1"/>
  <c r="J410" i="1"/>
  <c r="Q106" i="1"/>
  <c r="S403" i="1"/>
  <c r="T107" i="1"/>
  <c r="T83" i="1"/>
  <c r="S373" i="1"/>
  <c r="L85" i="1"/>
  <c r="Q141" i="1"/>
  <c r="Q220" i="1"/>
  <c r="S74" i="1"/>
  <c r="Q27" i="1"/>
  <c r="K397" i="1"/>
  <c r="R213" i="1"/>
  <c r="Q218" i="1"/>
  <c r="R394" i="1"/>
  <c r="J226" i="1"/>
  <c r="K353" i="1"/>
  <c r="I472" i="1"/>
  <c r="J225" i="1"/>
  <c r="I149" i="1"/>
  <c r="I521" i="1"/>
  <c r="S75" i="1"/>
  <c r="S386" i="1"/>
  <c r="I282" i="1"/>
  <c r="Q217" i="1"/>
  <c r="I560" i="1"/>
  <c r="I182" i="1"/>
  <c r="I231" i="1"/>
  <c r="R248" i="1"/>
  <c r="R135" i="1"/>
  <c r="I409" i="1"/>
  <c r="R363" i="1"/>
  <c r="Q453" i="1"/>
  <c r="R61" i="1"/>
  <c r="R463" i="1"/>
  <c r="Q446" i="1"/>
  <c r="J115" i="1"/>
  <c r="Q63" i="1"/>
  <c r="T93" i="1"/>
  <c r="S408" i="1"/>
  <c r="I146" i="1"/>
  <c r="L129" i="1"/>
  <c r="S128" i="1"/>
  <c r="I491" i="1"/>
  <c r="Q310" i="1"/>
  <c r="L120" i="1"/>
  <c r="R451" i="1"/>
  <c r="J437" i="1"/>
  <c r="I457" i="1"/>
  <c r="R384" i="1"/>
  <c r="J63" i="1"/>
  <c r="T128" i="1"/>
  <c r="K356" i="1"/>
  <c r="I509" i="1"/>
  <c r="I581" i="1"/>
  <c r="S412" i="1"/>
  <c r="S140" i="1"/>
  <c r="T97" i="1"/>
  <c r="Q263" i="1"/>
  <c r="Q308" i="1"/>
  <c r="L64" i="1"/>
  <c r="Q525" i="1"/>
  <c r="Q262" i="1"/>
  <c r="Q118" i="1"/>
  <c r="I96" i="1"/>
  <c r="J73" i="1"/>
  <c r="Q233" i="1"/>
  <c r="J228" i="1"/>
  <c r="J452" i="1"/>
  <c r="I320" i="1"/>
  <c r="K432" i="1"/>
  <c r="I500" i="1"/>
  <c r="R121" i="1"/>
  <c r="Q487" i="1"/>
  <c r="R370" i="1"/>
  <c r="I358" i="1"/>
  <c r="K380" i="1"/>
  <c r="R434" i="1"/>
  <c r="J429" i="1"/>
  <c r="S416" i="1"/>
  <c r="Q370" i="1"/>
  <c r="R357" i="1"/>
  <c r="I190" i="1"/>
  <c r="L136" i="1"/>
  <c r="R238" i="1"/>
  <c r="Q297" i="1"/>
  <c r="Q326" i="1"/>
  <c r="R386" i="1"/>
  <c r="K122" i="1"/>
  <c r="S136" i="1"/>
  <c r="S397" i="1"/>
  <c r="J416" i="1"/>
  <c r="I147" i="1"/>
  <c r="S352" i="1"/>
  <c r="J197" i="1"/>
  <c r="I429" i="1"/>
  <c r="R388" i="1"/>
  <c r="J430" i="1"/>
  <c r="R245" i="1"/>
  <c r="I223" i="1"/>
  <c r="R419" i="1"/>
  <c r="T113" i="1"/>
  <c r="R396" i="1"/>
  <c r="K110" i="1"/>
  <c r="R352" i="1"/>
  <c r="R104" i="1"/>
  <c r="R239" i="1"/>
  <c r="J231" i="1"/>
  <c r="Q562" i="1"/>
  <c r="Q171" i="1"/>
  <c r="L124" i="1"/>
  <c r="I394" i="1"/>
  <c r="R368" i="1"/>
  <c r="M216" i="1"/>
  <c r="R250" i="1"/>
  <c r="J425" i="1"/>
  <c r="Q237" i="1"/>
  <c r="I285" i="1"/>
  <c r="I297" i="1"/>
  <c r="Q433" i="1"/>
  <c r="Q388" i="1"/>
  <c r="Q92" i="1"/>
  <c r="I576" i="1"/>
  <c r="Q464" i="1"/>
  <c r="I510" i="1"/>
  <c r="J256" i="1"/>
  <c r="Q463" i="1"/>
  <c r="Q107" i="1"/>
  <c r="I235" i="1"/>
  <c r="K404" i="1"/>
  <c r="I236" i="1"/>
  <c r="I201" i="1"/>
  <c r="I408" i="1"/>
  <c r="Q533" i="1"/>
  <c r="J255" i="1"/>
  <c r="Q490" i="1"/>
  <c r="I302" i="1"/>
  <c r="Q445" i="1"/>
  <c r="J208" i="1"/>
  <c r="L115" i="1"/>
  <c r="I133" i="1"/>
  <c r="Q311" i="1"/>
  <c r="Q86" i="1"/>
  <c r="I401" i="1"/>
  <c r="Q541" i="1"/>
  <c r="I427" i="1"/>
  <c r="K408" i="1"/>
  <c r="Q470" i="1"/>
  <c r="J351" i="1"/>
  <c r="S406" i="1"/>
  <c r="Q312" i="1"/>
  <c r="I252" i="1"/>
  <c r="R208" i="1"/>
  <c r="Q157" i="1"/>
  <c r="J424" i="1"/>
  <c r="Q477" i="1"/>
  <c r="I246" i="1"/>
  <c r="I502" i="1"/>
  <c r="Q402" i="1"/>
  <c r="I293" i="1"/>
  <c r="R390" i="1"/>
  <c r="R452" i="1"/>
  <c r="R374" i="1"/>
  <c r="Q407" i="1"/>
  <c r="T70" i="1"/>
  <c r="S458" i="1"/>
  <c r="Q84" i="1"/>
  <c r="Q266" i="1"/>
  <c r="Q550" i="1"/>
  <c r="I449" i="1"/>
  <c r="K72" i="1"/>
  <c r="I256" i="1"/>
  <c r="S138" i="1"/>
  <c r="J94" i="1"/>
  <c r="J223" i="1"/>
  <c r="R387" i="1"/>
  <c r="K71" i="1"/>
  <c r="J239" i="1"/>
  <c r="L114" i="1"/>
  <c r="K68" i="1"/>
  <c r="I323" i="1"/>
  <c r="K94" i="1"/>
  <c r="I405" i="1"/>
  <c r="Q371" i="1"/>
  <c r="R206" i="1"/>
  <c r="R423" i="1"/>
  <c r="K112" i="1"/>
  <c r="I230" i="1"/>
  <c r="I535" i="1"/>
  <c r="T127" i="1"/>
  <c r="I477" i="1"/>
  <c r="I101" i="1"/>
  <c r="I536" i="1"/>
  <c r="K96" i="1"/>
  <c r="I392" i="1"/>
  <c r="Q424" i="1"/>
  <c r="L86" i="1"/>
  <c r="I361" i="1"/>
  <c r="L98" i="1"/>
  <c r="R469" i="1"/>
  <c r="R397" i="1"/>
  <c r="S392" i="1"/>
  <c r="I110" i="1"/>
  <c r="I582" i="1"/>
  <c r="I194" i="1"/>
  <c r="Q475" i="1"/>
  <c r="I447" i="1"/>
  <c r="T134" i="1"/>
  <c r="T138" i="1"/>
  <c r="S85" i="1"/>
  <c r="Q168" i="1"/>
  <c r="I506" i="1"/>
  <c r="J398" i="1"/>
  <c r="Q441" i="1"/>
  <c r="Q524" i="1"/>
  <c r="Q458" i="1"/>
  <c r="J390" i="1"/>
  <c r="I418" i="1"/>
  <c r="S100" i="1"/>
  <c r="I520" i="1"/>
  <c r="J439" i="1"/>
  <c r="K407" i="1"/>
  <c r="I93" i="1"/>
  <c r="S99" i="1"/>
  <c r="S422" i="1"/>
  <c r="K66" i="1"/>
  <c r="Q505" i="1"/>
  <c r="Q494" i="1"/>
  <c r="I98" i="1"/>
  <c r="Q365" i="1"/>
  <c r="J112" i="1"/>
  <c r="L67" i="1"/>
  <c r="J89" i="1"/>
  <c r="K456" i="1"/>
  <c r="J389" i="1"/>
  <c r="Q188" i="1"/>
  <c r="Q137" i="1"/>
  <c r="S442" i="1"/>
  <c r="J360" i="1"/>
  <c r="R402" i="1"/>
  <c r="R350" i="1"/>
  <c r="I313" i="1"/>
  <c r="S427" i="1"/>
  <c r="L91" i="1"/>
  <c r="I167" i="1"/>
  <c r="Q82" i="1"/>
  <c r="L134" i="1"/>
  <c r="I191" i="1"/>
  <c r="Q292" i="1"/>
  <c r="Q300" i="1"/>
  <c r="I308" i="1"/>
  <c r="Q210" i="1"/>
  <c r="R221" i="1"/>
  <c r="K366" i="1"/>
  <c r="J442" i="1"/>
  <c r="L60" i="1"/>
  <c r="J61" i="1"/>
  <c r="I224" i="1"/>
  <c r="I395" i="1"/>
  <c r="I350" i="1"/>
  <c r="J254" i="1"/>
  <c r="J88" i="1"/>
  <c r="Q208" i="1"/>
  <c r="I365" i="1"/>
  <c r="I286" i="1"/>
  <c r="I253" i="1"/>
  <c r="S414" i="1"/>
  <c r="K91" i="1"/>
  <c r="S89" i="1"/>
  <c r="J101" i="1"/>
  <c r="Q309" i="1"/>
  <c r="Q185" i="1"/>
  <c r="I478" i="1"/>
  <c r="Q271" i="1"/>
  <c r="L73" i="1"/>
  <c r="J257" i="1"/>
  <c r="I515" i="1"/>
  <c r="J414" i="1"/>
  <c r="S368" i="1"/>
  <c r="J234" i="1"/>
  <c r="K372" i="1"/>
  <c r="K446" i="1"/>
  <c r="K351" i="1"/>
  <c r="Q513" i="1"/>
  <c r="I16" i="1"/>
  <c r="S92" i="1"/>
  <c r="L135" i="1"/>
  <c r="Q199" i="1"/>
  <c r="Q206" i="1"/>
  <c r="I69" i="1"/>
  <c r="J98" i="1"/>
  <c r="J120" i="1"/>
  <c r="I226" i="1"/>
  <c r="Q489" i="1"/>
  <c r="Q223" i="1"/>
  <c r="Q265" i="1"/>
  <c r="Q397" i="1"/>
  <c r="S407" i="1"/>
  <c r="I240" i="1"/>
  <c r="J243" i="1"/>
  <c r="J108" i="1"/>
  <c r="Q183" i="1"/>
  <c r="R77" i="1"/>
  <c r="Q129" i="1"/>
  <c r="J468" i="1"/>
  <c r="K454" i="1"/>
  <c r="I471" i="1"/>
  <c r="L103" i="1"/>
  <c r="J247" i="1"/>
  <c r="Q291" i="1"/>
  <c r="R432" i="1"/>
  <c r="J104" i="1"/>
  <c r="K447" i="1"/>
  <c r="K425" i="1"/>
  <c r="I80" i="1"/>
  <c r="I301" i="1"/>
  <c r="Q386" i="1"/>
  <c r="J196" i="1"/>
  <c r="Q378" i="1"/>
  <c r="K73" i="1"/>
  <c r="S435" i="1"/>
  <c r="Q314" i="1"/>
  <c r="I268" i="1"/>
  <c r="L133" i="1"/>
  <c r="Q6" i="1"/>
  <c r="Q268" i="1"/>
  <c r="S356" i="1"/>
  <c r="R459" i="1"/>
  <c r="Q323" i="1"/>
  <c r="R230" i="1"/>
  <c r="K352" i="1"/>
  <c r="I176" i="1"/>
  <c r="K377" i="1"/>
  <c r="K395" i="1"/>
  <c r="Q429" i="1"/>
  <c r="Q89" i="1"/>
  <c r="Q270" i="1"/>
  <c r="J462" i="1"/>
  <c r="Q434" i="1"/>
  <c r="I459" i="1"/>
  <c r="I469" i="1"/>
  <c r="Q557" i="1"/>
  <c r="Q364" i="1"/>
  <c r="I410" i="1"/>
  <c r="J380" i="1"/>
  <c r="R102" i="1"/>
  <c r="Q414" i="1"/>
  <c r="I439" i="1"/>
  <c r="L107" i="1"/>
  <c r="I569" i="1"/>
  <c r="Q226" i="1"/>
  <c r="J66" i="1"/>
  <c r="Q377" i="1"/>
  <c r="K415" i="1"/>
  <c r="Q516" i="1"/>
  <c r="K90" i="1"/>
  <c r="L138" i="1"/>
  <c r="Q515" i="1"/>
  <c r="I250" i="1"/>
  <c r="I383" i="1"/>
  <c r="Q572" i="1"/>
  <c r="Q249" i="1"/>
  <c r="Q375" i="1"/>
  <c r="K390" i="1"/>
  <c r="Q260" i="1"/>
  <c r="Q410" i="1"/>
  <c r="Q527" i="1"/>
  <c r="J358" i="1"/>
  <c r="K420" i="1"/>
  <c r="K399" i="1"/>
  <c r="Q147" i="1"/>
  <c r="J458" i="1"/>
  <c r="I422" i="1"/>
  <c r="K394" i="1"/>
  <c r="I283" i="1"/>
  <c r="I185" i="1"/>
  <c r="I85" i="1"/>
  <c r="J75" i="1"/>
  <c r="Q301" i="1"/>
  <c r="Q349" i="1"/>
  <c r="Q555" i="1"/>
  <c r="Q197" i="1"/>
  <c r="I444" i="1"/>
  <c r="K357" i="1"/>
  <c r="I281" i="1"/>
  <c r="Q65" i="1"/>
  <c r="I524" i="1"/>
  <c r="I180" i="1"/>
  <c r="Q228" i="1"/>
  <c r="L97" i="1"/>
  <c r="Q173" i="1"/>
  <c r="Q22" i="1"/>
  <c r="K445" i="1"/>
  <c r="J60" i="1"/>
  <c r="J209" i="1"/>
  <c r="I76" i="1"/>
  <c r="I266" i="1"/>
  <c r="I178" i="1"/>
  <c r="K111" i="1"/>
  <c r="I458" i="1"/>
  <c r="R421" i="1"/>
  <c r="Q521" i="1"/>
  <c r="R106" i="1"/>
  <c r="I145" i="1"/>
  <c r="K400" i="1"/>
  <c r="Q205" i="1"/>
  <c r="K465" i="1"/>
  <c r="J249" i="1"/>
  <c r="Q503" i="1"/>
  <c r="I205" i="1"/>
  <c r="I227" i="1"/>
  <c r="S409" i="1"/>
  <c r="I573" i="1"/>
  <c r="Q163" i="1"/>
  <c r="S415" i="1"/>
  <c r="I376" i="1"/>
  <c r="R398" i="1"/>
  <c r="I186" i="1"/>
  <c r="R399" i="1"/>
  <c r="S433" i="1"/>
  <c r="S459" i="1"/>
  <c r="Q258" i="1"/>
  <c r="R380" i="1"/>
  <c r="I123" i="1"/>
  <c r="J395" i="1"/>
  <c r="Q302" i="1"/>
  <c r="I316" i="1"/>
  <c r="T62" i="1"/>
  <c r="J356" i="1"/>
  <c r="R107" i="1"/>
  <c r="I4" i="1"/>
  <c r="J362" i="1"/>
  <c r="S443" i="1"/>
  <c r="Q232" i="1"/>
  <c r="Q236" i="1"/>
  <c r="K437" i="1"/>
  <c r="J422" i="1"/>
  <c r="I177" i="1"/>
  <c r="R232" i="1"/>
  <c r="Q216" i="1"/>
  <c r="R373" i="1"/>
  <c r="I381" i="1"/>
  <c r="Q448" i="1"/>
  <c r="S420" i="1"/>
  <c r="T110" i="1"/>
  <c r="L92" i="1"/>
  <c r="R360" i="1"/>
  <c r="I315" i="1"/>
  <c r="I557" i="1"/>
  <c r="K99" i="1"/>
  <c r="J235" i="1"/>
  <c r="Q91" i="1"/>
  <c r="S432" i="1"/>
  <c r="Q546" i="1"/>
  <c r="S449" i="1"/>
  <c r="Q234" i="1"/>
  <c r="Q274" i="1"/>
  <c r="K442" i="1"/>
  <c r="I319" i="1"/>
  <c r="Q451" i="1"/>
  <c r="Q166" i="1"/>
  <c r="K367" i="1"/>
  <c r="J105" i="1"/>
  <c r="Q73" i="1"/>
  <c r="Q328" i="1"/>
  <c r="K117" i="1"/>
  <c r="I184" i="1"/>
  <c r="Q252" i="1"/>
  <c r="Q374" i="1"/>
  <c r="K131" i="1"/>
  <c r="I426" i="1"/>
  <c r="L75" i="1"/>
  <c r="K360" i="1"/>
  <c r="J377" i="1"/>
  <c r="I526" i="1"/>
  <c r="I210" i="1"/>
  <c r="Q582" i="1"/>
  <c r="J121" i="1"/>
  <c r="I571" i="1"/>
  <c r="R228" i="1"/>
  <c r="S467" i="1"/>
  <c r="R111" i="1"/>
  <c r="K463" i="1"/>
  <c r="T78" i="1"/>
  <c r="R378" i="1"/>
  <c r="I179" i="1"/>
  <c r="R447" i="1"/>
  <c r="I289" i="1"/>
  <c r="Q162" i="1"/>
  <c r="Q134" i="1"/>
  <c r="Q379" i="1"/>
  <c r="I138" i="1"/>
  <c r="Q398" i="1"/>
  <c r="R381" i="1"/>
  <c r="J230" i="1"/>
  <c r="Q526" i="1"/>
  <c r="T94" i="1"/>
  <c r="J212" i="1"/>
  <c r="I299" i="1"/>
  <c r="S381" i="1"/>
  <c r="Q540" i="1"/>
  <c r="R439" i="1"/>
  <c r="J138" i="1"/>
  <c r="J92" i="1"/>
  <c r="S455" i="1"/>
  <c r="R465" i="1"/>
  <c r="L88" i="1"/>
  <c r="J238" i="1"/>
  <c r="Q560" i="1"/>
  <c r="Q305" i="1"/>
  <c r="I411" i="1"/>
  <c r="S374" i="1"/>
  <c r="I481" i="1"/>
  <c r="Q517" i="1"/>
  <c r="R207" i="1"/>
  <c r="J405" i="1"/>
  <c r="I556" i="1"/>
  <c r="J261" i="1"/>
  <c r="Q131" i="1"/>
  <c r="R358" i="1"/>
  <c r="J246" i="1"/>
  <c r="K428" i="1"/>
  <c r="Q568" i="1"/>
  <c r="Q213" i="1"/>
  <c r="I249" i="1"/>
  <c r="J440" i="1"/>
  <c r="I255" i="1"/>
  <c r="T133" i="1"/>
  <c r="I321" i="1"/>
  <c r="Q126" i="1"/>
  <c r="S418" i="1"/>
  <c r="R366" i="1"/>
  <c r="I519" i="1"/>
  <c r="K369" i="1"/>
  <c r="Q221" i="1"/>
  <c r="R231" i="1"/>
  <c r="Q390" i="1"/>
  <c r="I545" i="1"/>
  <c r="Q284" i="1"/>
  <c r="T88" i="1"/>
  <c r="I501" i="1"/>
  <c r="Q573" i="1"/>
  <c r="I384" i="1"/>
  <c r="Q462" i="1"/>
  <c r="K469" i="1"/>
  <c r="I404" i="1"/>
  <c r="S447" i="1"/>
  <c r="Q574" i="1"/>
  <c r="T96" i="1"/>
  <c r="I312" i="1"/>
  <c r="R92" i="1"/>
  <c r="I390" i="1"/>
  <c r="R435" i="1"/>
  <c r="I375" i="1"/>
  <c r="J232" i="1"/>
  <c r="I543" i="1"/>
  <c r="J361" i="1"/>
  <c r="I239" i="1"/>
  <c r="J245" i="1"/>
  <c r="I541" i="1"/>
  <c r="R235" i="1"/>
  <c r="K370" i="1"/>
  <c r="K378" i="1"/>
  <c r="I464" i="1"/>
  <c r="I424" i="1"/>
  <c r="Q376" i="1"/>
  <c r="J381" i="1"/>
  <c r="J366" i="1"/>
  <c r="I466" i="1"/>
  <c r="R105" i="1"/>
  <c r="Q438" i="1"/>
  <c r="I207" i="1"/>
  <c r="I262" i="1"/>
  <c r="J222" i="1"/>
  <c r="Q577" i="1"/>
  <c r="R415" i="1"/>
  <c r="Q255" i="1"/>
  <c r="Q449" i="1"/>
  <c r="J198" i="1"/>
  <c r="Q238" i="1"/>
  <c r="I168" i="1"/>
  <c r="T122" i="1"/>
  <c r="Q180" i="1"/>
  <c r="Q148" i="1"/>
  <c r="K103" i="1"/>
  <c r="Q486" i="1"/>
  <c r="Q544" i="1"/>
  <c r="R74" i="1"/>
  <c r="Q532" i="1"/>
  <c r="Q132" i="1"/>
  <c r="J67" i="1"/>
  <c r="Q373" i="1"/>
  <c r="Q476" i="1"/>
  <c r="Q231" i="1"/>
  <c r="R84" i="1"/>
  <c r="J418" i="1"/>
  <c r="I406" i="1"/>
  <c r="R87" i="1"/>
  <c r="R75" i="1"/>
  <c r="J399" i="1"/>
  <c r="K453" i="1"/>
  <c r="J127" i="1"/>
  <c r="Q202" i="1"/>
  <c r="Q175" i="1"/>
  <c r="Q184" i="1"/>
  <c r="K126" i="1"/>
  <c r="J368" i="1"/>
  <c r="K384" i="1"/>
  <c r="I378" i="1"/>
  <c r="I263" i="1"/>
  <c r="S441" i="1"/>
  <c r="I68" i="1"/>
  <c r="I324" i="1"/>
  <c r="R197" i="1"/>
  <c r="S372" i="1"/>
  <c r="J253" i="1"/>
  <c r="J85" i="1"/>
  <c r="S384" i="1"/>
  <c r="R400" i="1"/>
  <c r="I433" i="1"/>
  <c r="Q251" i="1"/>
  <c r="Q384" i="1"/>
  <c r="I554" i="1"/>
  <c r="I7" i="1"/>
  <c r="Q452" i="1"/>
  <c r="I577" i="1"/>
  <c r="I566" i="1"/>
  <c r="S421" i="1"/>
  <c r="K97" i="1"/>
  <c r="I162" i="1"/>
  <c r="J260" i="1"/>
  <c r="K105" i="1"/>
  <c r="I579" i="1"/>
  <c r="Q353" i="1"/>
  <c r="S462" i="1"/>
  <c r="Q522" i="1"/>
  <c r="R101" i="1"/>
  <c r="J449" i="1"/>
  <c r="Q508" i="1"/>
  <c r="J461" i="1"/>
  <c r="J406" i="1"/>
  <c r="I335" i="1"/>
  <c r="J376" i="1"/>
  <c r="I166" i="1"/>
  <c r="Q125" i="1"/>
  <c r="J140" i="1"/>
  <c r="R209" i="1"/>
  <c r="I228" i="1"/>
  <c r="J106" i="1"/>
  <c r="R130" i="1"/>
  <c r="Q306" i="1"/>
  <c r="I431" i="1"/>
  <c r="R441" i="1"/>
  <c r="Q277" i="1"/>
  <c r="Q286" i="1"/>
  <c r="Q321" i="1"/>
  <c r="R385" i="1"/>
  <c r="I437" i="1"/>
  <c r="K383" i="1"/>
  <c r="I364" i="1"/>
  <c r="Q257" i="1"/>
  <c r="I368" i="1"/>
  <c r="Q578" i="1"/>
  <c r="I388" i="1"/>
  <c r="Q469" i="1"/>
  <c r="K412" i="1"/>
  <c r="J248" i="1"/>
  <c r="Q510" i="1"/>
  <c r="I305" i="1"/>
  <c r="Q303" i="1"/>
  <c r="R138" i="1"/>
  <c r="I385" i="1"/>
  <c r="I273" i="1"/>
  <c r="Q294" i="1"/>
  <c r="I511" i="1"/>
  <c r="I430" i="1"/>
  <c r="J450" i="1"/>
  <c r="S468" i="1"/>
  <c r="I512" i="1"/>
  <c r="R260" i="1"/>
  <c r="R120" i="1"/>
  <c r="J236" i="1"/>
  <c r="J262" i="1"/>
  <c r="S446" i="1"/>
  <c r="Q350" i="1"/>
  <c r="K143" i="1"/>
  <c r="I104" i="1"/>
  <c r="Q307" i="1"/>
  <c r="J201" i="1"/>
  <c r="Q191" i="1"/>
  <c r="S465" i="1"/>
  <c r="R124" i="1"/>
  <c r="S129" i="1"/>
  <c r="K387" i="1"/>
  <c r="I453" i="1"/>
  <c r="I456" i="1"/>
  <c r="R457" i="1"/>
  <c r="I467" i="1"/>
  <c r="S65" i="1"/>
  <c r="S400" i="1"/>
  <c r="T118" i="1"/>
  <c r="R453" i="1"/>
  <c r="R405" i="1"/>
  <c r="Q482" i="1"/>
  <c r="L62" i="1"/>
  <c r="K118" i="1"/>
  <c r="R210" i="1"/>
  <c r="K81" i="1"/>
  <c r="S419" i="1"/>
  <c r="R95" i="1"/>
  <c r="J467" i="1"/>
  <c r="S413" i="1"/>
  <c r="K354" i="1"/>
  <c r="I148" i="1"/>
  <c r="S361" i="1"/>
  <c r="I340" i="1"/>
  <c r="Q335" i="1"/>
  <c r="J350" i="1"/>
  <c r="I248" i="1"/>
  <c r="R404" i="1"/>
  <c r="I108" i="1"/>
  <c r="J383" i="1"/>
  <c r="K459" i="1"/>
  <c r="I565" i="1"/>
  <c r="Q372" i="1"/>
  <c r="S134" i="1"/>
  <c r="S429" i="1"/>
  <c r="J419" i="1"/>
  <c r="Q447" i="1"/>
  <c r="K462" i="1"/>
  <c r="I169" i="1"/>
  <c r="I275" i="1"/>
  <c r="R449" i="1"/>
  <c r="J372" i="1"/>
  <c r="I448" i="1"/>
  <c r="I106" i="1"/>
  <c r="T81" i="1"/>
  <c r="S460" i="1"/>
  <c r="Q67" i="1"/>
  <c r="J403" i="1"/>
  <c r="J251" i="1"/>
  <c r="I479" i="1"/>
  <c r="J244" i="1"/>
  <c r="K95" i="1"/>
  <c r="J79" i="1"/>
  <c r="I537" i="1"/>
  <c r="Q442" i="1"/>
  <c r="I279" i="1"/>
  <c r="Q457" i="1"/>
  <c r="Q529" i="1"/>
  <c r="T136" i="1"/>
  <c r="I18" i="1"/>
  <c r="I87" i="1"/>
  <c r="Q340" i="1"/>
  <c r="R196" i="1"/>
  <c r="I367" i="1"/>
  <c r="I161" i="1"/>
  <c r="S423" i="1"/>
  <c r="I91" i="1"/>
  <c r="I245" i="1"/>
  <c r="S123" i="1"/>
  <c r="I498" i="1"/>
  <c r="R420" i="1"/>
  <c r="K414" i="1"/>
  <c r="R82" i="1"/>
  <c r="Q518" i="1"/>
  <c r="I413" i="1"/>
  <c r="Q507" i="1"/>
  <c r="Q576" i="1"/>
  <c r="J352" i="1"/>
  <c r="I370" i="1"/>
  <c r="S424" i="1"/>
  <c r="R227" i="1"/>
  <c r="T131" i="1"/>
  <c r="I298" i="1"/>
  <c r="Q108" i="1"/>
  <c r="Q431" i="1"/>
  <c r="R426" i="1"/>
  <c r="Q313" i="1"/>
  <c r="Q127" i="1"/>
  <c r="T76" i="1"/>
  <c r="Q182" i="1"/>
  <c r="Q488" i="1"/>
  <c r="K433" i="1"/>
  <c r="K381" i="1"/>
  <c r="I332" i="1"/>
  <c r="J465" i="1"/>
  <c r="I488" i="1"/>
  <c r="I441" i="1"/>
  <c r="Q583" i="1"/>
  <c r="T135" i="1"/>
  <c r="I119" i="1"/>
  <c r="Q523" i="1"/>
  <c r="J379" i="1"/>
  <c r="I244" i="1"/>
  <c r="Q497" i="1"/>
  <c r="J417" i="1"/>
  <c r="J142" i="1"/>
  <c r="J423" i="1"/>
  <c r="T77" i="1"/>
  <c r="Q385" i="1"/>
  <c r="Q545" i="1"/>
  <c r="K460" i="1"/>
  <c r="I303" i="1"/>
  <c r="I334" i="1"/>
  <c r="S452" i="1"/>
  <c r="I382" i="1"/>
  <c r="I450" i="1"/>
  <c r="S466" i="1"/>
  <c r="I241" i="1"/>
  <c r="J215" i="1"/>
  <c r="Q101" i="1"/>
  <c r="Q246" i="1"/>
  <c r="I473" i="1"/>
  <c r="S380" i="1"/>
  <c r="Q142" i="1"/>
  <c r="K100" i="1"/>
  <c r="J370" i="1"/>
  <c r="I141" i="1"/>
  <c r="J71" i="1"/>
  <c r="I271" i="1"/>
  <c r="S358" i="1"/>
  <c r="R412" i="1"/>
  <c r="J413" i="1"/>
  <c r="Q319" i="1"/>
  <c r="Q501" i="1"/>
  <c r="Q194" i="1"/>
  <c r="Q355" i="1"/>
  <c r="I507" i="1"/>
  <c r="I380" i="1"/>
  <c r="Q304" i="1"/>
  <c r="R242" i="1"/>
  <c r="S383" i="1"/>
  <c r="R422" i="1"/>
  <c r="Q130" i="1"/>
  <c r="I64" i="1"/>
  <c r="Q345" i="1"/>
  <c r="I109" i="1"/>
  <c r="R202" i="1"/>
  <c r="S436" i="1"/>
  <c r="I265" i="1"/>
  <c r="I349" i="1"/>
  <c r="J133" i="1"/>
  <c r="Q225" i="1"/>
  <c r="K64" i="1"/>
  <c r="I97" i="1"/>
  <c r="Q552" i="1"/>
  <c r="I561" i="1"/>
  <c r="R448" i="1"/>
  <c r="I446" i="1"/>
  <c r="J415" i="1"/>
  <c r="I440" i="1"/>
  <c r="J447" i="1"/>
  <c r="I307" i="1"/>
  <c r="I214" i="1"/>
  <c r="J365" i="1"/>
  <c r="Q241" i="1"/>
  <c r="K371" i="1"/>
  <c r="S411" i="1"/>
  <c r="J396" i="1"/>
  <c r="I553" i="1"/>
  <c r="Q99" i="1"/>
  <c r="J412" i="1"/>
  <c r="I563" i="1"/>
  <c r="Q357" i="1"/>
  <c r="J240" i="1"/>
  <c r="Q151" i="1"/>
  <c r="Q324" i="1"/>
  <c r="S116" i="1"/>
  <c r="I222" i="1"/>
  <c r="R199" i="1"/>
  <c r="Q382" i="1"/>
  <c r="Q154" i="1"/>
  <c r="L116" i="1"/>
  <c r="J217" i="1"/>
  <c r="N217" i="1" s="1"/>
  <c r="Q209" i="1"/>
  <c r="S78" i="1"/>
  <c r="I181" i="1"/>
  <c r="I463" i="1"/>
  <c r="J241" i="1"/>
  <c r="J431" i="1"/>
  <c r="S63" i="1"/>
  <c r="I144" i="1"/>
  <c r="Q14" i="1"/>
  <c r="Q136" i="1"/>
  <c r="S97" i="1"/>
  <c r="I391" i="1"/>
  <c r="K136" i="1"/>
  <c r="S370" i="1"/>
  <c r="L74" i="1"/>
  <c r="T117" i="1"/>
  <c r="Q196" i="1"/>
  <c r="Q267" i="1"/>
  <c r="T99" i="1"/>
  <c r="Q389" i="1"/>
  <c r="Q421" i="1"/>
  <c r="I425" i="1"/>
  <c r="R408" i="1"/>
  <c r="Q120" i="1"/>
  <c r="J408" i="1"/>
  <c r="Q189" i="1"/>
  <c r="T63" i="1"/>
  <c r="I278" i="1"/>
  <c r="R438" i="1"/>
  <c r="S391" i="1"/>
  <c r="R375" i="1"/>
  <c r="J69" i="1"/>
  <c r="I417" i="1"/>
  <c r="R226" i="1"/>
  <c r="R234" i="1"/>
  <c r="S84" i="1"/>
  <c r="I338" i="1"/>
  <c r="J466" i="1"/>
  <c r="K93" i="1"/>
  <c r="J463" i="1"/>
  <c r="Q259" i="1"/>
  <c r="T86" i="1"/>
  <c r="M217" i="1"/>
  <c r="Q57" i="1"/>
  <c r="Q39" i="1"/>
  <c r="Q35" i="1"/>
  <c r="Q38" i="1"/>
  <c r="Q34" i="1"/>
  <c r="Q59" i="1"/>
  <c r="Q45" i="1"/>
  <c r="Q37" i="1"/>
  <c r="Q33" i="1"/>
  <c r="Q58" i="1"/>
  <c r="Q44" i="1"/>
  <c r="Q40" i="1"/>
  <c r="Q36" i="1"/>
  <c r="Q32" i="1"/>
  <c r="I40" i="1"/>
  <c r="I44" i="1"/>
  <c r="I39" i="1"/>
  <c r="I57" i="1"/>
  <c r="I38" i="1"/>
  <c r="I46" i="1"/>
  <c r="I45" i="1"/>
  <c r="Q31" i="1"/>
  <c r="I31" i="1"/>
  <c r="N215" i="1"/>
  <c r="M215" i="1"/>
  <c r="B1" i="1" l="1"/>
  <c r="N216" i="1"/>
</calcChain>
</file>

<file path=xl/sharedStrings.xml><?xml version="1.0" encoding="utf-8"?>
<sst xmlns="http://schemas.openxmlformats.org/spreadsheetml/2006/main" count="2205" uniqueCount="777">
  <si>
    <t>input</t>
    <phoneticPr fontId="1"/>
  </si>
  <si>
    <t>output</t>
    <phoneticPr fontId="1"/>
  </si>
  <si>
    <t>テスト対象関数名</t>
    <rPh sb="3" eb="5">
      <t>タイショウ</t>
    </rPh>
    <rPh sb="5" eb="8">
      <t>カンスウメイ</t>
    </rPh>
    <phoneticPr fontId="1"/>
  </si>
  <si>
    <t>2進→2進</t>
    <rPh sb="1" eb="2">
      <t>シン</t>
    </rPh>
    <phoneticPr fontId="1"/>
  </si>
  <si>
    <t>2進→7進</t>
    <rPh sb="1" eb="2">
      <t>シン</t>
    </rPh>
    <phoneticPr fontId="1"/>
  </si>
  <si>
    <t>2進→16進</t>
    <rPh sb="1" eb="2">
      <t>シン</t>
    </rPh>
    <phoneticPr fontId="1"/>
  </si>
  <si>
    <t>7進→2進</t>
    <phoneticPr fontId="1"/>
  </si>
  <si>
    <t>7進→7進</t>
    <phoneticPr fontId="1"/>
  </si>
  <si>
    <t>7進→16進</t>
    <phoneticPr fontId="1"/>
  </si>
  <si>
    <t>16進→2進</t>
    <phoneticPr fontId="1"/>
  </si>
  <si>
    <t>16進→7進</t>
    <phoneticPr fontId="1"/>
  </si>
  <si>
    <t>16進→16進</t>
    <phoneticPr fontId="1"/>
  </si>
  <si>
    <t>期待値</t>
    <rPh sb="0" eb="2">
      <t>キタイ</t>
    </rPh>
    <rPh sb="2" eb="3">
      <t>チ</t>
    </rPh>
    <phoneticPr fontId="1"/>
  </si>
  <si>
    <t>判定</t>
    <rPh sb="0" eb="2">
      <t>ハンテイ</t>
    </rPh>
    <phoneticPr fontId="1"/>
  </si>
  <si>
    <t>0</t>
  </si>
  <si>
    <t>10</t>
  </si>
  <si>
    <t>10001</t>
  </si>
  <si>
    <t>23</t>
  </si>
  <si>
    <t>11</t>
  </si>
  <si>
    <t>総合判定</t>
    <rPh sb="0" eb="2">
      <t>ソウゴウ</t>
    </rPh>
    <rPh sb="2" eb="4">
      <t>ハンテイ</t>
    </rPh>
    <phoneticPr fontId="1"/>
  </si>
  <si>
    <t>66</t>
  </si>
  <si>
    <t>100</t>
  </si>
  <si>
    <t>FF</t>
  </si>
  <si>
    <t>toRadix ^ 2 - 1</t>
    <phoneticPr fontId="1"/>
  </si>
  <si>
    <t>toRadix ^ 2</t>
    <phoneticPr fontId="1"/>
  </si>
  <si>
    <t>toRadix + 1</t>
    <phoneticPr fontId="1"/>
  </si>
  <si>
    <t>FF</t>
    <phoneticPr fontId="1"/>
  </si>
  <si>
    <t>toRadix ^ 3 - 1</t>
    <phoneticPr fontId="1"/>
  </si>
  <si>
    <t>toRadix ^ 3</t>
    <phoneticPr fontId="1"/>
  </si>
  <si>
    <t>1000000000000</t>
    <phoneticPr fontId="1"/>
  </si>
  <si>
    <t>111111111111</t>
    <phoneticPr fontId="1"/>
  </si>
  <si>
    <t>111</t>
  </si>
  <si>
    <t>666</t>
  </si>
  <si>
    <t>FFF</t>
  </si>
  <si>
    <t>1000</t>
  </si>
  <si>
    <t>FFF</t>
    <phoneticPr fontId="1"/>
  </si>
  <si>
    <t>序数のオーバーフロー</t>
    <rPh sb="0" eb="2">
      <t>ジョスウ</t>
    </rPh>
    <phoneticPr fontId="1"/>
  </si>
  <si>
    <t>被除数のオーバーフロー</t>
    <rPh sb="0" eb="1">
      <t>ヒ</t>
    </rPh>
    <rPh sb="1" eb="3">
      <t>ジョスウ</t>
    </rPh>
    <phoneticPr fontId="1"/>
  </si>
  <si>
    <t>オーバーフローしない最大</t>
    <rPh sb="10" eb="11">
      <t>サイ</t>
    </rPh>
    <rPh sb="11" eb="12">
      <t>ダイ</t>
    </rPh>
    <phoneticPr fontId="1"/>
  </si>
  <si>
    <t>オーバフローする最小</t>
    <rPh sb="8" eb="10">
      <t>サイショウ</t>
    </rPh>
    <phoneticPr fontId="1"/>
  </si>
  <si>
    <t>1111111111111111111111111111111</t>
    <phoneticPr fontId="1"/>
  </si>
  <si>
    <t>10000000000000000000000000000000</t>
    <phoneticPr fontId="1"/>
  </si>
  <si>
    <t>0割チェック</t>
    <rPh sb="1" eb="2">
      <t>ワリ</t>
    </rPh>
    <phoneticPr fontId="1"/>
  </si>
  <si>
    <t>1割チェック</t>
    <rPh sb="1" eb="2">
      <t>ワリ</t>
    </rPh>
    <phoneticPr fontId="1"/>
  </si>
  <si>
    <t>1</t>
  </si>
  <si>
    <t/>
  </si>
  <si>
    <t>2進</t>
    <rPh sb="1" eb="2">
      <t>シン</t>
    </rPh>
    <phoneticPr fontId="1"/>
  </si>
  <si>
    <t>10進</t>
    <rPh sb="2" eb="3">
      <t>シン</t>
    </rPh>
    <phoneticPr fontId="1"/>
  </si>
  <si>
    <t>16進</t>
  </si>
  <si>
    <t>16進</t>
    <rPh sb="2" eb="3">
      <t>シン</t>
    </rPh>
    <phoneticPr fontId="1"/>
  </si>
  <si>
    <t>7FFFFFFF</t>
    <phoneticPr fontId="1"/>
  </si>
  <si>
    <t>(2,147,483,647(10))</t>
    <phoneticPr fontId="1"/>
  </si>
  <si>
    <t>(2,147,483,648(10))</t>
    <phoneticPr fontId="1"/>
  </si>
  <si>
    <t>(toRadixによる除算ループが</t>
    <phoneticPr fontId="1"/>
  </si>
  <si>
    <t xml:space="preserve"> 1回まわる時の最小限界)</t>
    <phoneticPr fontId="1"/>
  </si>
  <si>
    <t xml:space="preserve"> 1回まわる時の最大限界)</t>
    <phoneticPr fontId="1"/>
  </si>
  <si>
    <t xml:space="preserve"> 2回まわるの最小限界)</t>
    <phoneticPr fontId="1"/>
  </si>
  <si>
    <t xml:space="preserve"> 2回まわる時の最大限界)</t>
    <phoneticPr fontId="1"/>
  </si>
  <si>
    <t xml:space="preserve"> 3回まわるの最小限界)</t>
    <phoneticPr fontId="1"/>
  </si>
  <si>
    <t>divide</t>
    <phoneticPr fontId="1"/>
  </si>
  <si>
    <t>convIntPrtOfNPntToIntPrtOfNPnt</t>
    <phoneticPr fontId="1"/>
  </si>
  <si>
    <t>001111111111111111111111111111111</t>
    <phoneticPr fontId="1"/>
  </si>
  <si>
    <t>002147483647</t>
    <phoneticPr fontId="1"/>
  </si>
  <si>
    <t>007FFFFFFF</t>
    <phoneticPr fontId="1"/>
  </si>
  <si>
    <t>001000000000000000000000000000000000</t>
  </si>
  <si>
    <t>001000000000000000000000000000000000</t>
    <phoneticPr fontId="1"/>
  </si>
  <si>
    <t>00214748364800</t>
  </si>
  <si>
    <t>00214748364800</t>
    <phoneticPr fontId="1"/>
  </si>
  <si>
    <t>008000000000</t>
  </si>
  <si>
    <t>008000000000</t>
    <phoneticPr fontId="1"/>
  </si>
  <si>
    <t>00111111111111111111111111111111100</t>
    <phoneticPr fontId="1"/>
  </si>
  <si>
    <t>00214748364700</t>
    <phoneticPr fontId="1"/>
  </si>
  <si>
    <t>007FFFFFFF00</t>
    <phoneticPr fontId="1"/>
  </si>
  <si>
    <t>00000000000000000000000000000000100</t>
  </si>
  <si>
    <t>00000000000100</t>
  </si>
  <si>
    <t>000000000100</t>
  </si>
  <si>
    <t>小数点以下桁数指定</t>
    <rPh sb="0" eb="3">
      <t>ショウスウテン</t>
    </rPh>
    <rPh sb="3" eb="5">
      <t>イカ</t>
    </rPh>
    <rPh sb="5" eb="7">
      <t>ケタスウ</t>
    </rPh>
    <rPh sb="7" eb="9">
      <t>シテイ</t>
    </rPh>
    <phoneticPr fontId="1"/>
  </si>
  <si>
    <t>0桁</t>
    <rPh sb="1" eb="2">
      <t>ケタ</t>
    </rPh>
    <phoneticPr fontId="1"/>
  </si>
  <si>
    <t>011</t>
  </si>
  <si>
    <t>010</t>
  </si>
  <si>
    <t>0010</t>
  </si>
  <si>
    <t>3</t>
  </si>
  <si>
    <t>001</t>
  </si>
  <si>
    <t>5</t>
  </si>
  <si>
    <t>商 = 0</t>
    <rPh sb="0" eb="1">
      <t>ショウ</t>
    </rPh>
    <phoneticPr fontId="1"/>
  </si>
  <si>
    <t>商 = 1</t>
    <phoneticPr fontId="1"/>
  </si>
  <si>
    <t>剰余 = 0</t>
  </si>
  <si>
    <t>剰余 = 1</t>
  </si>
  <si>
    <t>商 = Radix - 1</t>
    <rPh sb="0" eb="1">
      <t>ショウ</t>
    </rPh>
    <phoneticPr fontId="1"/>
  </si>
  <si>
    <t>商 = Radix</t>
    <rPh sb="0" eb="1">
      <t>ショウ</t>
    </rPh>
    <phoneticPr fontId="1"/>
  </si>
  <si>
    <t>商 = Radix + 1</t>
    <rPh sb="0" eb="1">
      <t>ショウ</t>
    </rPh>
    <phoneticPr fontId="1"/>
  </si>
  <si>
    <t>商 = Radix ^ 2 - 1</t>
    <rPh sb="0" eb="1">
      <t>ショウ</t>
    </rPh>
    <phoneticPr fontId="1"/>
  </si>
  <si>
    <t>商 = Radix ^ 2</t>
    <rPh sb="0" eb="1">
      <t>ショウ</t>
    </rPh>
    <phoneticPr fontId="1"/>
  </si>
  <si>
    <t>商 = Radix ^ 2 + 1</t>
    <rPh sb="0" eb="1">
      <t>ショウ</t>
    </rPh>
    <phoneticPr fontId="1"/>
  </si>
  <si>
    <t>商 = Radix ^ 3 - 1</t>
    <rPh sb="0" eb="1">
      <t>ショウ</t>
    </rPh>
    <phoneticPr fontId="1"/>
  </si>
  <si>
    <t>商 = Radix ^ 3</t>
    <rPh sb="0" eb="1">
      <t>ショウ</t>
    </rPh>
    <phoneticPr fontId="1"/>
  </si>
  <si>
    <t>商 = Radix ^ 3 + 1</t>
    <rPh sb="0" eb="1">
      <t>ショウ</t>
    </rPh>
    <phoneticPr fontId="1"/>
  </si>
  <si>
    <t>剰余 = Radix - 1</t>
  </si>
  <si>
    <t>00</t>
  </si>
  <si>
    <t>F</t>
  </si>
  <si>
    <t>F</t>
    <phoneticPr fontId="1"/>
  </si>
  <si>
    <t>9</t>
  </si>
  <si>
    <t>被除数の桁数キープ</t>
    <phoneticPr fontId="1"/>
  </si>
  <si>
    <t>1111111111111111111111111111111</t>
    <phoneticPr fontId="1"/>
  </si>
  <si>
    <t>2147483647</t>
    <phoneticPr fontId="1"/>
  </si>
  <si>
    <t>1000000000000000000000000000000000</t>
    <phoneticPr fontId="1"/>
  </si>
  <si>
    <t>214748364800</t>
    <phoneticPr fontId="1"/>
  </si>
  <si>
    <t>8000000000</t>
    <phoneticPr fontId="1"/>
  </si>
  <si>
    <t>0000000000000000000000000000001</t>
  </si>
  <si>
    <t>0000000001</t>
  </si>
  <si>
    <t>00000001</t>
  </si>
  <si>
    <t>1</t>
    <phoneticPr fontId="1"/>
  </si>
  <si>
    <t>1</t>
    <phoneticPr fontId="1"/>
  </si>
  <si>
    <t>9</t>
    <phoneticPr fontId="1"/>
  </si>
  <si>
    <t>10</t>
    <phoneticPr fontId="1"/>
  </si>
  <si>
    <t>11</t>
    <phoneticPr fontId="1"/>
  </si>
  <si>
    <t>1</t>
    <phoneticPr fontId="1"/>
  </si>
  <si>
    <t>19</t>
    <phoneticPr fontId="1"/>
  </si>
  <si>
    <t>1F</t>
    <phoneticPr fontId="1"/>
  </si>
  <si>
    <t>01</t>
    <phoneticPr fontId="1"/>
  </si>
  <si>
    <t>01</t>
    <phoneticPr fontId="1"/>
  </si>
  <si>
    <t>0</t>
    <phoneticPr fontId="1"/>
  </si>
  <si>
    <t>0</t>
    <phoneticPr fontId="1"/>
  </si>
  <si>
    <t>90</t>
    <phoneticPr fontId="1"/>
  </si>
  <si>
    <t>F0</t>
    <phoneticPr fontId="1"/>
  </si>
  <si>
    <t>09</t>
    <phoneticPr fontId="1"/>
  </si>
  <si>
    <t>0F</t>
    <phoneticPr fontId="1"/>
  </si>
  <si>
    <t>91</t>
    <phoneticPr fontId="1"/>
  </si>
  <si>
    <t>F1</t>
    <phoneticPr fontId="1"/>
  </si>
  <si>
    <t>1</t>
    <phoneticPr fontId="1"/>
  </si>
  <si>
    <t>99</t>
    <phoneticPr fontId="1"/>
  </si>
  <si>
    <t>FF</t>
    <phoneticPr fontId="1"/>
  </si>
  <si>
    <t>9</t>
    <phoneticPr fontId="1"/>
  </si>
  <si>
    <t>F</t>
    <phoneticPr fontId="1"/>
  </si>
  <si>
    <t>0</t>
    <phoneticPr fontId="1"/>
  </si>
  <si>
    <t>0</t>
    <phoneticPr fontId="1"/>
  </si>
  <si>
    <t>100</t>
    <phoneticPr fontId="1"/>
  </si>
  <si>
    <t>1</t>
    <phoneticPr fontId="1"/>
  </si>
  <si>
    <t>1</t>
    <phoneticPr fontId="1"/>
  </si>
  <si>
    <t>9</t>
    <phoneticPr fontId="1"/>
  </si>
  <si>
    <t>F</t>
    <phoneticPr fontId="1"/>
  </si>
  <si>
    <t>101</t>
    <phoneticPr fontId="1"/>
  </si>
  <si>
    <t>109</t>
    <phoneticPr fontId="1"/>
  </si>
  <si>
    <t>10F</t>
    <phoneticPr fontId="1"/>
  </si>
  <si>
    <t>101</t>
    <phoneticPr fontId="1"/>
  </si>
  <si>
    <t>0</t>
    <phoneticPr fontId="1"/>
  </si>
  <si>
    <t>0</t>
    <phoneticPr fontId="1"/>
  </si>
  <si>
    <t>0</t>
    <phoneticPr fontId="1"/>
  </si>
  <si>
    <t>110</t>
    <phoneticPr fontId="1"/>
  </si>
  <si>
    <t>011</t>
    <phoneticPr fontId="1"/>
  </si>
  <si>
    <t>111</t>
    <phoneticPr fontId="1"/>
  </si>
  <si>
    <t>119</t>
    <phoneticPr fontId="1"/>
  </si>
  <si>
    <t>11F</t>
    <phoneticPr fontId="1"/>
  </si>
  <si>
    <t>990</t>
    <phoneticPr fontId="1"/>
  </si>
  <si>
    <t>099</t>
  </si>
  <si>
    <t>099</t>
    <phoneticPr fontId="1"/>
  </si>
  <si>
    <t>0</t>
    <phoneticPr fontId="1"/>
  </si>
  <si>
    <t>0FF</t>
  </si>
  <si>
    <t>0FF</t>
    <phoneticPr fontId="1"/>
  </si>
  <si>
    <t>0</t>
    <phoneticPr fontId="1"/>
  </si>
  <si>
    <t>FF0</t>
    <phoneticPr fontId="1"/>
  </si>
  <si>
    <t>111</t>
    <phoneticPr fontId="1"/>
  </si>
  <si>
    <t>991</t>
    <phoneticPr fontId="1"/>
  </si>
  <si>
    <t>FF1</t>
    <phoneticPr fontId="1"/>
  </si>
  <si>
    <t>999</t>
    <phoneticPr fontId="1"/>
  </si>
  <si>
    <t>FFF</t>
    <phoneticPr fontId="1"/>
  </si>
  <si>
    <t>1000</t>
    <phoneticPr fontId="1"/>
  </si>
  <si>
    <t>0100</t>
  </si>
  <si>
    <t>1001</t>
    <phoneticPr fontId="1"/>
  </si>
  <si>
    <t>1009</t>
    <phoneticPr fontId="1"/>
  </si>
  <si>
    <t>100F</t>
    <phoneticPr fontId="1"/>
  </si>
  <si>
    <t>1010</t>
    <phoneticPr fontId="1"/>
  </si>
  <si>
    <t>0101</t>
  </si>
  <si>
    <t>1011</t>
  </si>
  <si>
    <t>1011</t>
    <phoneticPr fontId="1"/>
  </si>
  <si>
    <t>1019</t>
    <phoneticPr fontId="1"/>
  </si>
  <si>
    <t>101F</t>
    <phoneticPr fontId="1"/>
  </si>
  <si>
    <t>10000</t>
    <phoneticPr fontId="1"/>
  </si>
  <si>
    <t>01000</t>
  </si>
  <si>
    <t>10001</t>
    <phoneticPr fontId="1"/>
  </si>
  <si>
    <t>10009</t>
    <phoneticPr fontId="1"/>
  </si>
  <si>
    <t>1000F</t>
    <phoneticPr fontId="1"/>
  </si>
  <si>
    <t>1111</t>
    <phoneticPr fontId="1"/>
  </si>
  <si>
    <t>1110</t>
    <phoneticPr fontId="1"/>
  </si>
  <si>
    <t>1110</t>
    <phoneticPr fontId="1"/>
  </si>
  <si>
    <t>1119</t>
    <phoneticPr fontId="1"/>
  </si>
  <si>
    <t>1111</t>
    <phoneticPr fontId="1"/>
  </si>
  <si>
    <t>111F</t>
    <phoneticPr fontId="1"/>
  </si>
  <si>
    <t>0111</t>
  </si>
  <si>
    <t>10010</t>
    <phoneticPr fontId="1"/>
  </si>
  <si>
    <t>01001</t>
  </si>
  <si>
    <t>10011</t>
    <phoneticPr fontId="1"/>
  </si>
  <si>
    <t>10019</t>
    <phoneticPr fontId="1"/>
  </si>
  <si>
    <t>1001F</t>
    <phoneticPr fontId="1"/>
  </si>
  <si>
    <t>255桁</t>
    <rPh sb="3" eb="4">
      <t>ケタ</t>
    </rPh>
    <phoneticPr fontId="1"/>
  </si>
  <si>
    <t>1桁</t>
    <rPh sb="1" eb="2">
      <t>ケタ</t>
    </rPh>
    <phoneticPr fontId="1"/>
  </si>
  <si>
    <t>3</t>
    <phoneticPr fontId="1"/>
  </si>
  <si>
    <t>5</t>
    <phoneticPr fontId="1"/>
  </si>
  <si>
    <t>F</t>
    <phoneticPr fontId="1"/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</si>
  <si>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</t>
  </si>
  <si>
    <t>1</t>
    <phoneticPr fontId="1"/>
  </si>
  <si>
    <t>0333333333333333333333333333333333333333333333333333333333333333333333333333333333333333333333333333333333333333333333333333333333333333333333333333333333333333333333333333333333333333333333333333333333333333333333333333333333333333333333333333333333333333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</si>
  <si>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001010101010101010101010101010101010101010101010101010101010101010101010101010101010101010101010101010101010101010101010101010101010101010101010101010101010101010101010101010101010101010101010101010101010101010101010101010101010101010101010101010101010101010</t>
  </si>
  <si>
    <t>2進(256桁指定)</t>
    <rPh sb="1" eb="2">
      <t>シン</t>
    </rPh>
    <rPh sb="6" eb="7">
      <t>ケタ</t>
    </rPh>
    <rPh sb="7" eb="9">
      <t>シテイ</t>
    </rPh>
    <phoneticPr fontId="1"/>
  </si>
  <si>
    <t>2進(255桁指定)</t>
    <rPh sb="1" eb="2">
      <t>シン</t>
    </rPh>
    <rPh sb="6" eb="7">
      <t>ケタ</t>
    </rPh>
    <rPh sb="7" eb="9">
      <t>シテイ</t>
    </rPh>
    <phoneticPr fontId="1"/>
  </si>
  <si>
    <t>0555555555555555555555555555555555555555555555555555555555555555555555555555555555555555555555555555555555555555555555555555555555555555555555555555555555555555555555555555555555555555555555555555555555555555555555555555555555555555555555555555555555555555</t>
  </si>
  <si>
    <t>03</t>
  </si>
  <si>
    <t>05</t>
  </si>
  <si>
    <t>2進(1桁指定)</t>
    <rPh sb="1" eb="2">
      <t>シン</t>
    </rPh>
    <rPh sb="4" eb="5">
      <t>ケタ</t>
    </rPh>
    <rPh sb="5" eb="7">
      <t>シテイ</t>
    </rPh>
    <phoneticPr fontId="1"/>
  </si>
  <si>
    <t>2進(2桁指定)</t>
    <rPh sb="1" eb="2">
      <t>シン</t>
    </rPh>
    <rPh sb="4" eb="5">
      <t>ケタ</t>
    </rPh>
    <rPh sb="5" eb="7">
      <t>シテイ</t>
    </rPh>
    <phoneticPr fontId="1"/>
  </si>
  <si>
    <t>(-)桁</t>
    <rPh sb="3" eb="4">
      <t>ケタ</t>
    </rPh>
    <phoneticPr fontId="1"/>
  </si>
  <si>
    <t>観点</t>
    <rPh sb="0" eb="2">
      <t>カンテン</t>
    </rPh>
    <phoneticPr fontId="1"/>
  </si>
  <si>
    <t>add</t>
    <phoneticPr fontId="1"/>
  </si>
  <si>
    <t>桁数あわせ</t>
    <rPh sb="0" eb="2">
      <t>ケタスウ</t>
    </rPh>
    <phoneticPr fontId="1"/>
  </si>
  <si>
    <t>val1 = 1文字, val2 = 1文字</t>
    <rPh sb="8" eb="10">
      <t>モジ</t>
    </rPh>
    <phoneticPr fontId="1"/>
  </si>
  <si>
    <t>val1 = 1文字, val2 = 2文字</t>
    <rPh sb="8" eb="10">
      <t>モジ</t>
    </rPh>
    <phoneticPr fontId="1"/>
  </si>
  <si>
    <t>val1 = 2文字, val2 = 1文字</t>
    <rPh sb="8" eb="10">
      <t>モジ</t>
    </rPh>
    <phoneticPr fontId="1"/>
  </si>
  <si>
    <t>00</t>
    <phoneticPr fontId="1"/>
  </si>
  <si>
    <t>和算ループ回数</t>
    <rPh sb="0" eb="2">
      <t>ワザン</t>
    </rPh>
    <rPh sb="5" eb="7">
      <t>カイスウ</t>
    </rPh>
    <phoneticPr fontId="1"/>
  </si>
  <si>
    <t>ループ1回</t>
    <rPh sb="4" eb="5">
      <t>カイ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</si>
  <si>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</si>
  <si>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</si>
  <si>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</si>
  <si>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F</t>
    <phoneticPr fontId="1"/>
  </si>
  <si>
    <t>ループ2回</t>
    <rPh sb="4" eb="5">
      <t>カイ</t>
    </rPh>
    <phoneticPr fontId="1"/>
  </si>
  <si>
    <t>ループ3回</t>
    <rPh sb="4" eb="5">
      <t>カイ</t>
    </rPh>
    <phoneticPr fontId="1"/>
  </si>
  <si>
    <t>11</t>
    <phoneticPr fontId="1"/>
  </si>
  <si>
    <t>1</t>
    <phoneticPr fontId="1"/>
  </si>
  <si>
    <t>99</t>
  </si>
  <si>
    <t>99</t>
    <phoneticPr fontId="1"/>
  </si>
  <si>
    <t>1</t>
    <phoneticPr fontId="1"/>
  </si>
  <si>
    <t>FF</t>
    <phoneticPr fontId="1"/>
  </si>
  <si>
    <t>1</t>
    <phoneticPr fontId="1"/>
  </si>
  <si>
    <t>111</t>
    <phoneticPr fontId="1"/>
  </si>
  <si>
    <t>1</t>
    <phoneticPr fontId="1"/>
  </si>
  <si>
    <t>999</t>
    <phoneticPr fontId="1"/>
  </si>
  <si>
    <t>1</t>
    <phoneticPr fontId="1"/>
  </si>
  <si>
    <t>FFF</t>
    <phoneticPr fontId="1"/>
  </si>
  <si>
    <t>val1=0,val2=0,前桁carrier=0</t>
  </si>
  <si>
    <t>val1=0,val2=0,前桁carrier=1</t>
  </si>
  <si>
    <t>val1=0,val2=1,前桁carrier=0</t>
  </si>
  <si>
    <t>val1=0,val2=1,前桁carrier=1</t>
  </si>
  <si>
    <t>val1=1,val2=0,前桁carrier=0</t>
  </si>
  <si>
    <t>val1=1,val2=0,前桁carrier=1</t>
  </si>
  <si>
    <t>val1=1,val2=1,前桁carrier=0</t>
  </si>
  <si>
    <t>val1=1,val2=1,前桁carrier=1</t>
  </si>
  <si>
    <t>加算アルゴリズム</t>
    <rPh sb="0" eb="2">
      <t>カサン</t>
    </rPh>
    <phoneticPr fontId="1"/>
  </si>
  <si>
    <t>00</t>
    <phoneticPr fontId="1"/>
  </si>
  <si>
    <t>01</t>
  </si>
  <si>
    <t>01</t>
    <phoneticPr fontId="1"/>
  </si>
  <si>
    <t>09</t>
  </si>
  <si>
    <t>09</t>
    <phoneticPr fontId="1"/>
  </si>
  <si>
    <t>09</t>
    <phoneticPr fontId="1"/>
  </si>
  <si>
    <t>0F</t>
  </si>
  <si>
    <t>0F</t>
    <phoneticPr fontId="1"/>
  </si>
  <si>
    <t>18</t>
  </si>
  <si>
    <t>1E</t>
  </si>
  <si>
    <t>10</t>
    <phoneticPr fontId="1"/>
  </si>
  <si>
    <t>01</t>
    <phoneticPr fontId="1"/>
  </si>
  <si>
    <t>00</t>
    <phoneticPr fontId="1"/>
  </si>
  <si>
    <t>90</t>
    <phoneticPr fontId="1"/>
  </si>
  <si>
    <t>F0</t>
    <phoneticPr fontId="1"/>
  </si>
  <si>
    <t>99</t>
    <phoneticPr fontId="1"/>
  </si>
  <si>
    <t>108</t>
  </si>
  <si>
    <t>10E</t>
  </si>
  <si>
    <t>val1=0,val2=0</t>
    <phoneticPr fontId="1"/>
  </si>
  <si>
    <t>val1=0,val2=1</t>
    <phoneticPr fontId="1"/>
  </si>
  <si>
    <t>val1=1,val2=0</t>
    <phoneticPr fontId="1"/>
  </si>
  <si>
    <t>val1=1,val2=1</t>
    <phoneticPr fontId="1"/>
  </si>
  <si>
    <t>0</t>
    <phoneticPr fontId="1"/>
  </si>
  <si>
    <t>0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</si>
  <si>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</si>
  <si>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</si>
  <si>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</si>
  <si>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</si>
  <si>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0</t>
    <phoneticPr fontId="1"/>
  </si>
  <si>
    <t>11</t>
    <phoneticPr fontId="1"/>
  </si>
  <si>
    <t>10</t>
    <phoneticPr fontId="1"/>
  </si>
  <si>
    <t>90</t>
    <phoneticPr fontId="1"/>
  </si>
  <si>
    <t>F0</t>
    <phoneticPr fontId="1"/>
  </si>
  <si>
    <t>101</t>
  </si>
  <si>
    <t>189</t>
  </si>
  <si>
    <t>1EF</t>
  </si>
  <si>
    <t>1</t>
    <phoneticPr fontId="1"/>
  </si>
  <si>
    <t>10進(最大)</t>
    <rPh sb="2" eb="3">
      <t>シン</t>
    </rPh>
    <rPh sb="4" eb="5">
      <t>サイ</t>
    </rPh>
    <rPh sb="5" eb="6">
      <t>ダイ</t>
    </rPh>
    <phoneticPr fontId="1"/>
  </si>
  <si>
    <t>10進(最小)</t>
    <rPh sb="2" eb="3">
      <t>シン</t>
    </rPh>
    <rPh sb="4" eb="6">
      <t>サイショウ</t>
    </rPh>
    <phoneticPr fontId="1"/>
  </si>
  <si>
    <t>16進(最大)</t>
    <rPh sb="2" eb="3">
      <t>シン</t>
    </rPh>
    <rPh sb="4" eb="5">
      <t>サイ</t>
    </rPh>
    <rPh sb="5" eb="6">
      <t>ダイ</t>
    </rPh>
    <phoneticPr fontId="1"/>
  </si>
  <si>
    <t>16進(最小)</t>
    <rPh sb="2" eb="3">
      <t>シン</t>
    </rPh>
    <rPh sb="4" eb="6">
      <t>サイショウ</t>
    </rPh>
    <phoneticPr fontId="1"/>
  </si>
  <si>
    <t>9</t>
    <phoneticPr fontId="1"/>
  </si>
  <si>
    <t>F</t>
    <phoneticPr fontId="1"/>
  </si>
  <si>
    <t>1</t>
    <phoneticPr fontId="1"/>
  </si>
  <si>
    <t>110</t>
  </si>
  <si>
    <t>198</t>
  </si>
  <si>
    <t>1FE</t>
  </si>
  <si>
    <t>multipleByOneDigit</t>
    <phoneticPr fontId="1"/>
  </si>
  <si>
    <t>0掛けチェック</t>
    <rPh sb="1" eb="2">
      <t>カ</t>
    </rPh>
    <phoneticPr fontId="1"/>
  </si>
  <si>
    <t>1掛けチェック</t>
    <rPh sb="1" eb="2">
      <t>カ</t>
    </rPh>
    <phoneticPr fontId="1"/>
  </si>
  <si>
    <t>0</t>
    <phoneticPr fontId="1"/>
  </si>
  <si>
    <t>1</t>
    <phoneticPr fontId="1"/>
  </si>
  <si>
    <t>10</t>
    <phoneticPr fontId="1"/>
  </si>
  <si>
    <t>11</t>
    <phoneticPr fontId="1"/>
  </si>
  <si>
    <t>101</t>
    <phoneticPr fontId="1"/>
  </si>
  <si>
    <t>乗算ループ回数</t>
    <rPh sb="0" eb="2">
      <t>ジョウザン</t>
    </rPh>
    <rPh sb="5" eb="7">
      <t>カイスウ</t>
    </rPh>
    <phoneticPr fontId="1"/>
  </si>
  <si>
    <t>ループ1回</t>
    <rPh sb="4" eb="5">
      <t>カイ</t>
    </rPh>
    <phoneticPr fontId="1"/>
  </si>
  <si>
    <t>3進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</si>
  <si>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</si>
  <si>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</si>
  <si>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2</t>
  </si>
  <si>
    <t>2</t>
    <phoneticPr fontId="1"/>
  </si>
  <si>
    <t>22</t>
    <phoneticPr fontId="1"/>
  </si>
  <si>
    <t>2</t>
    <phoneticPr fontId="1"/>
  </si>
  <si>
    <t>2</t>
    <phoneticPr fontId="1"/>
  </si>
  <si>
    <t>2</t>
    <phoneticPr fontId="1"/>
  </si>
  <si>
    <t>5</t>
    <phoneticPr fontId="1"/>
  </si>
  <si>
    <t>4</t>
  </si>
  <si>
    <t>A</t>
  </si>
  <si>
    <t>22</t>
    <phoneticPr fontId="1"/>
  </si>
  <si>
    <t>55</t>
    <phoneticPr fontId="1"/>
  </si>
  <si>
    <t>ループ2回</t>
    <rPh sb="4" eb="5">
      <t>カイ</t>
    </rPh>
    <phoneticPr fontId="1"/>
  </si>
  <si>
    <t>121</t>
  </si>
  <si>
    <t>44</t>
  </si>
  <si>
    <t>AA</t>
  </si>
  <si>
    <t>ループ3回</t>
    <rPh sb="4" eb="5">
      <t>カイ</t>
    </rPh>
    <phoneticPr fontId="1"/>
  </si>
  <si>
    <t>222</t>
    <phoneticPr fontId="1"/>
  </si>
  <si>
    <t>555</t>
    <phoneticPr fontId="1"/>
  </si>
  <si>
    <t>1221</t>
  </si>
  <si>
    <t>444</t>
  </si>
  <si>
    <t>AAA</t>
  </si>
  <si>
    <t>被乗数=0,乗数=0</t>
    <rPh sb="0" eb="1">
      <t>ヒ</t>
    </rPh>
    <rPh sb="1" eb="3">
      <t>ジョウスウ</t>
    </rPh>
    <rPh sb="6" eb="8">
      <t>ジョウスウ</t>
    </rPh>
    <phoneticPr fontId="1"/>
  </si>
  <si>
    <t>乗算アルゴリズム</t>
    <rPh sb="0" eb="2">
      <t>ジョウザン</t>
    </rPh>
    <phoneticPr fontId="1"/>
  </si>
  <si>
    <t>0</t>
    <phoneticPr fontId="1"/>
  </si>
  <si>
    <t>0</t>
    <phoneticPr fontId="1"/>
  </si>
  <si>
    <t>被乗数=0,乗数=1</t>
    <rPh sb="0" eb="1">
      <t>ヒ</t>
    </rPh>
    <rPh sb="1" eb="3">
      <t>ジョウスウ</t>
    </rPh>
    <rPh sb="6" eb="8">
      <t>ジョウスウ</t>
    </rPh>
    <phoneticPr fontId="1"/>
  </si>
  <si>
    <t>(※ここでの"1"は、</t>
    <phoneticPr fontId="1"/>
  </si>
  <si>
    <t>　減基数(radix - 1))</t>
    <rPh sb="1" eb="2">
      <t>ゲン</t>
    </rPh>
    <rPh sb="2" eb="4">
      <t>キスウ</t>
    </rPh>
    <phoneticPr fontId="1"/>
  </si>
  <si>
    <t>0</t>
    <phoneticPr fontId="1"/>
  </si>
  <si>
    <t>2</t>
    <phoneticPr fontId="1"/>
  </si>
  <si>
    <t>9</t>
    <phoneticPr fontId="1"/>
  </si>
  <si>
    <t>F</t>
    <phoneticPr fontId="1"/>
  </si>
  <si>
    <t>被乗数=1,乗数=0</t>
    <rPh sb="0" eb="1">
      <t>ヒ</t>
    </rPh>
    <rPh sb="1" eb="3">
      <t>ジョウスウ</t>
    </rPh>
    <rPh sb="6" eb="8">
      <t>ジョウスウ</t>
    </rPh>
    <phoneticPr fontId="1"/>
  </si>
  <si>
    <t>2</t>
    <phoneticPr fontId="1"/>
  </si>
  <si>
    <t>9</t>
    <phoneticPr fontId="1"/>
  </si>
  <si>
    <t>F</t>
    <phoneticPr fontId="1"/>
  </si>
  <si>
    <t>被乗数=1,乗数=1</t>
    <rPh sb="0" eb="1">
      <t>ヒ</t>
    </rPh>
    <rPh sb="1" eb="3">
      <t>ジョウスウ</t>
    </rPh>
    <rPh sb="6" eb="8">
      <t>ジョウスウ</t>
    </rPh>
    <phoneticPr fontId="1"/>
  </si>
  <si>
    <t>E1</t>
  </si>
  <si>
    <t>81</t>
  </si>
  <si>
    <t>5</t>
    <phoneticPr fontId="1"/>
  </si>
  <si>
    <t>2</t>
    <phoneticPr fontId="1"/>
  </si>
  <si>
    <t>8</t>
    <phoneticPr fontId="1"/>
  </si>
  <si>
    <t>被乗数=0,乗数=0,前桁carrier=0</t>
  </si>
  <si>
    <t>被乗数=0,乗数=0,前桁carrier=1</t>
  </si>
  <si>
    <t>被乗数=0,乗数=1,前桁carrier=0</t>
  </si>
  <si>
    <t>被乗数=0,乗数=1,前桁carrier=1</t>
  </si>
  <si>
    <t>被乗数=1,乗数=0,前桁carrier=0</t>
  </si>
  <si>
    <t>被乗数=1,乗数=0,前桁carrier=1</t>
  </si>
  <si>
    <t>被乗数=1,乗数=1,前桁carrier=0</t>
  </si>
  <si>
    <t>被乗数=1,乗数=1,前桁carrier=1</t>
  </si>
  <si>
    <t>0</t>
    <phoneticPr fontId="1"/>
  </si>
  <si>
    <t>00</t>
    <phoneticPr fontId="1"/>
  </si>
  <si>
    <t>-</t>
  </si>
  <si>
    <t>-</t>
    <phoneticPr fontId="1"/>
  </si>
  <si>
    <t>-</t>
    <phoneticPr fontId="1"/>
  </si>
  <si>
    <t>2</t>
    <phoneticPr fontId="1"/>
  </si>
  <si>
    <t>9</t>
    <phoneticPr fontId="1"/>
  </si>
  <si>
    <t>F</t>
    <phoneticPr fontId="1"/>
  </si>
  <si>
    <t>0</t>
    <phoneticPr fontId="1"/>
  </si>
  <si>
    <t>02</t>
    <phoneticPr fontId="1"/>
  </si>
  <si>
    <t>09</t>
    <phoneticPr fontId="1"/>
  </si>
  <si>
    <t>0F</t>
    <phoneticPr fontId="1"/>
  </si>
  <si>
    <t>0</t>
    <phoneticPr fontId="1"/>
  </si>
  <si>
    <t>-</t>
    <phoneticPr fontId="1"/>
  </si>
  <si>
    <t>-</t>
    <phoneticPr fontId="1"/>
  </si>
  <si>
    <t>ありえない→</t>
    <phoneticPr fontId="1"/>
  </si>
  <si>
    <t>20</t>
    <phoneticPr fontId="1"/>
  </si>
  <si>
    <t>90</t>
    <phoneticPr fontId="1"/>
  </si>
  <si>
    <t>F0</t>
    <phoneticPr fontId="1"/>
  </si>
  <si>
    <t>810</t>
  </si>
  <si>
    <t>E10</t>
  </si>
  <si>
    <t>99</t>
    <phoneticPr fontId="1"/>
  </si>
  <si>
    <t>FF</t>
    <phoneticPr fontId="1"/>
  </si>
  <si>
    <t>891</t>
  </si>
  <si>
    <t>EF1</t>
  </si>
  <si>
    <t>1</t>
    <phoneticPr fontId="1"/>
  </si>
  <si>
    <t>2</t>
    <phoneticPr fontId="1"/>
  </si>
  <si>
    <t>3</t>
    <phoneticPr fontId="1"/>
  </si>
  <si>
    <t>5</t>
    <phoneticPr fontId="1"/>
  </si>
  <si>
    <t>3</t>
    <phoneticPr fontId="1"/>
  </si>
  <si>
    <t>multiple</t>
    <phoneticPr fontId="1"/>
  </si>
  <si>
    <t>1010</t>
  </si>
  <si>
    <t>0</t>
    <phoneticPr fontId="1"/>
  </si>
  <si>
    <t>radix - 1</t>
    <phoneticPr fontId="1"/>
  </si>
  <si>
    <t>11</t>
    <phoneticPr fontId="1"/>
  </si>
  <si>
    <t>11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</si>
  <si>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</si>
  <si>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</si>
  <si>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</si>
  <si>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</si>
  <si>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</si>
  <si>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radix - 1, radix - 1</t>
    <phoneticPr fontId="1"/>
  </si>
  <si>
    <t>99</t>
    <phoneticPr fontId="1"/>
  </si>
  <si>
    <t>FF</t>
    <phoneticPr fontId="1"/>
  </si>
  <si>
    <t>1001</t>
  </si>
  <si>
    <t>22</t>
  </si>
  <si>
    <t>22</t>
    <phoneticPr fontId="1"/>
  </si>
  <si>
    <t>2</t>
    <phoneticPr fontId="1"/>
  </si>
  <si>
    <t>1012</t>
  </si>
  <si>
    <t>1089</t>
  </si>
  <si>
    <t>10EF</t>
  </si>
  <si>
    <t>2桁目が繰上りなし</t>
    <phoneticPr fontId="1"/>
  </si>
  <si>
    <t>20</t>
    <phoneticPr fontId="1"/>
  </si>
  <si>
    <t>12</t>
    <phoneticPr fontId="1"/>
  </si>
  <si>
    <t>15</t>
    <phoneticPr fontId="1"/>
  </si>
  <si>
    <t>300</t>
  </si>
  <si>
    <t>18</t>
    <phoneticPr fontId="1"/>
  </si>
  <si>
    <t>2桁目が繰上り</t>
    <phoneticPr fontId="1"/>
  </si>
  <si>
    <t>21</t>
    <phoneticPr fontId="1"/>
  </si>
  <si>
    <t>1120</t>
  </si>
  <si>
    <t>51</t>
    <phoneticPr fontId="1"/>
  </si>
  <si>
    <t>81</t>
    <phoneticPr fontId="1"/>
  </si>
  <si>
    <t>1020</t>
  </si>
  <si>
    <t>2桁目も繰上り</t>
    <phoneticPr fontId="1"/>
  </si>
  <si>
    <t>1桁目が繰上り、</t>
    <rPh sb="1" eb="2">
      <t>ケタ</t>
    </rPh>
    <rPh sb="2" eb="3">
      <t>メ</t>
    </rPh>
    <rPh sb="4" eb="5">
      <t>ク</t>
    </rPh>
    <rPh sb="5" eb="6">
      <t>ア</t>
    </rPh>
    <phoneticPr fontId="1"/>
  </si>
  <si>
    <t>1桁目が繰上りなし、</t>
    <rPh sb="1" eb="2">
      <t>ケタ</t>
    </rPh>
    <rPh sb="2" eb="3">
      <t>メ</t>
    </rPh>
    <rPh sb="4" eb="5">
      <t>ク</t>
    </rPh>
    <rPh sb="5" eb="6">
      <t>ア</t>
    </rPh>
    <phoneticPr fontId="1"/>
  </si>
  <si>
    <t>22</t>
    <phoneticPr fontId="1"/>
  </si>
  <si>
    <t>2101</t>
  </si>
  <si>
    <t>55</t>
    <phoneticPr fontId="1"/>
  </si>
  <si>
    <t>1210</t>
  </si>
  <si>
    <t>88</t>
    <phoneticPr fontId="1"/>
  </si>
  <si>
    <t>ループ3回</t>
    <rPh sb="4" eb="5">
      <t>カイ</t>
    </rPh>
    <phoneticPr fontId="1"/>
  </si>
  <si>
    <t>全ての桁で繰上り</t>
    <rPh sb="0" eb="1">
      <t>スベ</t>
    </rPh>
    <rPh sb="3" eb="4">
      <t>ケタ</t>
    </rPh>
    <rPh sb="5" eb="7">
      <t>クリアガ</t>
    </rPh>
    <phoneticPr fontId="1"/>
  </si>
  <si>
    <t>222</t>
    <phoneticPr fontId="1"/>
  </si>
  <si>
    <t>555</t>
    <phoneticPr fontId="1"/>
  </si>
  <si>
    <t>888</t>
    <phoneticPr fontId="1"/>
  </si>
  <si>
    <t>21201</t>
  </si>
  <si>
    <t>12210</t>
  </si>
  <si>
    <t>3桁目のみ繰上り</t>
    <rPh sb="1" eb="2">
      <t>ケタ</t>
    </rPh>
    <rPh sb="2" eb="3">
      <t>メ</t>
    </rPh>
    <rPh sb="5" eb="7">
      <t>クリアガ</t>
    </rPh>
    <phoneticPr fontId="1"/>
  </si>
  <si>
    <t>200</t>
    <phoneticPr fontId="1"/>
  </si>
  <si>
    <t>500</t>
    <phoneticPr fontId="1"/>
  </si>
  <si>
    <t>800</t>
    <phoneticPr fontId="1"/>
  </si>
  <si>
    <t>12100</t>
  </si>
  <si>
    <t>11000</t>
  </si>
  <si>
    <t>convFrcPrtOfNPntToFrcPrtOfNPnt</t>
    <phoneticPr fontId="1"/>
  </si>
  <si>
    <t>変換桁数</t>
    <rPh sb="0" eb="2">
      <t>ヘンカン</t>
    </rPh>
    <rPh sb="2" eb="4">
      <t>ケタスウ</t>
    </rPh>
    <phoneticPr fontId="1"/>
  </si>
  <si>
    <t>3333333333</t>
  </si>
  <si>
    <t>8</t>
  </si>
  <si>
    <t>0010010010</t>
  </si>
  <si>
    <t>2492492492</t>
  </si>
  <si>
    <t>0001</t>
  </si>
  <si>
    <t>0303030303</t>
  </si>
  <si>
    <t>2進→4進</t>
    <rPh sb="1" eb="2">
      <t>シン</t>
    </rPh>
    <phoneticPr fontId="1"/>
  </si>
  <si>
    <t>2進→8進</t>
    <rPh sb="1" eb="2">
      <t>シン</t>
    </rPh>
    <phoneticPr fontId="1"/>
  </si>
  <si>
    <t>16進→4進</t>
    <phoneticPr fontId="1"/>
  </si>
  <si>
    <t>16進→8進</t>
    <phoneticPr fontId="1"/>
  </si>
  <si>
    <t>8進→2進</t>
    <phoneticPr fontId="1"/>
  </si>
  <si>
    <t>8進→4進</t>
    <phoneticPr fontId="1"/>
  </si>
  <si>
    <t>8進→16進</t>
    <phoneticPr fontId="1"/>
  </si>
  <si>
    <t>0.0</t>
    <phoneticPr fontId="1"/>
  </si>
  <si>
    <t>0.10</t>
    <phoneticPr fontId="1"/>
  </si>
  <si>
    <t>001</t>
    <phoneticPr fontId="1"/>
  </si>
  <si>
    <t>0001</t>
    <phoneticPr fontId="1"/>
  </si>
  <si>
    <t>4</t>
    <phoneticPr fontId="1"/>
  </si>
  <si>
    <t>1</t>
    <phoneticPr fontId="1"/>
  </si>
  <si>
    <t>2</t>
    <phoneticPr fontId="1"/>
  </si>
  <si>
    <t>002</t>
    <phoneticPr fontId="1"/>
  </si>
  <si>
    <t>000001</t>
    <phoneticPr fontId="1"/>
  </si>
  <si>
    <t>01</t>
    <phoneticPr fontId="1"/>
  </si>
  <si>
    <t>00000001</t>
    <phoneticPr fontId="1"/>
  </si>
  <si>
    <t>000000001</t>
    <phoneticPr fontId="1"/>
  </si>
  <si>
    <t>000000000001</t>
    <phoneticPr fontId="1"/>
  </si>
  <si>
    <t>04</t>
    <phoneticPr fontId="1"/>
  </si>
  <si>
    <t>008</t>
    <phoneticPr fontId="1"/>
  </si>
  <si>
    <t>変換不要確認</t>
    <rPh sb="0" eb="2">
      <t>ヘンカン</t>
    </rPh>
    <rPh sb="2" eb="4">
      <t>フヨウ</t>
    </rPh>
    <rPh sb="4" eb="6">
      <t>カクニン</t>
    </rPh>
    <phoneticPr fontId="1"/>
  </si>
  <si>
    <t>変換最小</t>
    <rPh sb="0" eb="2">
      <t>ヘンカン</t>
    </rPh>
    <rPh sb="2" eb="4">
      <t>サイショウ</t>
    </rPh>
    <phoneticPr fontId="1"/>
  </si>
  <si>
    <t>右側の不要な0</t>
    <rPh sb="0" eb="2">
      <t>ミギガワ</t>
    </rPh>
    <rPh sb="3" eb="5">
      <t>フヨウ</t>
    </rPh>
    <phoneticPr fontId="1"/>
  </si>
  <si>
    <t>ループ回数</t>
    <rPh sb="3" eb="5">
      <t>カイスウ</t>
    </rPh>
    <phoneticPr fontId="1"/>
  </si>
  <si>
    <t>33</t>
  </si>
  <si>
    <t>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</si>
  <si>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subtract</t>
    <phoneticPr fontId="1"/>
  </si>
  <si>
    <t>減算ループ回数</t>
    <rPh sb="0" eb="2">
      <t>ゲンザン</t>
    </rPh>
    <rPh sb="5" eb="7">
      <t>カイスウ</t>
    </rPh>
    <phoneticPr fontId="1"/>
  </si>
  <si>
    <t>1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</si>
  <si>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</si>
  <si>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</si>
  <si>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</si>
  <si>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</si>
  <si>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1</t>
    <phoneticPr fontId="1"/>
  </si>
  <si>
    <t>100</t>
    <phoneticPr fontId="1"/>
  </si>
  <si>
    <t>1</t>
    <phoneticPr fontId="1"/>
  </si>
  <si>
    <t>大小比較</t>
    <rPh sb="0" eb="2">
      <t>ダイショウ</t>
    </rPh>
    <rPh sb="2" eb="4">
      <t>ヒカク</t>
    </rPh>
    <phoneticPr fontId="1"/>
  </si>
  <si>
    <t>一番左の桁でval1&gt;val2</t>
    <rPh sb="0" eb="2">
      <t>イチバン</t>
    </rPh>
    <rPh sb="2" eb="3">
      <t>ヒダリ</t>
    </rPh>
    <rPh sb="4" eb="5">
      <t>ケタ</t>
    </rPh>
    <phoneticPr fontId="1"/>
  </si>
  <si>
    <t>一番左の桁でval1&lt;val2</t>
    <rPh sb="0" eb="2">
      <t>イチバン</t>
    </rPh>
    <rPh sb="2" eb="3">
      <t>ヒダリ</t>
    </rPh>
    <rPh sb="4" eb="5">
      <t>ケタ</t>
    </rPh>
    <phoneticPr fontId="1"/>
  </si>
  <si>
    <t>一番右の桁でval1&gt;val2</t>
    <rPh sb="0" eb="2">
      <t>イチバン</t>
    </rPh>
    <rPh sb="2" eb="3">
      <t>ミギ</t>
    </rPh>
    <rPh sb="4" eb="5">
      <t>ケタ</t>
    </rPh>
    <phoneticPr fontId="1"/>
  </si>
  <si>
    <t>111</t>
    <phoneticPr fontId="1"/>
  </si>
  <si>
    <t>99</t>
    <phoneticPr fontId="1"/>
  </si>
  <si>
    <t>11</t>
    <phoneticPr fontId="1"/>
  </si>
  <si>
    <t>FFF</t>
    <phoneticPr fontId="1"/>
  </si>
  <si>
    <t>FF</t>
    <phoneticPr fontId="1"/>
  </si>
  <si>
    <t>199</t>
    <phoneticPr fontId="1"/>
  </si>
  <si>
    <t>1FF</t>
    <phoneticPr fontId="1"/>
  </si>
  <si>
    <t>111</t>
    <phoneticPr fontId="1"/>
  </si>
  <si>
    <t>110</t>
    <phoneticPr fontId="1"/>
  </si>
  <si>
    <t>999</t>
    <phoneticPr fontId="1"/>
  </si>
  <si>
    <t>998</t>
    <phoneticPr fontId="1"/>
  </si>
  <si>
    <t>FFF</t>
    <phoneticPr fontId="1"/>
  </si>
  <si>
    <t>FFE</t>
    <phoneticPr fontId="1"/>
  </si>
  <si>
    <t>一番右の桁でval1&lt;val2</t>
    <rPh sb="0" eb="2">
      <t>イチバン</t>
    </rPh>
    <rPh sb="2" eb="3">
      <t>ミギ</t>
    </rPh>
    <rPh sb="4" eb="5">
      <t>ケタ</t>
    </rPh>
    <phoneticPr fontId="1"/>
  </si>
  <si>
    <t>110</t>
    <phoneticPr fontId="1"/>
  </si>
  <si>
    <t>FFE</t>
    <phoneticPr fontId="1"/>
  </si>
  <si>
    <t>途中の桁でval1&gt;val2</t>
    <rPh sb="0" eb="2">
      <t>トチュウ</t>
    </rPh>
    <rPh sb="3" eb="4">
      <t>ケタ</t>
    </rPh>
    <phoneticPr fontId="1"/>
  </si>
  <si>
    <t>途中の桁でval1&lt;val2</t>
    <rPh sb="0" eb="2">
      <t>トチュウ</t>
    </rPh>
    <rPh sb="3" eb="4">
      <t>ケタ</t>
    </rPh>
    <phoneticPr fontId="1"/>
  </si>
  <si>
    <t>00100</t>
  </si>
  <si>
    <t>00100</t>
    <phoneticPr fontId="1"/>
  </si>
  <si>
    <t>99899</t>
  </si>
  <si>
    <t>99899</t>
    <phoneticPr fontId="1"/>
  </si>
  <si>
    <t>FFEFF</t>
  </si>
  <si>
    <t>FFEFF</t>
    <phoneticPr fontId="1"/>
  </si>
  <si>
    <t>99900</t>
  </si>
  <si>
    <t>99900</t>
    <phoneticPr fontId="1"/>
  </si>
  <si>
    <t>FFF00</t>
  </si>
  <si>
    <t>FFF00</t>
    <phoneticPr fontId="1"/>
  </si>
  <si>
    <t>00001</t>
  </si>
  <si>
    <t>00</t>
    <phoneticPr fontId="1"/>
  </si>
  <si>
    <t>00</t>
    <phoneticPr fontId="1"/>
  </si>
  <si>
    <t>減算アルゴリズム</t>
    <rPh sb="0" eb="2">
      <t>ゲンザン</t>
    </rPh>
    <phoneticPr fontId="1"/>
  </si>
  <si>
    <t>10</t>
    <phoneticPr fontId="1"/>
  </si>
  <si>
    <t>0</t>
    <phoneticPr fontId="1"/>
  </si>
  <si>
    <t>0</t>
    <phoneticPr fontId="1"/>
  </si>
  <si>
    <t>1</t>
    <phoneticPr fontId="1"/>
  </si>
  <si>
    <t>1</t>
    <phoneticPr fontId="1"/>
  </si>
  <si>
    <t>9</t>
    <phoneticPr fontId="1"/>
  </si>
  <si>
    <t>9</t>
    <phoneticPr fontId="1"/>
  </si>
  <si>
    <t>F</t>
    <phoneticPr fontId="1"/>
  </si>
  <si>
    <t>F</t>
    <phoneticPr fontId="1"/>
  </si>
  <si>
    <t>100</t>
    <phoneticPr fontId="1"/>
  </si>
  <si>
    <t>100</t>
    <phoneticPr fontId="1"/>
  </si>
  <si>
    <t>1</t>
    <phoneticPr fontId="1"/>
  </si>
  <si>
    <t>11</t>
    <phoneticPr fontId="1"/>
  </si>
  <si>
    <t>110</t>
    <phoneticPr fontId="1"/>
  </si>
  <si>
    <t>1</t>
    <phoneticPr fontId="1"/>
  </si>
  <si>
    <t>1</t>
    <phoneticPr fontId="1"/>
  </si>
  <si>
    <t>F</t>
    <phoneticPr fontId="1"/>
  </si>
  <si>
    <t>109</t>
  </si>
  <si>
    <t>109</t>
    <phoneticPr fontId="1"/>
  </si>
  <si>
    <t>19</t>
    <phoneticPr fontId="1"/>
  </si>
  <si>
    <t>10F</t>
  </si>
  <si>
    <t>10F</t>
    <phoneticPr fontId="1"/>
  </si>
  <si>
    <t>108</t>
    <phoneticPr fontId="1"/>
  </si>
  <si>
    <t>9</t>
    <phoneticPr fontId="1"/>
  </si>
  <si>
    <t>10E</t>
    <phoneticPr fontId="1"/>
  </si>
  <si>
    <t>F</t>
    <phoneticPr fontId="1"/>
  </si>
  <si>
    <t>101</t>
    <phoneticPr fontId="1"/>
  </si>
  <si>
    <t>1</t>
    <phoneticPr fontId="1"/>
  </si>
  <si>
    <t>1F</t>
    <phoneticPr fontId="1"/>
  </si>
  <si>
    <t>10E</t>
    <phoneticPr fontId="1"/>
  </si>
  <si>
    <t>1F</t>
    <phoneticPr fontId="1"/>
  </si>
  <si>
    <t>1F</t>
    <phoneticPr fontId="1"/>
  </si>
  <si>
    <t>F</t>
    <phoneticPr fontId="1"/>
  </si>
  <si>
    <t>118</t>
    <phoneticPr fontId="1"/>
  </si>
  <si>
    <t>11E</t>
    <phoneticPr fontId="1"/>
  </si>
  <si>
    <t>1E</t>
    <phoneticPr fontId="1"/>
  </si>
  <si>
    <t>090</t>
  </si>
  <si>
    <t>0F0</t>
  </si>
  <si>
    <t>089</t>
  </si>
  <si>
    <t>0EF</t>
  </si>
  <si>
    <t>マイナス値判定</t>
    <rPh sb="4" eb="5">
      <t>チ</t>
    </rPh>
    <rPh sb="5" eb="7">
      <t>ハンテイ</t>
    </rPh>
    <phoneticPr fontId="1"/>
  </si>
  <si>
    <t>0</t>
    <phoneticPr fontId="1"/>
  </si>
  <si>
    <t>1</t>
    <phoneticPr fontId="1"/>
  </si>
  <si>
    <t>8</t>
    <phoneticPr fontId="1"/>
  </si>
  <si>
    <t>9</t>
    <phoneticPr fontId="1"/>
  </si>
  <si>
    <t>E</t>
    <phoneticPr fontId="1"/>
  </si>
  <si>
    <t>F</t>
    <phoneticPr fontId="1"/>
  </si>
  <si>
    <t>7進→7進(0桁指定)</t>
    <rPh sb="7" eb="8">
      <t>ケタ</t>
    </rPh>
    <rPh sb="8" eb="10">
      <t>シテイ</t>
    </rPh>
    <phoneticPr fontId="1"/>
  </si>
  <si>
    <t>7進→16進(0桁指定)</t>
    <phoneticPr fontId="1"/>
  </si>
  <si>
    <t>checkNPntStr</t>
    <phoneticPr fontId="1"/>
  </si>
  <si>
    <t>1進</t>
    <rPh sb="1" eb="2">
      <t>シン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</si>
  <si>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</si>
  <si>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</si>
  <si>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</si>
  <si>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17進</t>
    <rPh sb="2" eb="3">
      <t>シン</t>
    </rPh>
    <phoneticPr fontId="1"/>
  </si>
  <si>
    <t>文字コード範囲</t>
    <rPh sb="0" eb="2">
      <t>モジ</t>
    </rPh>
    <rPh sb="5" eb="7">
      <t>ハンイ</t>
    </rPh>
    <phoneticPr fontId="1"/>
  </si>
  <si>
    <t>Null文字列</t>
    <rPh sb="4" eb="7">
      <t>モジレツ</t>
    </rPh>
    <phoneticPr fontId="1"/>
  </si>
  <si>
    <t>基数範囲</t>
    <rPh sb="0" eb="2">
      <t>キスウ</t>
    </rPh>
    <rPh sb="2" eb="4">
      <t>ハンイ</t>
    </rPh>
    <phoneticPr fontId="1"/>
  </si>
  <si>
    <t>9進</t>
    <rPh sb="1" eb="2">
      <t>シン</t>
    </rPh>
    <phoneticPr fontId="1"/>
  </si>
  <si>
    <t>11進</t>
    <rPh sb="2" eb="3">
      <t>シン</t>
    </rPh>
    <phoneticPr fontId="1"/>
  </si>
  <si>
    <t>OK最小</t>
    <rPh sb="2" eb="4">
      <t>サイショウ</t>
    </rPh>
    <phoneticPr fontId="1"/>
  </si>
  <si>
    <t>OK最大</t>
    <rPh sb="2" eb="4">
      <t>サイダイ</t>
    </rPh>
    <phoneticPr fontId="1"/>
  </si>
  <si>
    <t>A</t>
    <phoneticPr fontId="1"/>
  </si>
  <si>
    <t>F</t>
    <phoneticPr fontId="1"/>
  </si>
  <si>
    <t>基数変換テーブルで</t>
    <rPh sb="0" eb="2">
      <t>キスウ</t>
    </rPh>
    <rPh sb="2" eb="4">
      <t>ヘンカン</t>
    </rPh>
    <phoneticPr fontId="1"/>
  </si>
  <si>
    <t>解決不可能</t>
    <phoneticPr fontId="1"/>
  </si>
  <si>
    <t>解決可能</t>
    <phoneticPr fontId="1"/>
  </si>
  <si>
    <t>3進(桁上りしない最大)</t>
  </si>
  <si>
    <t>3進(桁上り)</t>
  </si>
  <si>
    <t>10進(桁上りしない最大)</t>
  </si>
  <si>
    <t>10進(桁上り最小)</t>
  </si>
  <si>
    <t>10進(桁上り最大)</t>
  </si>
  <si>
    <t>16進(桁上りしない最大)</t>
  </si>
  <si>
    <t>16進(桁上り最小)</t>
  </si>
  <si>
    <t>16進(桁上り最大)</t>
  </si>
  <si>
    <t>変換テーブル内最小</t>
  </si>
  <si>
    <t>変換テーブル内中間</t>
  </si>
  <si>
    <t>変換テーブル内最大</t>
  </si>
  <si>
    <t>NG最小</t>
    <rPh sb="2" eb="4">
      <t>サイショウ</t>
    </rPh>
    <phoneticPr fontId="1"/>
  </si>
  <si>
    <t>A</t>
    <phoneticPr fontId="1"/>
  </si>
  <si>
    <t>B</t>
    <phoneticPr fontId="1"/>
  </si>
  <si>
    <t>G</t>
    <phoneticPr fontId="1"/>
  </si>
  <si>
    <t>8</t>
    <phoneticPr fontId="1"/>
  </si>
  <si>
    <t>9</t>
    <phoneticPr fontId="1"/>
  </si>
  <si>
    <t>NG検出位置</t>
    <rPh sb="2" eb="4">
      <t>ケンシュツ</t>
    </rPh>
    <rPh sb="4" eb="6">
      <t>イチ</t>
    </rPh>
    <phoneticPr fontId="1"/>
  </si>
  <si>
    <t>2文字目</t>
    <rPh sb="1" eb="4">
      <t>モジメ</t>
    </rPh>
    <phoneticPr fontId="1"/>
  </si>
  <si>
    <t>途中</t>
    <rPh sb="0" eb="2">
      <t>トチュウ</t>
    </rPh>
    <phoneticPr fontId="1"/>
  </si>
  <si>
    <t>最後</t>
    <rPh sb="0" eb="2">
      <t>サイゴ</t>
    </rPh>
    <phoneticPr fontId="1"/>
  </si>
  <si>
    <t>121</t>
    <phoneticPr fontId="1"/>
  </si>
  <si>
    <t>898</t>
    <phoneticPr fontId="1"/>
  </si>
  <si>
    <t>9A9</t>
    <phoneticPr fontId="1"/>
  </si>
  <si>
    <t>ABA</t>
    <phoneticPr fontId="1"/>
  </si>
  <si>
    <t>FGF</t>
    <phoneticPr fontId="1"/>
  </si>
  <si>
    <t>11211</t>
    <phoneticPr fontId="1"/>
  </si>
  <si>
    <t>88988</t>
    <phoneticPr fontId="1"/>
  </si>
  <si>
    <t>99A99</t>
    <phoneticPr fontId="1"/>
  </si>
  <si>
    <t>AABAA</t>
    <phoneticPr fontId="1"/>
  </si>
  <si>
    <t>FFGFF</t>
    <phoneticPr fontId="1"/>
  </si>
  <si>
    <t>11112</t>
    <phoneticPr fontId="1"/>
  </si>
  <si>
    <t>88889</t>
    <phoneticPr fontId="1"/>
  </si>
  <si>
    <t>9999A</t>
    <phoneticPr fontId="1"/>
  </si>
  <si>
    <t>AAAAB</t>
    <phoneticPr fontId="1"/>
  </si>
  <si>
    <t>FFFFG</t>
    <phoneticPr fontId="1"/>
  </si>
  <si>
    <t>すべてOK</t>
    <phoneticPr fontId="1"/>
  </si>
  <si>
    <t>01</t>
    <phoneticPr fontId="1"/>
  </si>
  <si>
    <t>01234567890</t>
    <phoneticPr fontId="1"/>
  </si>
  <si>
    <t>0123456780</t>
    <phoneticPr fontId="1"/>
  </si>
  <si>
    <t>0123456789A0</t>
    <phoneticPr fontId="1"/>
  </si>
  <si>
    <t>0123456789ABCDEF0</t>
    <phoneticPr fontId="1"/>
  </si>
  <si>
    <t>符号</t>
    <rPh sb="0" eb="2">
      <t>フゴウ</t>
    </rPh>
    <phoneticPr fontId="1"/>
  </si>
  <si>
    <t>1文字目</t>
    <rPh sb="1" eb="4">
      <t>モジメ</t>
    </rPh>
    <phoneticPr fontId="1"/>
  </si>
  <si>
    <t>2文字目</t>
    <rPh sb="1" eb="4">
      <t>モジメ</t>
    </rPh>
    <phoneticPr fontId="1"/>
  </si>
  <si>
    <t>-1</t>
    <phoneticPr fontId="1"/>
  </si>
  <si>
    <t>1-</t>
    <phoneticPr fontId="1"/>
  </si>
  <si>
    <t>小数点位置</t>
    <rPh sb="0" eb="3">
      <t>ショウスウテン</t>
    </rPh>
    <rPh sb="3" eb="5">
      <t>イチ</t>
    </rPh>
    <phoneticPr fontId="1"/>
  </si>
  <si>
    <t>.0</t>
    <phoneticPr fontId="1"/>
  </si>
  <si>
    <t>separateToIntAndFrc</t>
    <phoneticPr fontId="1"/>
  </si>
  <si>
    <t>checkNPntStrでエラー</t>
    <phoneticPr fontId="1"/>
  </si>
  <si>
    <t>Null文字列</t>
    <rPh sb="4" eb="7">
      <t>モジレツ</t>
    </rPh>
    <phoneticPr fontId="1"/>
  </si>
  <si>
    <t>基数が範囲外</t>
    <rPh sb="0" eb="2">
      <t>キスウ</t>
    </rPh>
    <rPh sb="3" eb="5">
      <t>ハンイ</t>
    </rPh>
    <rPh sb="5" eb="6">
      <t>ガイ</t>
    </rPh>
    <phoneticPr fontId="1"/>
  </si>
  <si>
    <t>1文字</t>
    <rPh sb="1" eb="3">
      <t>モジ</t>
    </rPh>
    <phoneticPr fontId="1"/>
  </si>
  <si>
    <t>2文字</t>
    <rPh sb="1" eb="3">
      <t>モジ</t>
    </rPh>
    <phoneticPr fontId="1"/>
  </si>
  <si>
    <t>3文字</t>
    <rPh sb="1" eb="3">
      <t>モジ</t>
    </rPh>
    <phoneticPr fontId="1"/>
  </si>
  <si>
    <t>整数部抽出</t>
    <rPh sb="0" eb="2">
      <t>セイスウ</t>
    </rPh>
    <rPh sb="2" eb="3">
      <t>ブ</t>
    </rPh>
    <rPh sb="3" eb="5">
      <t>チュウシュツ</t>
    </rPh>
    <phoneticPr fontId="1"/>
  </si>
  <si>
    <t>(+)</t>
    <phoneticPr fontId="1"/>
  </si>
  <si>
    <t>(-)</t>
    <phoneticPr fontId="1"/>
  </si>
  <si>
    <t>0.0</t>
    <phoneticPr fontId="1"/>
  </si>
  <si>
    <t>1文字目でdot</t>
    <rPh sb="1" eb="4">
      <t>モジメ</t>
    </rPh>
    <phoneticPr fontId="1"/>
  </si>
  <si>
    <t>2文字目でdot</t>
    <rPh sb="1" eb="4">
      <t>モジメ</t>
    </rPh>
    <phoneticPr fontId="1"/>
  </si>
  <si>
    <t>最後 - 1 文字目でdot</t>
    <rPh sb="0" eb="2">
      <t>サイゴ</t>
    </rPh>
    <rPh sb="7" eb="10">
      <t>モジメ</t>
    </rPh>
    <phoneticPr fontId="1"/>
  </si>
  <si>
    <t>2 and 3 文字目でdot</t>
    <rPh sb="8" eb="11">
      <t>モジメ</t>
    </rPh>
    <phoneticPr fontId="1"/>
  </si>
  <si>
    <t>0..3</t>
    <phoneticPr fontId="1"/>
  </si>
  <si>
    <t>0123.4</t>
    <phoneticPr fontId="1"/>
  </si>
  <si>
    <t>2 and (最後 - 1)文字目でdot</t>
    <rPh sb="7" eb="9">
      <t>サイゴ</t>
    </rPh>
    <rPh sb="14" eb="17">
      <t>モジメ</t>
    </rPh>
    <phoneticPr fontId="1"/>
  </si>
  <si>
    <t>0.819818.4</t>
    <phoneticPr fontId="1"/>
  </si>
  <si>
    <t>+</t>
  </si>
  <si>
    <t>+</t>
    <phoneticPr fontId="1"/>
  </si>
  <si>
    <t>-</t>
    <phoneticPr fontId="1"/>
  </si>
  <si>
    <t>-.0</t>
    <phoneticPr fontId="1"/>
  </si>
  <si>
    <t>-0.0</t>
    <phoneticPr fontId="1"/>
  </si>
  <si>
    <t>-0..3</t>
    <phoneticPr fontId="1"/>
  </si>
  <si>
    <t>-0123.4</t>
    <phoneticPr fontId="1"/>
  </si>
  <si>
    <t>-0.819818.4</t>
    <phoneticPr fontId="1"/>
  </si>
  <si>
    <t>12</t>
  </si>
  <si>
    <t>123</t>
  </si>
  <si>
    <t>123</t>
    <phoneticPr fontId="1"/>
  </si>
  <si>
    <t>-12</t>
    <phoneticPr fontId="1"/>
  </si>
  <si>
    <t>-123</t>
    <phoneticPr fontId="1"/>
  </si>
  <si>
    <t>小数部抽出</t>
    <rPh sb="0" eb="3">
      <t>ショウスウブ</t>
    </rPh>
    <rPh sb="3" eb="5">
      <t>チュウシュツ</t>
    </rPh>
    <phoneticPr fontId="1"/>
  </si>
  <si>
    <t>整数1文字</t>
    <rPh sb="0" eb="2">
      <t>セイスウ</t>
    </rPh>
    <rPh sb="3" eb="5">
      <t>モジ</t>
    </rPh>
    <phoneticPr fontId="1"/>
  </si>
  <si>
    <t>1.2</t>
    <phoneticPr fontId="1"/>
  </si>
  <si>
    <t>1.23</t>
    <phoneticPr fontId="1"/>
  </si>
  <si>
    <t>1.234</t>
    <phoneticPr fontId="1"/>
  </si>
  <si>
    <t>234</t>
  </si>
  <si>
    <t>整数2文字</t>
    <rPh sb="0" eb="2">
      <t>セイスウ</t>
    </rPh>
    <rPh sb="3" eb="5">
      <t>モジ</t>
    </rPh>
    <phoneticPr fontId="1"/>
  </si>
  <si>
    <t>整数3文字</t>
    <rPh sb="0" eb="2">
      <t>セイスウ</t>
    </rPh>
    <rPh sb="3" eb="5">
      <t>モジ</t>
    </rPh>
    <phoneticPr fontId="1"/>
  </si>
  <si>
    <t>12.3</t>
    <phoneticPr fontId="1"/>
  </si>
  <si>
    <t>12.34</t>
    <phoneticPr fontId="1"/>
  </si>
  <si>
    <t>12.345</t>
    <phoneticPr fontId="1"/>
  </si>
  <si>
    <t>34</t>
  </si>
  <si>
    <t>345</t>
  </si>
  <si>
    <t>123.4</t>
    <phoneticPr fontId="1"/>
  </si>
  <si>
    <t>123.45</t>
    <phoneticPr fontId="1"/>
  </si>
  <si>
    <t>123.456</t>
    <phoneticPr fontId="1"/>
  </si>
  <si>
    <t>45</t>
  </si>
  <si>
    <t>456</t>
  </si>
  <si>
    <t>-1.2</t>
    <phoneticPr fontId="1"/>
  </si>
  <si>
    <t>-1.23</t>
    <phoneticPr fontId="1"/>
  </si>
  <si>
    <t>-1.234</t>
    <phoneticPr fontId="1"/>
  </si>
  <si>
    <t>-12.3</t>
    <phoneticPr fontId="1"/>
  </si>
  <si>
    <t>-12.34</t>
    <phoneticPr fontId="1"/>
  </si>
  <si>
    <t>-12.345</t>
    <phoneticPr fontId="1"/>
  </si>
  <si>
    <t>-123.4</t>
    <phoneticPr fontId="1"/>
  </si>
  <si>
    <t>-123.45</t>
    <phoneticPr fontId="1"/>
  </si>
  <si>
    <t>-123.456</t>
    <phoneticPr fontId="1"/>
  </si>
  <si>
    <t>0削除</t>
    <rPh sb="1" eb="3">
      <t>サクジョ</t>
    </rPh>
    <phoneticPr fontId="1"/>
  </si>
  <si>
    <t>削除しない指定</t>
    <rPh sb="0" eb="2">
      <t>サクジョ</t>
    </rPh>
    <rPh sb="5" eb="7">
      <t>シテイ</t>
    </rPh>
    <phoneticPr fontId="1"/>
  </si>
  <si>
    <t>削除する</t>
    <rPh sb="0" eb="2">
      <t>サクジョ</t>
    </rPh>
    <phoneticPr fontId="1"/>
  </si>
  <si>
    <t>001.100</t>
    <phoneticPr fontId="1"/>
  </si>
  <si>
    <t>整数部がすべて0</t>
    <rPh sb="0" eb="3">
      <t>セイスウブ</t>
    </rPh>
    <phoneticPr fontId="1"/>
  </si>
  <si>
    <t>000.100</t>
    <phoneticPr fontId="1"/>
  </si>
  <si>
    <t>小数部がすべて0</t>
    <rPh sb="0" eb="3">
      <t>ショウスウブ</t>
    </rPh>
    <phoneticPr fontId="1"/>
  </si>
  <si>
    <t>整数&amp;小数すべてが0</t>
    <rPh sb="0" eb="2">
      <t>セイスウ</t>
    </rPh>
    <rPh sb="3" eb="5">
      <t>ショウスウ</t>
    </rPh>
    <phoneticPr fontId="1"/>
  </si>
  <si>
    <t>001.000</t>
    <phoneticPr fontId="1"/>
  </si>
  <si>
    <t>000.000</t>
    <phoneticPr fontId="1"/>
  </si>
  <si>
    <t>addNPntNPnt</t>
    <phoneticPr fontId="1"/>
  </si>
  <si>
    <t>checkNPntStrでエラー</t>
  </si>
  <si>
    <t>val1</t>
  </si>
  <si>
    <t>val1</t>
    <phoneticPr fontId="1"/>
  </si>
  <si>
    <t>val2</t>
    <phoneticPr fontId="1"/>
  </si>
  <si>
    <t>桁数合わせ</t>
    <rPh sb="0" eb="2">
      <t>ケタスウ</t>
    </rPh>
    <rPh sb="2" eb="3">
      <t>ア</t>
    </rPh>
    <phoneticPr fontId="1"/>
  </si>
  <si>
    <t>不要</t>
    <rPh sb="0" eb="2">
      <t>フヨウ</t>
    </rPh>
    <phoneticPr fontId="1"/>
  </si>
  <si>
    <t>1桁</t>
    <rPh sb="1" eb="2">
      <t>ケタ</t>
    </rPh>
    <phoneticPr fontId="1"/>
  </si>
  <si>
    <t>2桁</t>
    <rPh sb="1" eb="2">
      <t>ケタ</t>
    </rPh>
    <phoneticPr fontId="1"/>
  </si>
  <si>
    <t>0.4</t>
  </si>
  <si>
    <t>0.42</t>
  </si>
  <si>
    <t>0.523</t>
  </si>
  <si>
    <t>(-) (-)</t>
    <phoneticPr fontId="1"/>
  </si>
  <si>
    <t>(-) (+)</t>
    <phoneticPr fontId="1"/>
  </si>
  <si>
    <t>解が(+)</t>
    <rPh sb="0" eb="1">
      <t>カイ</t>
    </rPh>
    <phoneticPr fontId="1"/>
  </si>
  <si>
    <t>解が(-)</t>
    <rPh sb="0" eb="1">
      <t>カイ</t>
    </rPh>
    <phoneticPr fontId="1"/>
  </si>
  <si>
    <t>解が0</t>
    <rPh sb="0" eb="1">
      <t>カイ</t>
    </rPh>
    <phoneticPr fontId="1"/>
  </si>
  <si>
    <t>-10</t>
  </si>
  <si>
    <t>-1</t>
  </si>
  <si>
    <t>(+) (-)</t>
    <phoneticPr fontId="1"/>
  </si>
  <si>
    <t>(+) (+)</t>
    <phoneticPr fontId="1"/>
  </si>
  <si>
    <t>桁上りなし</t>
    <rPh sb="0" eb="2">
      <t>ケタアガ</t>
    </rPh>
    <phoneticPr fontId="1"/>
  </si>
  <si>
    <t>桁上りあり(小数点内)</t>
    <rPh sb="0" eb="2">
      <t>ケタアガ</t>
    </rPh>
    <rPh sb="6" eb="9">
      <t>ショウスウテン</t>
    </rPh>
    <rPh sb="9" eb="10">
      <t>ナイ</t>
    </rPh>
    <phoneticPr fontId="1"/>
  </si>
  <si>
    <t>小数点位置</t>
    <rPh sb="0" eb="3">
      <t>ショウスウテン</t>
    </rPh>
    <rPh sb="3" eb="5">
      <t>イチ</t>
    </rPh>
    <phoneticPr fontId="1"/>
  </si>
  <si>
    <t>桁上りあり(小数点またぎ)</t>
    <rPh sb="0" eb="2">
      <t>ケタアガ</t>
    </rPh>
    <rPh sb="6" eb="9">
      <t>ショウスウテン</t>
    </rPh>
    <phoneticPr fontId="1"/>
  </si>
  <si>
    <t>計算結果の不要0</t>
    <rPh sb="0" eb="4">
      <t>ケイサンケッカ</t>
    </rPh>
    <rPh sb="5" eb="7">
      <t>フヨウ</t>
    </rPh>
    <phoneticPr fontId="1"/>
  </si>
  <si>
    <t>小数</t>
    <rPh sb="0" eb="2">
      <t>ショウスウ</t>
    </rPh>
    <phoneticPr fontId="1"/>
  </si>
  <si>
    <t>小数点またがない</t>
    <rPh sb="0" eb="3">
      <t>ショウスウテン</t>
    </rPh>
    <phoneticPr fontId="1"/>
  </si>
  <si>
    <t>小数点またぎ</t>
    <rPh sb="0" eb="3">
      <t>ショウスウテン</t>
    </rPh>
    <phoneticPr fontId="1"/>
  </si>
  <si>
    <t>整数</t>
    <rPh sb="0" eb="2">
      <t>セイスウ</t>
    </rPh>
    <phoneticPr fontId="1"/>
  </si>
  <si>
    <t>符号</t>
    <rPh sb="0" eb="2">
      <t>フゴウ</t>
    </rPh>
    <phoneticPr fontId="1"/>
  </si>
  <si>
    <t>0.9</t>
  </si>
  <si>
    <t>0.1</t>
  </si>
  <si>
    <t>multipleNPntNPnt</t>
    <phoneticPr fontId="1"/>
  </si>
  <si>
    <t>radix</t>
    <phoneticPr fontId="1"/>
  </si>
  <si>
    <t>被乗数</t>
    <rPh sb="0" eb="3">
      <t>ヒジョウスウ</t>
    </rPh>
    <phoneticPr fontId="1"/>
  </si>
  <si>
    <t>乗数</t>
    <rPh sb="0" eb="2">
      <t>ジョウスウ</t>
    </rPh>
    <phoneticPr fontId="1"/>
  </si>
  <si>
    <t>2進数</t>
    <rPh sb="1" eb="3">
      <t>シンスウ</t>
    </rPh>
    <phoneticPr fontId="1"/>
  </si>
  <si>
    <t>10進数</t>
    <rPh sb="2" eb="4">
      <t>シンスウ</t>
    </rPh>
    <phoneticPr fontId="1"/>
  </si>
  <si>
    <t>16進数</t>
    <rPh sb="2" eb="3">
      <t>シン</t>
    </rPh>
    <rPh sb="3" eb="4">
      <t>スウ</t>
    </rPh>
    <phoneticPr fontId="1"/>
  </si>
  <si>
    <t>少数</t>
    <rPh sb="0" eb="2">
      <t>ショウスウ</t>
    </rPh>
    <phoneticPr fontId="1"/>
  </si>
  <si>
    <t>少数 少数</t>
    <rPh sb="0" eb="2">
      <t>ショウスウ</t>
    </rPh>
    <rPh sb="3" eb="5">
      <t>ショウスウ</t>
    </rPh>
    <phoneticPr fontId="1"/>
  </si>
  <si>
    <t>少数 整数</t>
    <rPh sb="0" eb="2">
      <t>ショウスウ</t>
    </rPh>
    <rPh sb="3" eb="5">
      <t>セイスウ</t>
    </rPh>
    <phoneticPr fontId="1"/>
  </si>
  <si>
    <t>繰り上がりなし</t>
    <rPh sb="0" eb="1">
      <t>ク</t>
    </rPh>
    <rPh sb="2" eb="3">
      <t>ア</t>
    </rPh>
    <phoneticPr fontId="1"/>
  </si>
  <si>
    <t>繰り上がりあり</t>
    <rPh sb="0" eb="1">
      <t>ク</t>
    </rPh>
    <rPh sb="2" eb="3">
      <t>ア</t>
    </rPh>
    <phoneticPr fontId="1"/>
  </si>
  <si>
    <t>繰り上がりあり(小数点またぎ)</t>
    <rPh sb="0" eb="1">
      <t>ク</t>
    </rPh>
    <rPh sb="2" eb="3">
      <t>ア</t>
    </rPh>
    <rPh sb="8" eb="11">
      <t>ショウスウテン</t>
    </rPh>
    <phoneticPr fontId="1"/>
  </si>
  <si>
    <t>未指定OK</t>
    <rPh sb="0" eb="3">
      <t>ミシテイ</t>
    </rPh>
    <phoneticPr fontId="1"/>
  </si>
  <si>
    <t>未指定NG</t>
    <rPh sb="0" eb="3">
      <t>ミシテイ</t>
    </rPh>
    <phoneticPr fontId="1"/>
  </si>
  <si>
    <t>A</t>
    <phoneticPr fontId="1"/>
  </si>
  <si>
    <t>radix</t>
  </si>
  <si>
    <t>0.2</t>
  </si>
  <si>
    <t>0.002</t>
  </si>
  <si>
    <t>0.01</t>
  </si>
  <si>
    <t>乗数少数部の桁数</t>
    <rPh sb="0" eb="2">
      <t>ジョウスウ</t>
    </rPh>
    <rPh sb="2" eb="4">
      <t>ショウスウ</t>
    </rPh>
    <rPh sb="4" eb="5">
      <t>ブ</t>
    </rPh>
    <rPh sb="6" eb="8">
      <t>ケタスウ</t>
    </rPh>
    <phoneticPr fontId="1"/>
  </si>
  <si>
    <t>被乗数の桁数で収まる</t>
    <rPh sb="0" eb="3">
      <t>ヒジョウスウ</t>
    </rPh>
    <rPh sb="4" eb="6">
      <t>ケタスウ</t>
    </rPh>
    <rPh sb="7" eb="8">
      <t>オサ</t>
    </rPh>
    <phoneticPr fontId="1"/>
  </si>
  <si>
    <t>被乗数の桁数で収まる(最大)</t>
    <rPh sb="0" eb="3">
      <t>ヒジョウスウ</t>
    </rPh>
    <rPh sb="4" eb="6">
      <t>ケタスウ</t>
    </rPh>
    <rPh sb="7" eb="8">
      <t>オサ</t>
    </rPh>
    <rPh sb="11" eb="13">
      <t>サイダイ</t>
    </rPh>
    <phoneticPr fontId="1"/>
  </si>
  <si>
    <t>被乗数の桁数で収まらない(最小)</t>
    <rPh sb="0" eb="3">
      <t>ヒジョウスウ</t>
    </rPh>
    <rPh sb="4" eb="6">
      <t>ケタスウ</t>
    </rPh>
    <rPh sb="7" eb="8">
      <t>オサ</t>
    </rPh>
    <rPh sb="13" eb="15">
      <t>サイショウ</t>
    </rPh>
    <phoneticPr fontId="1"/>
  </si>
  <si>
    <t>被乗数の桁数で収まらない(最小+1)</t>
    <rPh sb="0" eb="3">
      <t>ヒジョウスウ</t>
    </rPh>
    <rPh sb="4" eb="6">
      <t>ケタスウ</t>
    </rPh>
    <rPh sb="7" eb="8">
      <t>オサ</t>
    </rPh>
    <rPh sb="13" eb="15">
      <t>サイショウ</t>
    </rPh>
    <phoneticPr fontId="1"/>
  </si>
  <si>
    <t>23.4</t>
  </si>
  <si>
    <t>2.34</t>
  </si>
  <si>
    <t>0.234</t>
  </si>
  <si>
    <t>0.0234</t>
  </si>
  <si>
    <t>符号</t>
    <rPh sb="0" eb="2">
      <t>フゴウ</t>
    </rPh>
    <phoneticPr fontId="1"/>
  </si>
  <si>
    <t>(+) (+)</t>
    <phoneticPr fontId="1"/>
  </si>
  <si>
    <t>-0</t>
    <phoneticPr fontId="1"/>
  </si>
  <si>
    <t>6</t>
  </si>
  <si>
    <t>-6</t>
  </si>
  <si>
    <t>(-) (-)</t>
  </si>
  <si>
    <t>F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</si>
</sst>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9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9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0" borderId="1" xfId="0" applyBorder="1" applyAlignment="1">
      <alignment horizontal="right" vertical="center"/>
    </xf>
    <xf numFmtId="49" fontId="0" fillId="0" borderId="1" xfId="0" applyNumberFormat="1" applyBorder="1" applyAlignment="1">
      <alignment horizontal="right" vertical="center"/>
    </xf>
    <xf numFmtId="49" fontId="0" fillId="0" borderId="3" xfId="0" applyNumberFormat="1" applyBorder="1">
      <alignment vertical="center"/>
    </xf>
    <xf numFmtId="49" fontId="0" fillId="0" borderId="3" xfId="0" applyNumberFormat="1" applyBorder="1" applyAlignment="1">
      <alignment horizontal="right" vertical="center"/>
    </xf>
    <xf numFmtId="49" fontId="0" fillId="0" borderId="1" xfId="0" applyNumberFormat="1" applyBorder="1">
      <alignment vertical="center"/>
    </xf>
    <xf numFmtId="49" fontId="0" fillId="0" borderId="2" xfId="0" applyNumberFormat="1" applyBorder="1" applyAlignment="1">
      <alignment horizontal="right" vertical="center"/>
    </xf>
    <xf numFmtId="49" fontId="0" fillId="0" borderId="0" xfId="0" applyNumberFormat="1" applyBorder="1" applyAlignment="1">
      <alignment horizontal="righ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49" fontId="0" fillId="0" borderId="0" xfId="0" applyNumberFormat="1" applyAlignment="1">
      <alignment horizontal="right" vertical="center"/>
    </xf>
    <xf numFmtId="49" fontId="0" fillId="0" borderId="6" xfId="0" applyNumberFormat="1" applyBorder="1" applyAlignment="1">
      <alignment horizontal="right" vertical="center"/>
    </xf>
    <xf numFmtId="49" fontId="0" fillId="0" borderId="7" xfId="0" applyNumberFormat="1" applyBorder="1" applyAlignment="1">
      <alignment horizontal="right" vertical="center"/>
    </xf>
    <xf numFmtId="49" fontId="0" fillId="0" borderId="3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Fill="1" applyBorder="1">
      <alignment vertical="center"/>
    </xf>
    <xf numFmtId="49" fontId="0" fillId="0" borderId="2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>
      <alignment vertical="center"/>
    </xf>
    <xf numFmtId="49" fontId="0" fillId="0" borderId="9" xfId="0" applyNumberFormat="1" applyBorder="1" applyAlignment="1">
      <alignment horizontal="right" vertical="center"/>
    </xf>
    <xf numFmtId="49" fontId="0" fillId="0" borderId="8" xfId="0" applyNumberFormat="1" applyBorder="1" applyAlignment="1">
      <alignment horizontal="right" vertical="center"/>
    </xf>
    <xf numFmtId="0" fontId="0" fillId="0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5" xfId="0" applyFill="1" applyBorder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6" xfId="0" applyBorder="1">
      <alignment vertical="center"/>
    </xf>
    <xf numFmtId="0" fontId="0" fillId="0" borderId="0" xfId="0" applyFill="1" applyBorder="1" applyAlignment="1">
      <alignment horizontal="right" vertical="center"/>
    </xf>
  </cellXfs>
  <cellStyles count="1">
    <cellStyle name="標準" xfId="0" builtinId="0"/>
  </cellStyles>
  <dxfs count="8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584"/>
  <sheetViews>
    <sheetView tabSelected="1"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55" sqref="A55"/>
    </sheetView>
  </sheetViews>
  <sheetFormatPr defaultRowHeight="11.25" x14ac:dyDescent="0.15"/>
  <cols>
    <col min="1" max="1" width="28" customWidth="1"/>
    <col min="2" max="2" width="26.1640625" bestFit="1" customWidth="1"/>
    <col min="3" max="3" width="34.33203125" bestFit="1" customWidth="1"/>
    <col min="4" max="4" width="33.1640625" bestFit="1" customWidth="1"/>
    <col min="5" max="5" width="37.83203125" style="1" bestFit="1" customWidth="1"/>
    <col min="6" max="6" width="37.5" bestFit="1" customWidth="1"/>
    <col min="9" max="9" width="40" style="1" bestFit="1" customWidth="1"/>
    <col min="10" max="10" width="7.1640625" customWidth="1"/>
    <col min="11" max="11" width="9.1640625" customWidth="1"/>
    <col min="13" max="13" width="40" style="1" bestFit="1" customWidth="1"/>
    <col min="14" max="14" width="7.1640625" customWidth="1"/>
    <col min="15" max="15" width="9.1640625" customWidth="1"/>
    <col min="17" max="17" width="7.1640625" style="1" customWidth="1"/>
    <col min="18" max="18" width="7.1640625" bestFit="1" customWidth="1"/>
    <col min="19" max="19" width="7.1640625" customWidth="1"/>
    <col min="20" max="20" width="7.1640625" bestFit="1" customWidth="1"/>
  </cols>
  <sheetData>
    <row r="1" spans="1:20" x14ac:dyDescent="0.15">
      <c r="A1" s="4" t="s">
        <v>19</v>
      </c>
      <c r="B1" s="5" t="str">
        <f>IF(COUNTIF(Q:T,FALSE)=0, "OK", "NG")</f>
        <v>OK</v>
      </c>
    </row>
    <row r="3" spans="1:20" x14ac:dyDescent="0.15">
      <c r="A3" t="s">
        <v>2</v>
      </c>
      <c r="B3" t="s">
        <v>211</v>
      </c>
      <c r="E3" s="1" t="s">
        <v>0</v>
      </c>
      <c r="I3" s="1" t="s">
        <v>1</v>
      </c>
      <c r="M3" s="1" t="s">
        <v>12</v>
      </c>
      <c r="Q3" s="1" t="s">
        <v>13</v>
      </c>
    </row>
    <row r="4" spans="1:20" x14ac:dyDescent="0.15">
      <c r="A4" t="s">
        <v>708</v>
      </c>
      <c r="B4" t="s">
        <v>709</v>
      </c>
      <c r="C4" t="s">
        <v>711</v>
      </c>
      <c r="D4" t="s">
        <v>579</v>
      </c>
      <c r="F4">
        <v>1</v>
      </c>
      <c r="G4">
        <v>10</v>
      </c>
      <c r="I4" s="1" t="e">
        <f>addNPntNPnt(E4,F4,G4)</f>
        <v>#NULL!</v>
      </c>
      <c r="M4" s="1" t="e">
        <v>#NULL!</v>
      </c>
      <c r="Q4" s="1" t="b">
        <f t="shared" ref="Q4:Q59" si="0">getText(I4)=getText(M4)</f>
        <v>1</v>
      </c>
    </row>
    <row r="5" spans="1:20" x14ac:dyDescent="0.15">
      <c r="D5" t="s">
        <v>642</v>
      </c>
      <c r="E5" s="1">
        <v>1</v>
      </c>
      <c r="F5">
        <v>1</v>
      </c>
      <c r="G5">
        <v>1</v>
      </c>
      <c r="I5" s="1" t="e">
        <f>addNPntNPnt(E5,F5,G5)</f>
        <v>#NUM!</v>
      </c>
      <c r="M5" s="1" t="e">
        <v>#NUM!</v>
      </c>
      <c r="Q5" s="1" t="b">
        <f t="shared" si="0"/>
        <v>1</v>
      </c>
      <c r="R5" s="6"/>
      <c r="S5" s="6"/>
      <c r="T5" s="6"/>
    </row>
    <row r="6" spans="1:20" x14ac:dyDescent="0.15">
      <c r="C6" s="2" t="s">
        <v>712</v>
      </c>
      <c r="D6" s="2" t="s">
        <v>579</v>
      </c>
      <c r="E6" s="3">
        <v>1</v>
      </c>
      <c r="F6" s="2"/>
      <c r="G6" s="2">
        <v>10</v>
      </c>
      <c r="H6" s="2"/>
      <c r="I6" s="3" t="e">
        <f t="shared" ref="I6:I30" si="1">addNPntNPnt(E6,F6,G6)</f>
        <v>#NULL!</v>
      </c>
      <c r="J6" s="2"/>
      <c r="K6" s="2"/>
      <c r="L6" s="2"/>
      <c r="M6" s="3" t="e">
        <v>#NULL!</v>
      </c>
      <c r="N6" s="2"/>
      <c r="O6" s="2"/>
      <c r="P6" s="2"/>
      <c r="Q6" s="3" t="b">
        <f t="shared" si="0"/>
        <v>1</v>
      </c>
      <c r="R6" s="6"/>
      <c r="S6" s="6"/>
      <c r="T6" s="6"/>
    </row>
    <row r="7" spans="1:20" x14ac:dyDescent="0.15">
      <c r="D7" t="s">
        <v>642</v>
      </c>
      <c r="E7" s="1">
        <v>1</v>
      </c>
      <c r="F7">
        <v>1</v>
      </c>
      <c r="G7" s="7">
        <v>1</v>
      </c>
      <c r="I7" s="1" t="e">
        <f t="shared" si="1"/>
        <v>#NUM!</v>
      </c>
      <c r="M7" s="1" t="e">
        <v>#NUM!</v>
      </c>
      <c r="Q7" s="1" t="b">
        <f t="shared" si="0"/>
        <v>1</v>
      </c>
      <c r="R7" s="6"/>
      <c r="S7" s="6"/>
      <c r="T7" s="6"/>
    </row>
    <row r="8" spans="1:20" x14ac:dyDescent="0.15">
      <c r="B8" s="2" t="s">
        <v>713</v>
      </c>
      <c r="C8" s="2" t="s">
        <v>710</v>
      </c>
      <c r="D8" s="2" t="s">
        <v>714</v>
      </c>
      <c r="E8" s="3">
        <v>0.1</v>
      </c>
      <c r="F8" s="2">
        <v>0.3</v>
      </c>
      <c r="G8" s="24">
        <v>10</v>
      </c>
      <c r="H8" s="2"/>
      <c r="I8" s="3" t="str">
        <f t="shared" si="1"/>
        <v>0.4</v>
      </c>
      <c r="J8" s="2"/>
      <c r="K8" s="2"/>
      <c r="L8" s="2"/>
      <c r="M8" s="3" t="s">
        <v>717</v>
      </c>
      <c r="N8" s="2"/>
      <c r="O8" s="2"/>
      <c r="P8" s="2"/>
      <c r="Q8" s="3" t="b">
        <f t="shared" si="0"/>
        <v>1</v>
      </c>
    </row>
    <row r="9" spans="1:20" x14ac:dyDescent="0.15">
      <c r="D9" s="7" t="s">
        <v>715</v>
      </c>
      <c r="E9" s="1">
        <v>0.12</v>
      </c>
      <c r="F9" s="7">
        <v>0.3</v>
      </c>
      <c r="G9">
        <v>10</v>
      </c>
      <c r="I9" s="1" t="str">
        <f t="shared" si="1"/>
        <v>0.42</v>
      </c>
      <c r="M9" s="1" t="s">
        <v>718</v>
      </c>
      <c r="Q9" s="1" t="b">
        <f t="shared" si="0"/>
        <v>1</v>
      </c>
    </row>
    <row r="10" spans="1:20" x14ac:dyDescent="0.15">
      <c r="D10" s="7" t="s">
        <v>716</v>
      </c>
      <c r="E10" s="1">
        <v>0.123</v>
      </c>
      <c r="F10" s="7">
        <v>0.4</v>
      </c>
      <c r="G10">
        <v>10</v>
      </c>
      <c r="I10" s="1" t="str">
        <f t="shared" si="1"/>
        <v>0.523</v>
      </c>
      <c r="M10" s="1" t="s">
        <v>719</v>
      </c>
      <c r="Q10" s="1" t="b">
        <f t="shared" si="0"/>
        <v>1</v>
      </c>
    </row>
    <row r="11" spans="1:20" x14ac:dyDescent="0.15">
      <c r="C11" s="2" t="s">
        <v>712</v>
      </c>
      <c r="D11" s="2" t="s">
        <v>714</v>
      </c>
      <c r="E11" s="3">
        <v>0.3</v>
      </c>
      <c r="F11" s="2">
        <v>0.1</v>
      </c>
      <c r="G11" s="2">
        <v>10</v>
      </c>
      <c r="H11" s="2"/>
      <c r="I11" s="3" t="str">
        <f t="shared" si="1"/>
        <v>0.4</v>
      </c>
      <c r="J11" s="2"/>
      <c r="K11" s="2"/>
      <c r="L11" s="2"/>
      <c r="M11" s="3" t="s">
        <v>717</v>
      </c>
      <c r="N11" s="2"/>
      <c r="O11" s="2"/>
      <c r="P11" s="2"/>
      <c r="Q11" s="3" t="b">
        <f t="shared" si="0"/>
        <v>1</v>
      </c>
    </row>
    <row r="12" spans="1:20" x14ac:dyDescent="0.15">
      <c r="D12" s="7" t="s">
        <v>715</v>
      </c>
      <c r="E12" s="1">
        <v>0.3</v>
      </c>
      <c r="F12">
        <v>0.12</v>
      </c>
      <c r="G12">
        <v>10</v>
      </c>
      <c r="I12" s="1" t="str">
        <f t="shared" si="1"/>
        <v>0.42</v>
      </c>
      <c r="M12" s="1" t="s">
        <v>718</v>
      </c>
      <c r="Q12" s="1" t="b">
        <f t="shared" si="0"/>
        <v>1</v>
      </c>
    </row>
    <row r="13" spans="1:20" x14ac:dyDescent="0.15">
      <c r="D13" s="7" t="s">
        <v>716</v>
      </c>
      <c r="E13" s="1">
        <v>0.4</v>
      </c>
      <c r="F13">
        <v>0.123</v>
      </c>
      <c r="G13">
        <v>10</v>
      </c>
      <c r="I13" s="1" t="str">
        <f t="shared" si="1"/>
        <v>0.523</v>
      </c>
      <c r="M13" s="1" t="s">
        <v>719</v>
      </c>
      <c r="Q13" s="1" t="b">
        <f t="shared" si="0"/>
        <v>1</v>
      </c>
    </row>
    <row r="14" spans="1:20" x14ac:dyDescent="0.15">
      <c r="B14" s="2" t="s">
        <v>738</v>
      </c>
      <c r="C14" s="2" t="s">
        <v>720</v>
      </c>
      <c r="D14" s="2"/>
      <c r="E14" s="3">
        <v>-5</v>
      </c>
      <c r="F14" s="2">
        <v>-5</v>
      </c>
      <c r="G14" s="2">
        <v>10</v>
      </c>
      <c r="H14" s="2"/>
      <c r="I14" s="3" t="str">
        <f t="shared" si="1"/>
        <v>-10</v>
      </c>
      <c r="J14" s="2"/>
      <c r="K14" s="2"/>
      <c r="L14" s="2"/>
      <c r="M14" s="3" t="s">
        <v>725</v>
      </c>
      <c r="N14" s="2"/>
      <c r="O14" s="2"/>
      <c r="P14" s="2"/>
      <c r="Q14" s="3" t="b">
        <f t="shared" si="0"/>
        <v>1</v>
      </c>
    </row>
    <row r="15" spans="1:20" x14ac:dyDescent="0.15">
      <c r="C15" s="2" t="s">
        <v>721</v>
      </c>
      <c r="D15" s="2" t="s">
        <v>722</v>
      </c>
      <c r="E15" s="3">
        <v>-8</v>
      </c>
      <c r="F15" s="2">
        <v>9</v>
      </c>
      <c r="G15" s="2">
        <v>10</v>
      </c>
      <c r="H15" s="2"/>
      <c r="I15" s="3" t="str">
        <f>addNPntNPnt(E15,F15,G15)</f>
        <v>1</v>
      </c>
      <c r="J15" s="2"/>
      <c r="K15" s="2"/>
      <c r="L15" s="2"/>
      <c r="M15" s="3" t="s">
        <v>44</v>
      </c>
      <c r="N15" s="2"/>
      <c r="O15" s="2"/>
      <c r="P15" s="2"/>
      <c r="Q15" s="3" t="b">
        <f t="shared" si="0"/>
        <v>1</v>
      </c>
    </row>
    <row r="16" spans="1:20" x14ac:dyDescent="0.15">
      <c r="D16" t="s">
        <v>723</v>
      </c>
      <c r="E16" s="1">
        <v>-9</v>
      </c>
      <c r="F16">
        <v>8</v>
      </c>
      <c r="G16">
        <v>10</v>
      </c>
      <c r="I16" s="1" t="str">
        <f>addNPntNPnt(E16,F16,G16)</f>
        <v>-1</v>
      </c>
      <c r="M16" s="1" t="s">
        <v>726</v>
      </c>
      <c r="Q16" s="1" t="b">
        <f t="shared" si="0"/>
        <v>1</v>
      </c>
    </row>
    <row r="17" spans="2:17" x14ac:dyDescent="0.15">
      <c r="D17" t="s">
        <v>724</v>
      </c>
      <c r="E17" s="1">
        <v>-9</v>
      </c>
      <c r="F17">
        <v>9</v>
      </c>
      <c r="G17">
        <v>10</v>
      </c>
      <c r="I17" s="1" t="str">
        <f>addNPntNPnt(E17,F17,G17)</f>
        <v>0</v>
      </c>
      <c r="M17" s="1" t="s">
        <v>14</v>
      </c>
      <c r="Q17" s="1" t="b">
        <f t="shared" si="0"/>
        <v>1</v>
      </c>
    </row>
    <row r="18" spans="2:17" x14ac:dyDescent="0.15">
      <c r="C18" s="2" t="s">
        <v>727</v>
      </c>
      <c r="D18" s="2" t="s">
        <v>722</v>
      </c>
      <c r="E18" s="3">
        <v>9</v>
      </c>
      <c r="F18" s="2">
        <v>-8</v>
      </c>
      <c r="G18" s="2">
        <v>10</v>
      </c>
      <c r="H18" s="2"/>
      <c r="I18" s="3" t="str">
        <f t="shared" si="1"/>
        <v>1</v>
      </c>
      <c r="J18" s="2"/>
      <c r="K18" s="2"/>
      <c r="L18" s="2"/>
      <c r="M18" s="3" t="s">
        <v>44</v>
      </c>
      <c r="N18" s="2"/>
      <c r="O18" s="2"/>
      <c r="P18" s="2"/>
      <c r="Q18" s="3" t="b">
        <f t="shared" si="0"/>
        <v>1</v>
      </c>
    </row>
    <row r="19" spans="2:17" x14ac:dyDescent="0.15">
      <c r="D19" t="s">
        <v>723</v>
      </c>
      <c r="E19" s="1">
        <v>8</v>
      </c>
      <c r="F19">
        <v>-9</v>
      </c>
      <c r="G19">
        <v>10</v>
      </c>
      <c r="I19" s="1" t="str">
        <f t="shared" si="1"/>
        <v>-1</v>
      </c>
      <c r="M19" s="1" t="s">
        <v>726</v>
      </c>
      <c r="Q19" s="1" t="b">
        <f t="shared" si="0"/>
        <v>1</v>
      </c>
    </row>
    <row r="20" spans="2:17" x14ac:dyDescent="0.15">
      <c r="D20" t="s">
        <v>724</v>
      </c>
      <c r="E20" s="1">
        <v>9</v>
      </c>
      <c r="F20">
        <v>-9</v>
      </c>
      <c r="G20">
        <v>10</v>
      </c>
      <c r="I20" s="1" t="str">
        <f t="shared" si="1"/>
        <v>0</v>
      </c>
      <c r="M20" s="1" t="s">
        <v>14</v>
      </c>
      <c r="Q20" s="1" t="b">
        <f t="shared" si="0"/>
        <v>1</v>
      </c>
    </row>
    <row r="21" spans="2:17" x14ac:dyDescent="0.15">
      <c r="C21" s="2" t="s">
        <v>728</v>
      </c>
      <c r="D21" s="2"/>
      <c r="E21" s="3">
        <v>5</v>
      </c>
      <c r="F21" s="2">
        <v>5</v>
      </c>
      <c r="G21" s="2">
        <v>10</v>
      </c>
      <c r="H21" s="2"/>
      <c r="I21" s="3" t="str">
        <f t="shared" si="1"/>
        <v>10</v>
      </c>
      <c r="J21" s="2"/>
      <c r="K21" s="2"/>
      <c r="L21" s="2"/>
      <c r="M21" s="3" t="s">
        <v>15</v>
      </c>
      <c r="N21" s="2"/>
      <c r="O21" s="2"/>
      <c r="P21" s="2"/>
      <c r="Q21" s="3" t="b">
        <f t="shared" si="0"/>
        <v>1</v>
      </c>
    </row>
    <row r="22" spans="2:17" x14ac:dyDescent="0.15">
      <c r="B22" s="2" t="s">
        <v>731</v>
      </c>
      <c r="C22" s="2" t="s">
        <v>729</v>
      </c>
      <c r="D22" s="2"/>
      <c r="E22" s="3">
        <v>0.1</v>
      </c>
      <c r="F22" s="2">
        <v>0.8</v>
      </c>
      <c r="G22" s="2">
        <v>10</v>
      </c>
      <c r="H22" s="2"/>
      <c r="I22" s="3" t="str">
        <f t="shared" si="1"/>
        <v>0.9</v>
      </c>
      <c r="J22" s="2"/>
      <c r="K22" s="2"/>
      <c r="L22" s="2"/>
      <c r="M22" s="3" t="s">
        <v>739</v>
      </c>
      <c r="N22" s="2"/>
      <c r="O22" s="2"/>
      <c r="P22" s="2"/>
      <c r="Q22" s="3" t="b">
        <f t="shared" si="0"/>
        <v>1</v>
      </c>
    </row>
    <row r="23" spans="2:17" x14ac:dyDescent="0.15">
      <c r="C23" s="7" t="s">
        <v>730</v>
      </c>
      <c r="E23" s="1">
        <v>0.01</v>
      </c>
      <c r="F23" s="7">
        <v>0.09</v>
      </c>
      <c r="G23">
        <v>10</v>
      </c>
      <c r="I23" s="1" t="str">
        <f t="shared" si="1"/>
        <v>0.1</v>
      </c>
      <c r="M23" s="1" t="s">
        <v>740</v>
      </c>
      <c r="Q23" s="1" t="b">
        <f t="shared" si="0"/>
        <v>1</v>
      </c>
    </row>
    <row r="24" spans="2:17" x14ac:dyDescent="0.15">
      <c r="C24" s="7" t="s">
        <v>732</v>
      </c>
      <c r="E24" s="1">
        <v>0.1</v>
      </c>
      <c r="F24" s="7">
        <v>0.9</v>
      </c>
      <c r="G24">
        <v>10</v>
      </c>
      <c r="I24" s="1" t="str">
        <f t="shared" si="1"/>
        <v>1</v>
      </c>
      <c r="M24" s="1" t="s">
        <v>44</v>
      </c>
      <c r="Q24" s="1" t="b">
        <f t="shared" si="0"/>
        <v>1</v>
      </c>
    </row>
    <row r="25" spans="2:17" x14ac:dyDescent="0.15">
      <c r="B25" s="2" t="s">
        <v>733</v>
      </c>
      <c r="C25" s="24" t="s">
        <v>734</v>
      </c>
      <c r="D25" s="2" t="s">
        <v>735</v>
      </c>
      <c r="E25" s="3">
        <v>0.09</v>
      </c>
      <c r="F25" s="24">
        <v>0.01</v>
      </c>
      <c r="G25" s="2">
        <v>10</v>
      </c>
      <c r="H25" s="2"/>
      <c r="I25" s="3" t="str">
        <f t="shared" si="1"/>
        <v>0.1</v>
      </c>
      <c r="J25" s="2"/>
      <c r="K25" s="2"/>
      <c r="L25" s="2"/>
      <c r="M25" s="3" t="s">
        <v>740</v>
      </c>
      <c r="N25" s="2"/>
      <c r="O25" s="2"/>
      <c r="P25" s="2"/>
      <c r="Q25" s="3" t="b">
        <f t="shared" si="0"/>
        <v>1</v>
      </c>
    </row>
    <row r="26" spans="2:17" x14ac:dyDescent="0.15">
      <c r="D26" t="s">
        <v>736</v>
      </c>
      <c r="E26" s="1">
        <v>0.99</v>
      </c>
      <c r="F26" s="7">
        <v>0.01</v>
      </c>
      <c r="G26">
        <v>10</v>
      </c>
      <c r="I26" s="1" t="str">
        <f t="shared" ref="I26" si="2">addNPntNPnt(E26,F26,G26)</f>
        <v>1</v>
      </c>
      <c r="M26" s="1" t="s">
        <v>44</v>
      </c>
      <c r="Q26" s="1" t="b">
        <f t="shared" si="0"/>
        <v>1</v>
      </c>
    </row>
    <row r="27" spans="2:17" x14ac:dyDescent="0.15">
      <c r="C27" s="2" t="s">
        <v>737</v>
      </c>
      <c r="D27" s="2" t="s">
        <v>735</v>
      </c>
      <c r="E27" s="3">
        <v>10</v>
      </c>
      <c r="F27" s="24">
        <v>-9</v>
      </c>
      <c r="G27" s="2">
        <v>10</v>
      </c>
      <c r="H27" s="2"/>
      <c r="I27" s="3" t="str">
        <f t="shared" si="1"/>
        <v>1</v>
      </c>
      <c r="J27" s="2"/>
      <c r="K27" s="2"/>
      <c r="L27" s="2"/>
      <c r="M27" s="3" t="s">
        <v>44</v>
      </c>
      <c r="N27" s="2"/>
      <c r="O27" s="2"/>
      <c r="P27" s="2"/>
      <c r="Q27" s="3" t="b">
        <f t="shared" si="0"/>
        <v>1</v>
      </c>
    </row>
    <row r="28" spans="2:17" x14ac:dyDescent="0.15">
      <c r="D28" t="s">
        <v>736</v>
      </c>
      <c r="E28" s="1">
        <v>10</v>
      </c>
      <c r="F28" s="7">
        <v>-9.9</v>
      </c>
      <c r="G28">
        <v>10</v>
      </c>
      <c r="I28" s="1" t="str">
        <f t="shared" si="1"/>
        <v>0.1</v>
      </c>
      <c r="M28" s="1" t="s">
        <v>740</v>
      </c>
      <c r="Q28" s="1" t="b">
        <f t="shared" si="0"/>
        <v>1</v>
      </c>
    </row>
    <row r="29" spans="2:17" x14ac:dyDescent="0.15">
      <c r="B29" s="2" t="s">
        <v>742</v>
      </c>
      <c r="C29" s="2"/>
      <c r="D29" s="2" t="s">
        <v>745</v>
      </c>
      <c r="E29" s="3">
        <v>1</v>
      </c>
      <c r="F29" s="24">
        <v>1</v>
      </c>
      <c r="G29" s="2">
        <v>2</v>
      </c>
      <c r="H29" s="2"/>
      <c r="I29" s="3" t="str">
        <f t="shared" si="1"/>
        <v>10</v>
      </c>
      <c r="J29" s="2"/>
      <c r="K29" s="2"/>
      <c r="L29" s="2"/>
      <c r="M29" s="3" t="s">
        <v>15</v>
      </c>
      <c r="N29" s="2"/>
      <c r="O29" s="2"/>
      <c r="P29" s="2"/>
      <c r="Q29" s="3" t="b">
        <f t="shared" si="0"/>
        <v>1</v>
      </c>
    </row>
    <row r="30" spans="2:17" x14ac:dyDescent="0.15">
      <c r="D30" s="7" t="s">
        <v>746</v>
      </c>
      <c r="E30" s="1">
        <v>9</v>
      </c>
      <c r="F30" s="7">
        <v>9</v>
      </c>
      <c r="G30" s="7">
        <v>10</v>
      </c>
      <c r="I30" s="1" t="str">
        <f t="shared" si="1"/>
        <v>18</v>
      </c>
      <c r="M30" s="1" t="s">
        <v>255</v>
      </c>
      <c r="Q30" s="1" t="b">
        <f t="shared" si="0"/>
        <v>1</v>
      </c>
    </row>
    <row r="31" spans="2:17" x14ac:dyDescent="0.15">
      <c r="D31" s="7" t="s">
        <v>747</v>
      </c>
      <c r="E31" s="8" t="s">
        <v>100</v>
      </c>
      <c r="F31" s="37" t="s">
        <v>100</v>
      </c>
      <c r="G31" s="7">
        <v>16</v>
      </c>
      <c r="I31" s="1" t="str">
        <f>addNPntNPnt(E31,F31,G31)</f>
        <v>1E</v>
      </c>
      <c r="M31" s="1" t="s">
        <v>256</v>
      </c>
      <c r="Q31" s="1" t="b">
        <f t="shared" si="0"/>
        <v>1</v>
      </c>
    </row>
    <row r="32" spans="2:17" x14ac:dyDescent="0.15">
      <c r="D32" s="7" t="s">
        <v>754</v>
      </c>
      <c r="E32" s="8">
        <v>9</v>
      </c>
      <c r="F32" s="37">
        <v>9</v>
      </c>
      <c r="G32" s="7"/>
      <c r="I32" s="1" t="str">
        <f>addNPntNPnt(E32,F32)</f>
        <v>18</v>
      </c>
      <c r="M32" s="1" t="s">
        <v>255</v>
      </c>
      <c r="Q32" s="1" t="b">
        <f t="shared" si="0"/>
        <v>1</v>
      </c>
    </row>
    <row r="33" spans="1:17" x14ac:dyDescent="0.15">
      <c r="D33" s="7" t="s">
        <v>755</v>
      </c>
      <c r="E33" s="8">
        <v>9</v>
      </c>
      <c r="F33" s="37" t="s">
        <v>756</v>
      </c>
      <c r="G33" s="7"/>
      <c r="I33" s="1" t="e">
        <f t="shared" ref="I33" si="3">addNPntNPnt(E33,F33)</f>
        <v>#NUM!</v>
      </c>
      <c r="M33" s="1" t="e">
        <v>#NUM!</v>
      </c>
      <c r="Q33" s="1" t="b">
        <f t="shared" si="0"/>
        <v>1</v>
      </c>
    </row>
    <row r="34" spans="1:17" x14ac:dyDescent="0.15">
      <c r="A34" s="2" t="s">
        <v>741</v>
      </c>
      <c r="B34" s="2" t="s">
        <v>709</v>
      </c>
      <c r="C34" s="2" t="s">
        <v>743</v>
      </c>
      <c r="D34" s="2" t="s">
        <v>579</v>
      </c>
      <c r="E34" s="3"/>
      <c r="F34" s="24">
        <v>1</v>
      </c>
      <c r="G34" s="2">
        <v>10</v>
      </c>
      <c r="H34" s="2"/>
      <c r="I34" s="3" t="e">
        <f>multipleNPntNPnt(E34,F34,G34)</f>
        <v>#NULL!</v>
      </c>
      <c r="J34" s="2"/>
      <c r="K34" s="2"/>
      <c r="L34" s="2"/>
      <c r="M34" s="3" t="e">
        <v>#NULL!</v>
      </c>
      <c r="N34" s="2"/>
      <c r="O34" s="2"/>
      <c r="P34" s="2"/>
      <c r="Q34" s="3" t="b">
        <f t="shared" si="0"/>
        <v>1</v>
      </c>
    </row>
    <row r="35" spans="1:17" x14ac:dyDescent="0.15">
      <c r="D35" t="s">
        <v>642</v>
      </c>
      <c r="E35" s="1">
        <v>1</v>
      </c>
      <c r="F35" s="7">
        <v>1</v>
      </c>
      <c r="G35">
        <v>1</v>
      </c>
      <c r="I35" s="1" t="e">
        <f t="shared" ref="I35:I59" si="4">multipleNPntNPnt(E35,F35,G35)</f>
        <v>#NUM!</v>
      </c>
      <c r="M35" s="1" t="e">
        <v>#NUM!</v>
      </c>
      <c r="Q35" s="1" t="b">
        <f t="shared" si="0"/>
        <v>1</v>
      </c>
    </row>
    <row r="36" spans="1:17" x14ac:dyDescent="0.15">
      <c r="C36" s="2" t="s">
        <v>744</v>
      </c>
      <c r="D36" s="2" t="s">
        <v>579</v>
      </c>
      <c r="E36" s="3">
        <v>1</v>
      </c>
      <c r="F36" s="24"/>
      <c r="G36" s="2">
        <v>10</v>
      </c>
      <c r="H36" s="2"/>
      <c r="I36" s="3" t="e">
        <f t="shared" si="4"/>
        <v>#NULL!</v>
      </c>
      <c r="J36" s="2"/>
      <c r="K36" s="2"/>
      <c r="L36" s="2"/>
      <c r="M36" s="3" t="e">
        <v>#NULL!</v>
      </c>
      <c r="N36" s="2"/>
      <c r="O36" s="2"/>
      <c r="P36" s="2"/>
      <c r="Q36" s="3" t="b">
        <f t="shared" si="0"/>
        <v>1</v>
      </c>
    </row>
    <row r="37" spans="1:17" x14ac:dyDescent="0.15">
      <c r="D37" t="s">
        <v>642</v>
      </c>
      <c r="E37" s="1">
        <v>1</v>
      </c>
      <c r="F37" s="7">
        <v>1</v>
      </c>
      <c r="G37">
        <v>1</v>
      </c>
      <c r="I37" s="1" t="e">
        <f t="shared" si="4"/>
        <v>#NUM!</v>
      </c>
      <c r="M37" s="1" t="e">
        <v>#NUM!</v>
      </c>
      <c r="Q37" s="1" t="b">
        <f t="shared" si="0"/>
        <v>1</v>
      </c>
    </row>
    <row r="38" spans="1:17" x14ac:dyDescent="0.15">
      <c r="B38" s="2" t="s">
        <v>748</v>
      </c>
      <c r="C38" s="2" t="s">
        <v>750</v>
      </c>
      <c r="D38" s="2" t="s">
        <v>751</v>
      </c>
      <c r="E38" s="3">
        <v>0.1</v>
      </c>
      <c r="F38" s="24">
        <v>2</v>
      </c>
      <c r="G38" s="2">
        <v>10</v>
      </c>
      <c r="H38" s="2"/>
      <c r="I38" s="3" t="str">
        <f t="shared" si="4"/>
        <v>0.2</v>
      </c>
      <c r="J38" s="2"/>
      <c r="K38" s="2"/>
      <c r="L38" s="2"/>
      <c r="M38" s="3" t="s">
        <v>758</v>
      </c>
      <c r="N38" s="2"/>
      <c r="O38" s="2"/>
      <c r="P38" s="2"/>
      <c r="Q38" s="3" t="b">
        <f t="shared" si="0"/>
        <v>1</v>
      </c>
    </row>
    <row r="39" spans="1:17" x14ac:dyDescent="0.15">
      <c r="D39" t="s">
        <v>752</v>
      </c>
      <c r="E39" s="1">
        <v>0.05</v>
      </c>
      <c r="F39" s="7">
        <v>2</v>
      </c>
      <c r="G39">
        <v>10</v>
      </c>
      <c r="I39" s="1" t="str">
        <f t="shared" si="4"/>
        <v>0.1</v>
      </c>
      <c r="M39" s="1" t="s">
        <v>740</v>
      </c>
      <c r="Q39" s="1" t="b">
        <f t="shared" si="0"/>
        <v>1</v>
      </c>
    </row>
    <row r="40" spans="1:17" x14ac:dyDescent="0.15">
      <c r="D40" t="s">
        <v>753</v>
      </c>
      <c r="E40" s="1">
        <v>0.5</v>
      </c>
      <c r="F40" s="7">
        <v>2</v>
      </c>
      <c r="G40">
        <v>10</v>
      </c>
      <c r="I40" s="1" t="str">
        <f t="shared" si="4"/>
        <v>1</v>
      </c>
      <c r="M40" s="1" t="s">
        <v>44</v>
      </c>
      <c r="Q40" s="1" t="b">
        <f t="shared" si="0"/>
        <v>1</v>
      </c>
    </row>
    <row r="41" spans="1:17" x14ac:dyDescent="0.15">
      <c r="C41" s="2" t="s">
        <v>749</v>
      </c>
      <c r="D41" s="2" t="s">
        <v>751</v>
      </c>
      <c r="E41" s="3">
        <v>0.01</v>
      </c>
      <c r="F41" s="24">
        <v>0.2</v>
      </c>
      <c r="G41" s="2">
        <v>10</v>
      </c>
      <c r="H41" s="2"/>
      <c r="I41" s="3" t="str">
        <f t="shared" si="4"/>
        <v>0.002</v>
      </c>
      <c r="J41" s="2"/>
      <c r="K41" s="2"/>
      <c r="L41" s="2"/>
      <c r="M41" s="3" t="s">
        <v>759</v>
      </c>
      <c r="N41" s="2"/>
      <c r="O41" s="2"/>
      <c r="P41" s="2"/>
      <c r="Q41" s="3" t="b">
        <f t="shared" si="0"/>
        <v>1</v>
      </c>
    </row>
    <row r="42" spans="1:17" x14ac:dyDescent="0.15">
      <c r="C42" s="6"/>
      <c r="D42" s="6" t="s">
        <v>752</v>
      </c>
      <c r="E42" s="1">
        <v>0.05</v>
      </c>
      <c r="F42" s="7">
        <v>0.2</v>
      </c>
      <c r="G42" s="7">
        <v>10</v>
      </c>
      <c r="H42" s="6"/>
      <c r="I42" s="1" t="str">
        <f t="shared" si="4"/>
        <v>0.01</v>
      </c>
      <c r="J42" s="6"/>
      <c r="K42" s="6"/>
      <c r="L42" s="6"/>
      <c r="M42" s="1" t="s">
        <v>760</v>
      </c>
      <c r="N42" s="6"/>
      <c r="O42" s="6"/>
      <c r="P42" s="6"/>
      <c r="Q42" s="1" t="b">
        <f t="shared" si="0"/>
        <v>1</v>
      </c>
    </row>
    <row r="43" spans="1:17" x14ac:dyDescent="0.15">
      <c r="C43" s="2" t="s">
        <v>761</v>
      </c>
      <c r="D43" s="24" t="s">
        <v>762</v>
      </c>
      <c r="E43" s="3">
        <v>234</v>
      </c>
      <c r="F43" s="24">
        <v>0.1</v>
      </c>
      <c r="G43" s="2">
        <v>10</v>
      </c>
      <c r="H43" s="2"/>
      <c r="I43" s="3" t="str">
        <f t="shared" si="4"/>
        <v>23.4</v>
      </c>
      <c r="J43" s="2"/>
      <c r="K43" s="2"/>
      <c r="L43" s="2"/>
      <c r="M43" s="3" t="s">
        <v>766</v>
      </c>
      <c r="N43" s="2"/>
      <c r="O43" s="2"/>
      <c r="P43" s="2"/>
      <c r="Q43" s="3" t="b">
        <f t="shared" si="0"/>
        <v>1</v>
      </c>
    </row>
    <row r="44" spans="1:17" x14ac:dyDescent="0.15">
      <c r="D44" s="7" t="s">
        <v>763</v>
      </c>
      <c r="E44" s="1">
        <v>234</v>
      </c>
      <c r="F44" s="7">
        <v>0.01</v>
      </c>
      <c r="G44">
        <v>10</v>
      </c>
      <c r="I44" s="1" t="str">
        <f t="shared" si="4"/>
        <v>2.34</v>
      </c>
      <c r="M44" s="1" t="s">
        <v>767</v>
      </c>
      <c r="Q44" s="1" t="b">
        <f t="shared" si="0"/>
        <v>1</v>
      </c>
    </row>
    <row r="45" spans="1:17" x14ac:dyDescent="0.15">
      <c r="D45" s="7" t="s">
        <v>764</v>
      </c>
      <c r="E45" s="1">
        <v>234</v>
      </c>
      <c r="F45" s="7">
        <v>1E-3</v>
      </c>
      <c r="G45">
        <v>10</v>
      </c>
      <c r="I45" s="1" t="str">
        <f t="shared" si="4"/>
        <v>0.234</v>
      </c>
      <c r="M45" s="1" t="s">
        <v>768</v>
      </c>
      <c r="Q45" s="1" t="b">
        <f t="shared" si="0"/>
        <v>1</v>
      </c>
    </row>
    <row r="46" spans="1:17" x14ac:dyDescent="0.15">
      <c r="D46" s="7" t="s">
        <v>765</v>
      </c>
      <c r="E46" s="1">
        <v>234</v>
      </c>
      <c r="F46" s="7">
        <v>1E-4</v>
      </c>
      <c r="G46">
        <v>10</v>
      </c>
      <c r="I46" s="1" t="str">
        <f t="shared" si="4"/>
        <v>0.0234</v>
      </c>
      <c r="M46" s="1" t="s">
        <v>769</v>
      </c>
      <c r="Q46" s="1" t="b">
        <f t="shared" si="0"/>
        <v>1</v>
      </c>
    </row>
    <row r="47" spans="1:17" x14ac:dyDescent="0.15">
      <c r="B47" s="2" t="s">
        <v>770</v>
      </c>
      <c r="C47" s="2" t="s">
        <v>771</v>
      </c>
      <c r="D47" s="24"/>
      <c r="E47" s="3">
        <v>2</v>
      </c>
      <c r="F47" s="24">
        <v>3</v>
      </c>
      <c r="G47" s="2">
        <v>10</v>
      </c>
      <c r="H47" s="2"/>
      <c r="I47" s="3" t="str">
        <f t="shared" si="4"/>
        <v>6</v>
      </c>
      <c r="J47" s="2"/>
      <c r="K47" s="2"/>
      <c r="L47" s="2"/>
      <c r="M47" s="3" t="s">
        <v>773</v>
      </c>
      <c r="N47" s="2"/>
      <c r="O47" s="2"/>
      <c r="P47" s="2"/>
      <c r="Q47" s="3" t="b">
        <f t="shared" si="0"/>
        <v>1</v>
      </c>
    </row>
    <row r="48" spans="1:17" x14ac:dyDescent="0.15">
      <c r="C48" s="2" t="s">
        <v>721</v>
      </c>
      <c r="D48" s="2"/>
      <c r="E48" s="3">
        <v>-2</v>
      </c>
      <c r="F48" s="24">
        <v>3</v>
      </c>
      <c r="G48" s="2">
        <v>10</v>
      </c>
      <c r="H48" s="2"/>
      <c r="I48" s="3" t="str">
        <f t="shared" si="4"/>
        <v>-6</v>
      </c>
      <c r="J48" s="2"/>
      <c r="K48" s="2"/>
      <c r="L48" s="2"/>
      <c r="M48" s="3" t="s">
        <v>774</v>
      </c>
      <c r="N48" s="2"/>
      <c r="O48" s="2"/>
      <c r="P48" s="2"/>
      <c r="Q48" s="3" t="b">
        <f t="shared" si="0"/>
        <v>1</v>
      </c>
    </row>
    <row r="49" spans="1:20" x14ac:dyDescent="0.15">
      <c r="D49" t="s">
        <v>724</v>
      </c>
      <c r="E49" s="1">
        <v>-2</v>
      </c>
      <c r="F49" s="7">
        <v>0</v>
      </c>
      <c r="G49">
        <v>10</v>
      </c>
      <c r="I49" s="1" t="str">
        <f t="shared" si="4"/>
        <v>0</v>
      </c>
      <c r="M49" s="1" t="s">
        <v>14</v>
      </c>
      <c r="Q49" s="1" t="b">
        <f t="shared" si="0"/>
        <v>1</v>
      </c>
    </row>
    <row r="50" spans="1:20" x14ac:dyDescent="0.15">
      <c r="D50" t="s">
        <v>724</v>
      </c>
      <c r="E50" s="9" t="s">
        <v>772</v>
      </c>
      <c r="F50" s="7">
        <v>2</v>
      </c>
      <c r="G50">
        <v>10</v>
      </c>
      <c r="I50" s="1" t="str">
        <f t="shared" si="4"/>
        <v>0</v>
      </c>
      <c r="M50" s="1" t="s">
        <v>14</v>
      </c>
      <c r="Q50" s="1" t="b">
        <f t="shared" si="0"/>
        <v>1</v>
      </c>
    </row>
    <row r="51" spans="1:20" x14ac:dyDescent="0.15">
      <c r="C51" s="2" t="s">
        <v>727</v>
      </c>
      <c r="D51" s="2"/>
      <c r="E51" s="3">
        <v>2</v>
      </c>
      <c r="F51" s="24">
        <v>-3</v>
      </c>
      <c r="G51" s="2">
        <v>10</v>
      </c>
      <c r="H51" s="2"/>
      <c r="I51" s="3" t="str">
        <f t="shared" si="4"/>
        <v>-6</v>
      </c>
      <c r="J51" s="2"/>
      <c r="K51" s="2"/>
      <c r="L51" s="2"/>
      <c r="M51" s="3" t="s">
        <v>774</v>
      </c>
      <c r="N51" s="2"/>
      <c r="O51" s="2"/>
      <c r="P51" s="2"/>
      <c r="Q51" s="3" t="b">
        <f t="shared" si="0"/>
        <v>1</v>
      </c>
    </row>
    <row r="52" spans="1:20" x14ac:dyDescent="0.15">
      <c r="D52" t="s">
        <v>724</v>
      </c>
      <c r="E52" s="1">
        <v>2</v>
      </c>
      <c r="F52" s="7">
        <v>0</v>
      </c>
      <c r="G52">
        <v>10</v>
      </c>
      <c r="I52" s="1" t="str">
        <f t="shared" si="4"/>
        <v>0</v>
      </c>
      <c r="M52" s="1" t="s">
        <v>14</v>
      </c>
      <c r="Q52" s="1" t="b">
        <f t="shared" si="0"/>
        <v>1</v>
      </c>
    </row>
    <row r="53" spans="1:20" x14ac:dyDescent="0.15">
      <c r="D53" t="s">
        <v>724</v>
      </c>
      <c r="E53" s="1">
        <v>0</v>
      </c>
      <c r="F53" s="7">
        <v>-2</v>
      </c>
      <c r="G53">
        <v>10</v>
      </c>
      <c r="I53" s="1" t="str">
        <f t="shared" si="4"/>
        <v>0</v>
      </c>
      <c r="M53" s="1" t="s">
        <v>14</v>
      </c>
      <c r="Q53" s="1" t="b">
        <f t="shared" si="0"/>
        <v>1</v>
      </c>
    </row>
    <row r="54" spans="1:20" x14ac:dyDescent="0.15">
      <c r="C54" s="2" t="s">
        <v>775</v>
      </c>
      <c r="D54" s="2"/>
      <c r="E54" s="3">
        <v>-2</v>
      </c>
      <c r="F54" s="24">
        <v>-3</v>
      </c>
      <c r="G54" s="2">
        <v>10</v>
      </c>
      <c r="H54" s="2"/>
      <c r="I54" s="3" t="str">
        <f t="shared" si="4"/>
        <v>6</v>
      </c>
      <c r="J54" s="2"/>
      <c r="K54" s="2"/>
      <c r="L54" s="2"/>
      <c r="M54" s="3" t="s">
        <v>773</v>
      </c>
      <c r="N54" s="2"/>
      <c r="O54" s="2"/>
      <c r="P54" s="2"/>
      <c r="Q54" s="3" t="b">
        <f t="shared" si="0"/>
        <v>1</v>
      </c>
    </row>
    <row r="55" spans="1:20" x14ac:dyDescent="0.15">
      <c r="B55" s="2" t="s">
        <v>757</v>
      </c>
      <c r="C55" s="2"/>
      <c r="D55" s="2" t="s">
        <v>745</v>
      </c>
      <c r="E55" s="3">
        <v>10</v>
      </c>
      <c r="F55" s="24">
        <v>10</v>
      </c>
      <c r="G55" s="2">
        <v>2</v>
      </c>
      <c r="H55" s="2"/>
      <c r="I55" s="3" t="str">
        <f t="shared" si="4"/>
        <v>100</v>
      </c>
      <c r="J55" s="2"/>
      <c r="K55" s="2"/>
      <c r="L55" s="2"/>
      <c r="M55" s="3" t="s">
        <v>21</v>
      </c>
      <c r="N55" s="2"/>
      <c r="O55" s="2"/>
      <c r="P55" s="2"/>
      <c r="Q55" s="3" t="b">
        <f t="shared" si="0"/>
        <v>1</v>
      </c>
    </row>
    <row r="56" spans="1:20" x14ac:dyDescent="0.15">
      <c r="D56" t="s">
        <v>746</v>
      </c>
      <c r="E56" s="1">
        <v>9</v>
      </c>
      <c r="F56" s="7">
        <v>9</v>
      </c>
      <c r="G56">
        <v>10</v>
      </c>
      <c r="I56" s="1" t="str">
        <f t="shared" si="4"/>
        <v>81</v>
      </c>
      <c r="M56" s="1" t="s">
        <v>345</v>
      </c>
      <c r="Q56" s="1" t="b">
        <f t="shared" si="0"/>
        <v>1</v>
      </c>
    </row>
    <row r="57" spans="1:20" x14ac:dyDescent="0.15">
      <c r="D57" t="s">
        <v>747</v>
      </c>
      <c r="E57" s="8" t="s">
        <v>776</v>
      </c>
      <c r="F57" s="37" t="s">
        <v>776</v>
      </c>
      <c r="G57">
        <v>16</v>
      </c>
      <c r="I57" s="1" t="str">
        <f t="shared" si="4"/>
        <v>E1</v>
      </c>
      <c r="M57" s="1" t="s">
        <v>344</v>
      </c>
      <c r="Q57" s="1" t="b">
        <f t="shared" si="0"/>
        <v>1</v>
      </c>
    </row>
    <row r="58" spans="1:20" x14ac:dyDescent="0.15">
      <c r="D58" t="s">
        <v>754</v>
      </c>
      <c r="E58" s="1">
        <v>9</v>
      </c>
      <c r="F58" s="7">
        <v>9</v>
      </c>
      <c r="I58" s="1" t="str">
        <f>multipleNPntNPnt(E58,F58)</f>
        <v>81</v>
      </c>
      <c r="M58" s="1" t="s">
        <v>345</v>
      </c>
      <c r="Q58" s="1" t="b">
        <f t="shared" si="0"/>
        <v>1</v>
      </c>
    </row>
    <row r="59" spans="1:20" x14ac:dyDescent="0.15">
      <c r="D59" t="s">
        <v>755</v>
      </c>
      <c r="E59" s="1">
        <v>9</v>
      </c>
      <c r="F59" s="37" t="s">
        <v>756</v>
      </c>
      <c r="I59" s="1" t="e">
        <f t="shared" ref="I59" si="5">multipleNPntNPnt(E59,F59)</f>
        <v>#NUM!</v>
      </c>
      <c r="M59" s="1" t="e">
        <v>#NUM!</v>
      </c>
      <c r="Q59" s="1" t="b">
        <f t="shared" si="0"/>
        <v>1</v>
      </c>
    </row>
    <row r="60" spans="1:20" s="2" customFormat="1" x14ac:dyDescent="0.15">
      <c r="A60" s="2" t="s">
        <v>639</v>
      </c>
      <c r="B60" s="2" t="s">
        <v>640</v>
      </c>
      <c r="C60" s="2" t="s">
        <v>641</v>
      </c>
      <c r="E60" s="3"/>
      <c r="F60" s="2">
        <v>10</v>
      </c>
      <c r="G60" s="2" t="b">
        <v>0</v>
      </c>
      <c r="I60" s="3" t="e">
        <f>TESTseparateToIntAndFrc(E60,F60,G60)</f>
        <v>#NULL!</v>
      </c>
      <c r="J60" s="2" t="str">
        <f>TESTseparateToIntAndFrcByRef1(E60,F60,G60)</f>
        <v/>
      </c>
      <c r="K60" s="2" t="str">
        <f>TESTseparateToIntAndFrcByRef2(E60,F60,G60)</f>
        <v/>
      </c>
      <c r="L60" s="2" t="b">
        <f>TESTseparateToIntAndFrcByRef3(E60,F60,G60)</f>
        <v>0</v>
      </c>
      <c r="M60" s="3" t="e">
        <v>#NULL!</v>
      </c>
      <c r="N60" s="2" t="s">
        <v>45</v>
      </c>
      <c r="O60" s="2" t="s">
        <v>45</v>
      </c>
      <c r="P60" s="2" t="b">
        <v>0</v>
      </c>
      <c r="Q60" s="3" t="b">
        <f t="shared" ref="Q60:Q70" si="6">getText(I60)=getText(M60)</f>
        <v>1</v>
      </c>
      <c r="R60" s="2" t="b">
        <f t="shared" ref="R60:R70" si="7">getText(J60)=getText(N60)</f>
        <v>1</v>
      </c>
      <c r="S60" s="2" t="b">
        <f t="shared" ref="S60:S70" si="8">getText(K60)=getText(O60)</f>
        <v>1</v>
      </c>
      <c r="T60" s="2" t="b">
        <f t="shared" ref="T60:T70" si="9">getText(L60)=getText(P60)</f>
        <v>1</v>
      </c>
    </row>
    <row r="61" spans="1:20" x14ac:dyDescent="0.15">
      <c r="B61" s="6"/>
      <c r="C61" s="2" t="s">
        <v>642</v>
      </c>
      <c r="D61" s="2"/>
      <c r="E61" s="3">
        <v>1</v>
      </c>
      <c r="F61" s="2">
        <v>1</v>
      </c>
      <c r="G61" s="2" t="b">
        <v>0</v>
      </c>
      <c r="H61" s="2"/>
      <c r="I61" s="3" t="e">
        <f t="shared" ref="I61:I85" si="10">TESTseparateToIntAndFrc(E61,F61,G61)</f>
        <v>#NUM!</v>
      </c>
      <c r="J61" s="2" t="str">
        <f t="shared" ref="J61:J85" si="11">TESTseparateToIntAndFrcByRef1(E61,F61,G61)</f>
        <v/>
      </c>
      <c r="K61" s="2" t="str">
        <f t="shared" ref="K61:K85" si="12">TESTseparateToIntAndFrcByRef2(E61,F61,G61)</f>
        <v/>
      </c>
      <c r="L61" s="2" t="b">
        <f t="shared" ref="L61:L85" si="13">TESTseparateToIntAndFrcByRef3(E61,F61,G61)</f>
        <v>0</v>
      </c>
      <c r="M61" s="3" t="e">
        <v>#NUM!</v>
      </c>
      <c r="N61" s="2" t="s">
        <v>45</v>
      </c>
      <c r="O61" s="2" t="s">
        <v>45</v>
      </c>
      <c r="P61" s="2" t="b">
        <v>0</v>
      </c>
      <c r="Q61" s="3" t="b">
        <f t="shared" si="6"/>
        <v>1</v>
      </c>
      <c r="R61" s="2" t="b">
        <f t="shared" si="7"/>
        <v>1</v>
      </c>
      <c r="S61" s="2" t="b">
        <f t="shared" si="8"/>
        <v>1</v>
      </c>
      <c r="T61" s="2" t="b">
        <f t="shared" si="9"/>
        <v>1</v>
      </c>
    </row>
    <row r="62" spans="1:20" x14ac:dyDescent="0.15">
      <c r="B62" s="2" t="s">
        <v>646</v>
      </c>
      <c r="C62" s="2" t="s">
        <v>647</v>
      </c>
      <c r="D62" s="2" t="s">
        <v>643</v>
      </c>
      <c r="E62" s="11" t="s">
        <v>111</v>
      </c>
      <c r="F62" s="2">
        <v>10</v>
      </c>
      <c r="G62" s="2" t="b">
        <v>0</v>
      </c>
      <c r="H62" s="2"/>
      <c r="I62" s="3">
        <f t="shared" si="10"/>
        <v>0</v>
      </c>
      <c r="J62" s="2" t="str">
        <f t="shared" si="11"/>
        <v>1</v>
      </c>
      <c r="K62" s="2" t="str">
        <f t="shared" si="12"/>
        <v/>
      </c>
      <c r="L62" s="2" t="b">
        <f t="shared" si="13"/>
        <v>0</v>
      </c>
      <c r="M62" s="3">
        <v>0</v>
      </c>
      <c r="N62" s="2" t="s">
        <v>44</v>
      </c>
      <c r="O62" s="2" t="s">
        <v>45</v>
      </c>
      <c r="P62" s="2" t="b">
        <v>0</v>
      </c>
      <c r="Q62" s="3" t="b">
        <f t="shared" ref="Q62:Q64" si="14">getText(I62)=getText(M62)</f>
        <v>1</v>
      </c>
      <c r="R62" s="2" t="b">
        <f t="shared" ref="R62:R64" si="15">getText(J62)=getText(N62)</f>
        <v>1</v>
      </c>
      <c r="S62" s="2" t="b">
        <f t="shared" ref="S62:S64" si="16">getText(K62)=getText(O62)</f>
        <v>1</v>
      </c>
      <c r="T62" s="2" t="b">
        <f t="shared" ref="T62:T64" si="17">getText(L62)=getText(P62)</f>
        <v>1</v>
      </c>
    </row>
    <row r="63" spans="1:20" x14ac:dyDescent="0.15">
      <c r="D63" t="s">
        <v>644</v>
      </c>
      <c r="E63" s="9" t="s">
        <v>410</v>
      </c>
      <c r="F63">
        <v>10</v>
      </c>
      <c r="G63" t="b">
        <v>0</v>
      </c>
      <c r="I63" s="1">
        <f t="shared" si="10"/>
        <v>0</v>
      </c>
      <c r="J63" t="str">
        <f t="shared" si="11"/>
        <v>12</v>
      </c>
      <c r="K63" t="str">
        <f t="shared" si="12"/>
        <v/>
      </c>
      <c r="L63" t="b">
        <f t="shared" si="13"/>
        <v>0</v>
      </c>
      <c r="M63" s="1">
        <v>0</v>
      </c>
      <c r="N63" t="s">
        <v>666</v>
      </c>
      <c r="O63" t="s">
        <v>45</v>
      </c>
      <c r="P63" t="b">
        <v>0</v>
      </c>
      <c r="Q63" s="1" t="b">
        <f t="shared" si="14"/>
        <v>1</v>
      </c>
      <c r="R63" t="b">
        <f t="shared" si="15"/>
        <v>1</v>
      </c>
      <c r="S63" t="b">
        <f t="shared" si="16"/>
        <v>1</v>
      </c>
      <c r="T63" t="b">
        <f t="shared" si="17"/>
        <v>1</v>
      </c>
    </row>
    <row r="64" spans="1:20" x14ac:dyDescent="0.15">
      <c r="D64" t="s">
        <v>645</v>
      </c>
      <c r="E64" s="9" t="s">
        <v>668</v>
      </c>
      <c r="F64">
        <v>10</v>
      </c>
      <c r="G64" t="b">
        <v>0</v>
      </c>
      <c r="I64" s="1">
        <f t="shared" si="10"/>
        <v>0</v>
      </c>
      <c r="J64" t="str">
        <f t="shared" si="11"/>
        <v>123</v>
      </c>
      <c r="K64" t="str">
        <f t="shared" si="12"/>
        <v/>
      </c>
      <c r="L64" t="b">
        <f t="shared" si="13"/>
        <v>0</v>
      </c>
      <c r="M64" s="1">
        <v>0</v>
      </c>
      <c r="N64" t="s">
        <v>667</v>
      </c>
      <c r="O64" t="s">
        <v>45</v>
      </c>
      <c r="P64" t="b">
        <v>0</v>
      </c>
      <c r="Q64" s="1" t="b">
        <f t="shared" si="14"/>
        <v>1</v>
      </c>
      <c r="R64" t="b">
        <f t="shared" si="15"/>
        <v>1</v>
      </c>
      <c r="S64" t="b">
        <f t="shared" si="16"/>
        <v>1</v>
      </c>
      <c r="T64" t="b">
        <f t="shared" si="17"/>
        <v>1</v>
      </c>
    </row>
    <row r="65" spans="2:20" x14ac:dyDescent="0.15">
      <c r="C65" s="2" t="s">
        <v>648</v>
      </c>
      <c r="D65" s="2" t="s">
        <v>643</v>
      </c>
      <c r="E65" s="11" t="s">
        <v>635</v>
      </c>
      <c r="F65" s="2">
        <v>10</v>
      </c>
      <c r="G65" s="2" t="b">
        <v>0</v>
      </c>
      <c r="H65" s="2"/>
      <c r="I65" s="3">
        <f t="shared" si="10"/>
        <v>0</v>
      </c>
      <c r="J65" s="2" t="str">
        <f t="shared" si="11"/>
        <v>1</v>
      </c>
      <c r="K65" s="2" t="str">
        <f t="shared" si="12"/>
        <v/>
      </c>
      <c r="L65" s="2" t="b">
        <f t="shared" si="13"/>
        <v>1</v>
      </c>
      <c r="M65" s="3">
        <v>0</v>
      </c>
      <c r="N65" s="2" t="s">
        <v>44</v>
      </c>
      <c r="O65" s="2" t="s">
        <v>45</v>
      </c>
      <c r="P65" s="2" t="b">
        <v>1</v>
      </c>
      <c r="Q65" s="3" t="b">
        <f t="shared" si="6"/>
        <v>1</v>
      </c>
      <c r="R65" s="2" t="b">
        <f t="shared" si="7"/>
        <v>1</v>
      </c>
      <c r="S65" s="2" t="b">
        <f t="shared" si="8"/>
        <v>1</v>
      </c>
      <c r="T65" s="2" t="b">
        <f t="shared" si="9"/>
        <v>1</v>
      </c>
    </row>
    <row r="66" spans="2:20" x14ac:dyDescent="0.15">
      <c r="D66" t="s">
        <v>644</v>
      </c>
      <c r="E66" s="9" t="s">
        <v>669</v>
      </c>
      <c r="F66">
        <v>10</v>
      </c>
      <c r="G66" t="b">
        <v>0</v>
      </c>
      <c r="I66" s="1">
        <f t="shared" si="10"/>
        <v>0</v>
      </c>
      <c r="J66" t="str">
        <f t="shared" si="11"/>
        <v>12</v>
      </c>
      <c r="K66" t="str">
        <f t="shared" si="12"/>
        <v/>
      </c>
      <c r="L66" t="b">
        <f t="shared" si="13"/>
        <v>1</v>
      </c>
      <c r="M66" s="1">
        <v>0</v>
      </c>
      <c r="N66" t="s">
        <v>666</v>
      </c>
      <c r="O66" t="s">
        <v>45</v>
      </c>
      <c r="P66" t="b">
        <v>1</v>
      </c>
      <c r="Q66" s="1" t="b">
        <f t="shared" si="6"/>
        <v>1</v>
      </c>
      <c r="R66" t="b">
        <f t="shared" si="7"/>
        <v>1</v>
      </c>
      <c r="S66" t="b">
        <f t="shared" si="8"/>
        <v>1</v>
      </c>
      <c r="T66" t="b">
        <f t="shared" si="9"/>
        <v>1</v>
      </c>
    </row>
    <row r="67" spans="2:20" x14ac:dyDescent="0.15">
      <c r="D67" t="s">
        <v>645</v>
      </c>
      <c r="E67" s="9" t="s">
        <v>670</v>
      </c>
      <c r="F67">
        <v>10</v>
      </c>
      <c r="G67" t="b">
        <v>0</v>
      </c>
      <c r="I67" s="1">
        <f t="shared" si="10"/>
        <v>0</v>
      </c>
      <c r="J67" t="str">
        <f t="shared" si="11"/>
        <v>123</v>
      </c>
      <c r="K67" t="str">
        <f t="shared" si="12"/>
        <v/>
      </c>
      <c r="L67" t="b">
        <f t="shared" si="13"/>
        <v>1</v>
      </c>
      <c r="M67" s="1">
        <v>0</v>
      </c>
      <c r="N67" t="s">
        <v>667</v>
      </c>
      <c r="O67" t="s">
        <v>45</v>
      </c>
      <c r="P67" t="b">
        <v>1</v>
      </c>
      <c r="Q67" s="1" t="b">
        <f t="shared" si="6"/>
        <v>1</v>
      </c>
      <c r="R67" t="b">
        <f t="shared" si="7"/>
        <v>1</v>
      </c>
      <c r="S67" t="b">
        <f t="shared" si="8"/>
        <v>1</v>
      </c>
      <c r="T67" t="b">
        <f t="shared" si="9"/>
        <v>1</v>
      </c>
    </row>
    <row r="68" spans="2:20" x14ac:dyDescent="0.15">
      <c r="B68" s="2" t="s">
        <v>671</v>
      </c>
      <c r="C68" s="2" t="s">
        <v>647</v>
      </c>
      <c r="D68" s="2" t="s">
        <v>643</v>
      </c>
      <c r="E68" s="11" t="s">
        <v>673</v>
      </c>
      <c r="F68" s="2">
        <v>10</v>
      </c>
      <c r="G68" s="2" t="b">
        <v>0</v>
      </c>
      <c r="H68" s="2"/>
      <c r="I68" s="3">
        <f t="shared" si="10"/>
        <v>0</v>
      </c>
      <c r="J68" s="2" t="str">
        <f t="shared" si="11"/>
        <v>1</v>
      </c>
      <c r="K68" s="2" t="str">
        <f t="shared" si="12"/>
        <v>2</v>
      </c>
      <c r="L68" s="2" t="b">
        <f t="shared" si="13"/>
        <v>0</v>
      </c>
      <c r="M68" s="3">
        <v>0</v>
      </c>
      <c r="N68" s="2" t="s">
        <v>44</v>
      </c>
      <c r="O68" s="2" t="s">
        <v>307</v>
      </c>
      <c r="P68" s="2" t="b">
        <v>0</v>
      </c>
      <c r="Q68" s="3" t="b">
        <f t="shared" si="6"/>
        <v>1</v>
      </c>
      <c r="R68" s="2" t="b">
        <f t="shared" si="7"/>
        <v>1</v>
      </c>
      <c r="S68" s="2" t="b">
        <f t="shared" si="8"/>
        <v>1</v>
      </c>
      <c r="T68" s="2" t="b">
        <f t="shared" si="9"/>
        <v>1</v>
      </c>
    </row>
    <row r="69" spans="2:20" x14ac:dyDescent="0.15">
      <c r="C69" t="s">
        <v>672</v>
      </c>
      <c r="D69" t="s">
        <v>644</v>
      </c>
      <c r="E69" s="9" t="s">
        <v>674</v>
      </c>
      <c r="F69">
        <v>10</v>
      </c>
      <c r="G69" t="b">
        <v>0</v>
      </c>
      <c r="I69" s="1">
        <f t="shared" si="10"/>
        <v>0</v>
      </c>
      <c r="J69" t="str">
        <f t="shared" si="11"/>
        <v>1</v>
      </c>
      <c r="K69" t="str">
        <f t="shared" si="12"/>
        <v>23</v>
      </c>
      <c r="L69" t="b">
        <f t="shared" si="13"/>
        <v>0</v>
      </c>
      <c r="M69" s="1">
        <v>0</v>
      </c>
      <c r="N69" t="s">
        <v>44</v>
      </c>
      <c r="O69" t="s">
        <v>17</v>
      </c>
      <c r="P69" t="b">
        <v>0</v>
      </c>
      <c r="Q69" s="1" t="b">
        <f t="shared" si="6"/>
        <v>1</v>
      </c>
      <c r="R69" t="b">
        <f t="shared" si="7"/>
        <v>1</v>
      </c>
      <c r="S69" t="b">
        <f t="shared" si="8"/>
        <v>1</v>
      </c>
      <c r="T69" t="b">
        <f t="shared" si="9"/>
        <v>1</v>
      </c>
    </row>
    <row r="70" spans="2:20" x14ac:dyDescent="0.15">
      <c r="D70" t="s">
        <v>645</v>
      </c>
      <c r="E70" s="9" t="s">
        <v>675</v>
      </c>
      <c r="F70">
        <v>10</v>
      </c>
      <c r="G70" t="b">
        <v>0</v>
      </c>
      <c r="I70" s="1">
        <f t="shared" si="10"/>
        <v>0</v>
      </c>
      <c r="J70" t="str">
        <f t="shared" si="11"/>
        <v>1</v>
      </c>
      <c r="K70" t="str">
        <f t="shared" si="12"/>
        <v>234</v>
      </c>
      <c r="L70" t="b">
        <f t="shared" si="13"/>
        <v>0</v>
      </c>
      <c r="M70" s="1">
        <v>0</v>
      </c>
      <c r="N70" t="s">
        <v>44</v>
      </c>
      <c r="O70" t="s">
        <v>676</v>
      </c>
      <c r="P70" t="b">
        <v>0</v>
      </c>
      <c r="Q70" s="1" t="b">
        <f t="shared" si="6"/>
        <v>1</v>
      </c>
      <c r="R70" t="b">
        <f t="shared" si="7"/>
        <v>1</v>
      </c>
      <c r="S70" t="b">
        <f t="shared" si="8"/>
        <v>1</v>
      </c>
      <c r="T70" t="b">
        <f t="shared" si="9"/>
        <v>1</v>
      </c>
    </row>
    <row r="71" spans="2:20" x14ac:dyDescent="0.15">
      <c r="C71" s="2" t="s">
        <v>647</v>
      </c>
      <c r="D71" s="2" t="s">
        <v>643</v>
      </c>
      <c r="E71" s="11" t="s">
        <v>679</v>
      </c>
      <c r="F71" s="2">
        <v>10</v>
      </c>
      <c r="G71" s="2" t="b">
        <v>0</v>
      </c>
      <c r="H71" s="2"/>
      <c r="I71" s="3">
        <f t="shared" si="10"/>
        <v>0</v>
      </c>
      <c r="J71" s="2" t="str">
        <f t="shared" si="11"/>
        <v>12</v>
      </c>
      <c r="K71" s="2" t="str">
        <f t="shared" si="12"/>
        <v>3</v>
      </c>
      <c r="L71" s="2" t="b">
        <f t="shared" si="13"/>
        <v>0</v>
      </c>
      <c r="M71" s="3">
        <v>0</v>
      </c>
      <c r="N71" s="2" t="s">
        <v>666</v>
      </c>
      <c r="O71" s="2" t="s">
        <v>81</v>
      </c>
      <c r="P71" s="2" t="b">
        <v>0</v>
      </c>
      <c r="Q71" s="3" t="b">
        <f t="shared" ref="Q71:Q79" si="18">getText(I71)=getText(M71)</f>
        <v>1</v>
      </c>
      <c r="R71" s="2" t="b">
        <f t="shared" ref="R71:R79" si="19">getText(J71)=getText(N71)</f>
        <v>1</v>
      </c>
      <c r="S71" s="2" t="b">
        <f t="shared" ref="S71:S79" si="20">getText(K71)=getText(O71)</f>
        <v>1</v>
      </c>
      <c r="T71" s="2" t="b">
        <f t="shared" ref="T71:T79" si="21">getText(L71)=getText(P71)</f>
        <v>1</v>
      </c>
    </row>
    <row r="72" spans="2:20" x14ac:dyDescent="0.15">
      <c r="C72" t="s">
        <v>677</v>
      </c>
      <c r="D72" t="s">
        <v>644</v>
      </c>
      <c r="E72" s="9" t="s">
        <v>680</v>
      </c>
      <c r="F72">
        <v>10</v>
      </c>
      <c r="G72" t="b">
        <v>0</v>
      </c>
      <c r="I72" s="1">
        <f t="shared" si="10"/>
        <v>0</v>
      </c>
      <c r="J72" t="str">
        <f t="shared" si="11"/>
        <v>12</v>
      </c>
      <c r="K72" t="str">
        <f t="shared" si="12"/>
        <v>34</v>
      </c>
      <c r="L72" t="b">
        <f t="shared" si="13"/>
        <v>0</v>
      </c>
      <c r="M72" s="1">
        <v>0</v>
      </c>
      <c r="N72" t="s">
        <v>666</v>
      </c>
      <c r="O72" t="s">
        <v>682</v>
      </c>
      <c r="P72" t="b">
        <v>0</v>
      </c>
      <c r="Q72" s="1" t="b">
        <f t="shared" si="18"/>
        <v>1</v>
      </c>
      <c r="R72" t="b">
        <f t="shared" si="19"/>
        <v>1</v>
      </c>
      <c r="S72" t="b">
        <f t="shared" si="20"/>
        <v>1</v>
      </c>
      <c r="T72" t="b">
        <f t="shared" si="21"/>
        <v>1</v>
      </c>
    </row>
    <row r="73" spans="2:20" x14ac:dyDescent="0.15">
      <c r="D73" t="s">
        <v>645</v>
      </c>
      <c r="E73" s="9" t="s">
        <v>681</v>
      </c>
      <c r="F73">
        <v>10</v>
      </c>
      <c r="G73" t="b">
        <v>0</v>
      </c>
      <c r="I73" s="1">
        <f t="shared" si="10"/>
        <v>0</v>
      </c>
      <c r="J73" t="str">
        <f t="shared" si="11"/>
        <v>12</v>
      </c>
      <c r="K73" t="str">
        <f t="shared" si="12"/>
        <v>345</v>
      </c>
      <c r="L73" t="b">
        <f t="shared" si="13"/>
        <v>0</v>
      </c>
      <c r="M73" s="1">
        <v>0</v>
      </c>
      <c r="N73" t="s">
        <v>666</v>
      </c>
      <c r="O73" t="s">
        <v>683</v>
      </c>
      <c r="P73" t="b">
        <v>0</v>
      </c>
      <c r="Q73" s="1" t="b">
        <f t="shared" si="18"/>
        <v>1</v>
      </c>
      <c r="R73" t="b">
        <f t="shared" si="19"/>
        <v>1</v>
      </c>
      <c r="S73" t="b">
        <f t="shared" si="20"/>
        <v>1</v>
      </c>
      <c r="T73" t="b">
        <f t="shared" si="21"/>
        <v>1</v>
      </c>
    </row>
    <row r="74" spans="2:20" x14ac:dyDescent="0.15">
      <c r="C74" s="2" t="s">
        <v>647</v>
      </c>
      <c r="D74" s="2" t="s">
        <v>643</v>
      </c>
      <c r="E74" s="11" t="s">
        <v>684</v>
      </c>
      <c r="F74" s="2">
        <v>10</v>
      </c>
      <c r="G74" s="2" t="b">
        <v>0</v>
      </c>
      <c r="H74" s="2"/>
      <c r="I74" s="3">
        <f t="shared" si="10"/>
        <v>0</v>
      </c>
      <c r="J74" s="2" t="str">
        <f t="shared" si="11"/>
        <v>123</v>
      </c>
      <c r="K74" s="2" t="str">
        <f t="shared" si="12"/>
        <v>4</v>
      </c>
      <c r="L74" s="2" t="b">
        <f t="shared" si="13"/>
        <v>0</v>
      </c>
      <c r="M74" s="3">
        <v>0</v>
      </c>
      <c r="N74" s="2" t="s">
        <v>667</v>
      </c>
      <c r="O74" s="2" t="s">
        <v>314</v>
      </c>
      <c r="P74" s="2" t="b">
        <v>0</v>
      </c>
      <c r="Q74" s="3" t="b">
        <f t="shared" si="18"/>
        <v>1</v>
      </c>
      <c r="R74" s="2" t="b">
        <f t="shared" si="19"/>
        <v>1</v>
      </c>
      <c r="S74" s="2" t="b">
        <f t="shared" si="20"/>
        <v>1</v>
      </c>
      <c r="T74" s="2" t="b">
        <f t="shared" si="21"/>
        <v>1</v>
      </c>
    </row>
    <row r="75" spans="2:20" x14ac:dyDescent="0.15">
      <c r="C75" t="s">
        <v>678</v>
      </c>
      <c r="D75" t="s">
        <v>644</v>
      </c>
      <c r="E75" s="9" t="s">
        <v>685</v>
      </c>
      <c r="F75">
        <v>10</v>
      </c>
      <c r="G75" t="b">
        <v>0</v>
      </c>
      <c r="I75" s="1">
        <f t="shared" si="10"/>
        <v>0</v>
      </c>
      <c r="J75" t="str">
        <f t="shared" si="11"/>
        <v>123</v>
      </c>
      <c r="K75" t="str">
        <f t="shared" si="12"/>
        <v>45</v>
      </c>
      <c r="L75" t="b">
        <f t="shared" si="13"/>
        <v>0</v>
      </c>
      <c r="M75" s="1">
        <v>0</v>
      </c>
      <c r="N75" t="s">
        <v>667</v>
      </c>
      <c r="O75" t="s">
        <v>687</v>
      </c>
      <c r="P75" t="b">
        <v>0</v>
      </c>
      <c r="Q75" s="1" t="b">
        <f t="shared" si="18"/>
        <v>1</v>
      </c>
      <c r="R75" t="b">
        <f t="shared" si="19"/>
        <v>1</v>
      </c>
      <c r="S75" t="b">
        <f t="shared" si="20"/>
        <v>1</v>
      </c>
      <c r="T75" t="b">
        <f t="shared" si="21"/>
        <v>1</v>
      </c>
    </row>
    <row r="76" spans="2:20" x14ac:dyDescent="0.15">
      <c r="D76" t="s">
        <v>645</v>
      </c>
      <c r="E76" s="9" t="s">
        <v>686</v>
      </c>
      <c r="F76">
        <v>10</v>
      </c>
      <c r="G76" t="b">
        <v>0</v>
      </c>
      <c r="I76" s="1">
        <f t="shared" si="10"/>
        <v>0</v>
      </c>
      <c r="J76" t="str">
        <f t="shared" si="11"/>
        <v>123</v>
      </c>
      <c r="K76" t="str">
        <f t="shared" si="12"/>
        <v>456</v>
      </c>
      <c r="L76" t="b">
        <f t="shared" si="13"/>
        <v>0</v>
      </c>
      <c r="M76" s="1">
        <v>0</v>
      </c>
      <c r="N76" t="s">
        <v>667</v>
      </c>
      <c r="O76" t="s">
        <v>688</v>
      </c>
      <c r="P76" t="b">
        <v>0</v>
      </c>
      <c r="Q76" s="1" t="b">
        <f t="shared" si="18"/>
        <v>1</v>
      </c>
      <c r="R76" t="b">
        <f t="shared" si="19"/>
        <v>1</v>
      </c>
      <c r="S76" t="b">
        <f t="shared" si="20"/>
        <v>1</v>
      </c>
      <c r="T76" t="b">
        <f t="shared" si="21"/>
        <v>1</v>
      </c>
    </row>
    <row r="77" spans="2:20" x14ac:dyDescent="0.15">
      <c r="C77" s="2" t="s">
        <v>648</v>
      </c>
      <c r="D77" s="2" t="s">
        <v>643</v>
      </c>
      <c r="E77" s="11" t="s">
        <v>689</v>
      </c>
      <c r="F77" s="2">
        <v>10</v>
      </c>
      <c r="G77" s="2" t="b">
        <v>0</v>
      </c>
      <c r="H77" s="2"/>
      <c r="I77" s="3">
        <f t="shared" si="10"/>
        <v>0</v>
      </c>
      <c r="J77" s="2" t="str">
        <f t="shared" si="11"/>
        <v>1</v>
      </c>
      <c r="K77" s="2" t="str">
        <f t="shared" si="12"/>
        <v>2</v>
      </c>
      <c r="L77" s="2" t="b">
        <f t="shared" si="13"/>
        <v>1</v>
      </c>
      <c r="M77" s="3">
        <v>0</v>
      </c>
      <c r="N77" s="2" t="s">
        <v>44</v>
      </c>
      <c r="O77" s="2" t="s">
        <v>307</v>
      </c>
      <c r="P77" s="2" t="b">
        <v>1</v>
      </c>
      <c r="Q77" s="3" t="b">
        <f t="shared" si="18"/>
        <v>1</v>
      </c>
      <c r="R77" s="2" t="b">
        <f t="shared" si="19"/>
        <v>1</v>
      </c>
      <c r="S77" s="2" t="b">
        <f t="shared" si="20"/>
        <v>1</v>
      </c>
      <c r="T77" s="2" t="b">
        <f t="shared" si="21"/>
        <v>1</v>
      </c>
    </row>
    <row r="78" spans="2:20" x14ac:dyDescent="0.15">
      <c r="C78" t="s">
        <v>672</v>
      </c>
      <c r="D78" t="s">
        <v>644</v>
      </c>
      <c r="E78" s="9" t="s">
        <v>690</v>
      </c>
      <c r="F78">
        <v>10</v>
      </c>
      <c r="G78" t="b">
        <v>0</v>
      </c>
      <c r="I78" s="1">
        <f t="shared" si="10"/>
        <v>0</v>
      </c>
      <c r="J78" t="str">
        <f t="shared" si="11"/>
        <v>1</v>
      </c>
      <c r="K78" t="str">
        <f t="shared" si="12"/>
        <v>23</v>
      </c>
      <c r="L78" t="b">
        <f t="shared" si="13"/>
        <v>1</v>
      </c>
      <c r="M78" s="1">
        <v>0</v>
      </c>
      <c r="N78" t="s">
        <v>44</v>
      </c>
      <c r="O78" t="s">
        <v>17</v>
      </c>
      <c r="P78" t="b">
        <v>1</v>
      </c>
      <c r="Q78" s="1" t="b">
        <f t="shared" si="18"/>
        <v>1</v>
      </c>
      <c r="R78" t="b">
        <f t="shared" si="19"/>
        <v>1</v>
      </c>
      <c r="S78" t="b">
        <f t="shared" si="20"/>
        <v>1</v>
      </c>
      <c r="T78" t="b">
        <f t="shared" si="21"/>
        <v>1</v>
      </c>
    </row>
    <row r="79" spans="2:20" x14ac:dyDescent="0.15">
      <c r="D79" t="s">
        <v>645</v>
      </c>
      <c r="E79" s="9" t="s">
        <v>691</v>
      </c>
      <c r="F79">
        <v>10</v>
      </c>
      <c r="G79" t="b">
        <v>0</v>
      </c>
      <c r="I79" s="1">
        <f t="shared" si="10"/>
        <v>0</v>
      </c>
      <c r="J79" t="str">
        <f t="shared" si="11"/>
        <v>1</v>
      </c>
      <c r="K79" t="str">
        <f t="shared" si="12"/>
        <v>234</v>
      </c>
      <c r="L79" t="b">
        <f t="shared" si="13"/>
        <v>1</v>
      </c>
      <c r="M79" s="1">
        <v>0</v>
      </c>
      <c r="N79" t="s">
        <v>44</v>
      </c>
      <c r="O79" t="s">
        <v>676</v>
      </c>
      <c r="P79" t="b">
        <v>1</v>
      </c>
      <c r="Q79" s="1" t="b">
        <f t="shared" si="18"/>
        <v>1</v>
      </c>
      <c r="R79" t="b">
        <f t="shared" si="19"/>
        <v>1</v>
      </c>
      <c r="S79" t="b">
        <f t="shared" si="20"/>
        <v>1</v>
      </c>
      <c r="T79" t="b">
        <f t="shared" si="21"/>
        <v>1</v>
      </c>
    </row>
    <row r="80" spans="2:20" x14ac:dyDescent="0.15">
      <c r="C80" s="2" t="s">
        <v>648</v>
      </c>
      <c r="D80" s="2" t="s">
        <v>643</v>
      </c>
      <c r="E80" s="11" t="s">
        <v>692</v>
      </c>
      <c r="F80" s="2">
        <v>10</v>
      </c>
      <c r="G80" s="2" t="b">
        <v>0</v>
      </c>
      <c r="H80" s="2"/>
      <c r="I80" s="3">
        <f t="shared" si="10"/>
        <v>0</v>
      </c>
      <c r="J80" s="2" t="str">
        <f t="shared" si="11"/>
        <v>12</v>
      </c>
      <c r="K80" s="2" t="str">
        <f t="shared" si="12"/>
        <v>3</v>
      </c>
      <c r="L80" s="2" t="b">
        <f t="shared" si="13"/>
        <v>1</v>
      </c>
      <c r="M80" s="3">
        <v>0</v>
      </c>
      <c r="N80" s="2" t="s">
        <v>666</v>
      </c>
      <c r="O80" s="2" t="s">
        <v>81</v>
      </c>
      <c r="P80" s="2" t="b">
        <v>1</v>
      </c>
      <c r="Q80" s="3" t="b">
        <f t="shared" ref="Q80:Q85" si="22">getText(I80)=getText(M80)</f>
        <v>1</v>
      </c>
      <c r="R80" s="2" t="b">
        <f t="shared" ref="R80:R85" si="23">getText(J80)=getText(N80)</f>
        <v>1</v>
      </c>
      <c r="S80" s="2" t="b">
        <f t="shared" ref="S80:S85" si="24">getText(K80)=getText(O80)</f>
        <v>1</v>
      </c>
      <c r="T80" s="2" t="b">
        <f t="shared" ref="T80:T85" si="25">getText(L80)=getText(P80)</f>
        <v>1</v>
      </c>
    </row>
    <row r="81" spans="1:20" x14ac:dyDescent="0.15">
      <c r="C81" t="s">
        <v>677</v>
      </c>
      <c r="D81" t="s">
        <v>644</v>
      </c>
      <c r="E81" s="9" t="s">
        <v>693</v>
      </c>
      <c r="F81">
        <v>10</v>
      </c>
      <c r="G81" t="b">
        <v>0</v>
      </c>
      <c r="I81" s="1">
        <f t="shared" si="10"/>
        <v>0</v>
      </c>
      <c r="J81" t="str">
        <f t="shared" si="11"/>
        <v>12</v>
      </c>
      <c r="K81" t="str">
        <f t="shared" si="12"/>
        <v>34</v>
      </c>
      <c r="L81" t="b">
        <f t="shared" si="13"/>
        <v>1</v>
      </c>
      <c r="M81" s="1">
        <v>0</v>
      </c>
      <c r="N81" t="s">
        <v>666</v>
      </c>
      <c r="O81" t="s">
        <v>682</v>
      </c>
      <c r="P81" t="b">
        <v>1</v>
      </c>
      <c r="Q81" s="1" t="b">
        <f t="shared" si="22"/>
        <v>1</v>
      </c>
      <c r="R81" t="b">
        <f t="shared" si="23"/>
        <v>1</v>
      </c>
      <c r="S81" t="b">
        <f t="shared" si="24"/>
        <v>1</v>
      </c>
      <c r="T81" t="b">
        <f t="shared" si="25"/>
        <v>1</v>
      </c>
    </row>
    <row r="82" spans="1:20" x14ac:dyDescent="0.15">
      <c r="D82" t="s">
        <v>645</v>
      </c>
      <c r="E82" s="9" t="s">
        <v>694</v>
      </c>
      <c r="F82">
        <v>10</v>
      </c>
      <c r="G82" t="b">
        <v>0</v>
      </c>
      <c r="I82" s="1">
        <f t="shared" si="10"/>
        <v>0</v>
      </c>
      <c r="J82" t="str">
        <f t="shared" si="11"/>
        <v>12</v>
      </c>
      <c r="K82" t="str">
        <f t="shared" si="12"/>
        <v>345</v>
      </c>
      <c r="L82" t="b">
        <f t="shared" si="13"/>
        <v>1</v>
      </c>
      <c r="M82" s="1">
        <v>0</v>
      </c>
      <c r="N82" t="s">
        <v>666</v>
      </c>
      <c r="O82" t="s">
        <v>683</v>
      </c>
      <c r="P82" t="b">
        <v>1</v>
      </c>
      <c r="Q82" s="1" t="b">
        <f t="shared" si="22"/>
        <v>1</v>
      </c>
      <c r="R82" t="b">
        <f t="shared" si="23"/>
        <v>1</v>
      </c>
      <c r="S82" t="b">
        <f t="shared" si="24"/>
        <v>1</v>
      </c>
      <c r="T82" t="b">
        <f t="shared" si="25"/>
        <v>1</v>
      </c>
    </row>
    <row r="83" spans="1:20" x14ac:dyDescent="0.15">
      <c r="C83" s="2" t="s">
        <v>648</v>
      </c>
      <c r="D83" s="2" t="s">
        <v>643</v>
      </c>
      <c r="E83" s="11" t="s">
        <v>695</v>
      </c>
      <c r="F83" s="2">
        <v>10</v>
      </c>
      <c r="G83" s="2" t="b">
        <v>0</v>
      </c>
      <c r="H83" s="2"/>
      <c r="I83" s="3">
        <f t="shared" si="10"/>
        <v>0</v>
      </c>
      <c r="J83" s="2" t="str">
        <f t="shared" si="11"/>
        <v>123</v>
      </c>
      <c r="K83" s="2" t="str">
        <f t="shared" si="12"/>
        <v>4</v>
      </c>
      <c r="L83" s="2" t="b">
        <f t="shared" si="13"/>
        <v>1</v>
      </c>
      <c r="M83" s="3">
        <v>0</v>
      </c>
      <c r="N83" s="2" t="s">
        <v>667</v>
      </c>
      <c r="O83" s="2" t="s">
        <v>314</v>
      </c>
      <c r="P83" s="2" t="b">
        <v>1</v>
      </c>
      <c r="Q83" s="3" t="b">
        <f t="shared" si="22"/>
        <v>1</v>
      </c>
      <c r="R83" s="2" t="b">
        <f t="shared" si="23"/>
        <v>1</v>
      </c>
      <c r="S83" s="2" t="b">
        <f t="shared" si="24"/>
        <v>1</v>
      </c>
      <c r="T83" s="2" t="b">
        <f t="shared" si="25"/>
        <v>1</v>
      </c>
    </row>
    <row r="84" spans="1:20" x14ac:dyDescent="0.15">
      <c r="C84" t="s">
        <v>678</v>
      </c>
      <c r="D84" t="s">
        <v>644</v>
      </c>
      <c r="E84" s="9" t="s">
        <v>696</v>
      </c>
      <c r="F84">
        <v>10</v>
      </c>
      <c r="G84" t="b">
        <v>0</v>
      </c>
      <c r="I84" s="1">
        <f t="shared" si="10"/>
        <v>0</v>
      </c>
      <c r="J84" t="str">
        <f t="shared" si="11"/>
        <v>123</v>
      </c>
      <c r="K84" t="str">
        <f t="shared" si="12"/>
        <v>45</v>
      </c>
      <c r="L84" t="b">
        <f t="shared" si="13"/>
        <v>1</v>
      </c>
      <c r="M84" s="1">
        <v>0</v>
      </c>
      <c r="N84" t="s">
        <v>667</v>
      </c>
      <c r="O84" t="s">
        <v>687</v>
      </c>
      <c r="P84" t="b">
        <v>1</v>
      </c>
      <c r="Q84" s="1" t="b">
        <f t="shared" si="22"/>
        <v>1</v>
      </c>
      <c r="R84" t="b">
        <f t="shared" si="23"/>
        <v>1</v>
      </c>
      <c r="S84" t="b">
        <f t="shared" si="24"/>
        <v>1</v>
      </c>
      <c r="T84" t="b">
        <f t="shared" si="25"/>
        <v>1</v>
      </c>
    </row>
    <row r="85" spans="1:20" x14ac:dyDescent="0.15">
      <c r="D85" t="s">
        <v>645</v>
      </c>
      <c r="E85" s="9" t="s">
        <v>697</v>
      </c>
      <c r="F85">
        <v>10</v>
      </c>
      <c r="G85" t="b">
        <v>0</v>
      </c>
      <c r="I85" s="1">
        <f t="shared" si="10"/>
        <v>0</v>
      </c>
      <c r="J85" t="str">
        <f t="shared" si="11"/>
        <v>123</v>
      </c>
      <c r="K85" t="str">
        <f t="shared" si="12"/>
        <v>456</v>
      </c>
      <c r="L85" t="b">
        <f t="shared" si="13"/>
        <v>1</v>
      </c>
      <c r="M85" s="1">
        <v>0</v>
      </c>
      <c r="N85" t="s">
        <v>667</v>
      </c>
      <c r="O85" t="s">
        <v>688</v>
      </c>
      <c r="P85" t="b">
        <v>1</v>
      </c>
      <c r="Q85" s="1" t="b">
        <f t="shared" si="22"/>
        <v>1</v>
      </c>
      <c r="R85" t="b">
        <f t="shared" si="23"/>
        <v>1</v>
      </c>
      <c r="S85" t="b">
        <f t="shared" si="24"/>
        <v>1</v>
      </c>
      <c r="T85" t="b">
        <f t="shared" si="25"/>
        <v>1</v>
      </c>
    </row>
    <row r="86" spans="1:20" x14ac:dyDescent="0.15">
      <c r="B86" s="2" t="s">
        <v>698</v>
      </c>
      <c r="C86" s="2" t="s">
        <v>699</v>
      </c>
      <c r="D86" s="2"/>
      <c r="E86" s="11" t="s">
        <v>701</v>
      </c>
      <c r="F86" s="2">
        <v>10</v>
      </c>
      <c r="G86" s="2" t="b">
        <v>0</v>
      </c>
      <c r="H86" s="2"/>
      <c r="I86" s="3">
        <f t="shared" ref="I86:I89" si="26">TESTseparateToIntAndFrc(E86,F86,G86)</f>
        <v>0</v>
      </c>
      <c r="J86" s="2" t="str">
        <f t="shared" ref="J86:J89" si="27">TESTseparateToIntAndFrcByRef1(E86,F86,G86)</f>
        <v>001</v>
      </c>
      <c r="K86" s="2" t="str">
        <f t="shared" ref="K86:K89" si="28">TESTseparateToIntAndFrcByRef2(E86,F86,G86)</f>
        <v>100</v>
      </c>
      <c r="L86" s="2" t="b">
        <f t="shared" ref="L86:L89" si="29">TESTseparateToIntAndFrcByRef3(E86,F86,G86)</f>
        <v>0</v>
      </c>
      <c r="M86" s="3">
        <v>0</v>
      </c>
      <c r="N86" s="2" t="s">
        <v>82</v>
      </c>
      <c r="O86" s="2" t="s">
        <v>21</v>
      </c>
      <c r="P86" s="2" t="b">
        <v>0</v>
      </c>
      <c r="Q86" s="3" t="b">
        <f t="shared" ref="Q86:Q90" si="30">getText(I86)=getText(M86)</f>
        <v>1</v>
      </c>
      <c r="R86" s="2" t="b">
        <f t="shared" ref="R86:R90" si="31">getText(J86)=getText(N86)</f>
        <v>1</v>
      </c>
      <c r="S86" s="2" t="b">
        <f t="shared" ref="S86:S90" si="32">getText(K86)=getText(O86)</f>
        <v>1</v>
      </c>
      <c r="T86" s="2" t="b">
        <f t="shared" ref="T86:T90" si="33">getText(L86)=getText(P86)</f>
        <v>1</v>
      </c>
    </row>
    <row r="87" spans="1:20" x14ac:dyDescent="0.15">
      <c r="C87" t="s">
        <v>700</v>
      </c>
      <c r="E87" s="9" t="s">
        <v>701</v>
      </c>
      <c r="F87">
        <v>10</v>
      </c>
      <c r="G87" t="b">
        <v>1</v>
      </c>
      <c r="I87" s="1">
        <f t="shared" si="26"/>
        <v>0</v>
      </c>
      <c r="J87" t="str">
        <f t="shared" si="27"/>
        <v>1</v>
      </c>
      <c r="K87" t="str">
        <f t="shared" si="28"/>
        <v>1</v>
      </c>
      <c r="L87" t="b">
        <f t="shared" si="29"/>
        <v>0</v>
      </c>
      <c r="M87" s="1">
        <v>0</v>
      </c>
      <c r="N87" t="s">
        <v>44</v>
      </c>
      <c r="O87" t="s">
        <v>44</v>
      </c>
      <c r="P87" t="b">
        <v>0</v>
      </c>
      <c r="Q87" s="1" t="b">
        <f t="shared" si="30"/>
        <v>1</v>
      </c>
      <c r="R87" t="b">
        <f t="shared" si="31"/>
        <v>1</v>
      </c>
      <c r="S87" t="b">
        <f t="shared" si="32"/>
        <v>1</v>
      </c>
      <c r="T87" t="b">
        <f t="shared" si="33"/>
        <v>1</v>
      </c>
    </row>
    <row r="88" spans="1:20" x14ac:dyDescent="0.15">
      <c r="C88" t="s">
        <v>702</v>
      </c>
      <c r="E88" s="9" t="s">
        <v>703</v>
      </c>
      <c r="F88">
        <v>10</v>
      </c>
      <c r="G88" t="b">
        <v>1</v>
      </c>
      <c r="I88" s="1">
        <f t="shared" si="26"/>
        <v>0</v>
      </c>
      <c r="J88" t="str">
        <f t="shared" si="27"/>
        <v>0</v>
      </c>
      <c r="K88" t="str">
        <f t="shared" si="28"/>
        <v>1</v>
      </c>
      <c r="L88" t="b">
        <f t="shared" si="29"/>
        <v>0</v>
      </c>
      <c r="M88" s="1">
        <v>0</v>
      </c>
      <c r="N88" t="s">
        <v>14</v>
      </c>
      <c r="O88" t="s">
        <v>44</v>
      </c>
      <c r="P88" t="b">
        <v>0</v>
      </c>
      <c r="Q88" s="1" t="b">
        <f t="shared" si="30"/>
        <v>1</v>
      </c>
      <c r="R88" t="b">
        <f t="shared" si="31"/>
        <v>1</v>
      </c>
      <c r="S88" t="b">
        <f t="shared" si="32"/>
        <v>1</v>
      </c>
      <c r="T88" t="b">
        <f t="shared" si="33"/>
        <v>1</v>
      </c>
    </row>
    <row r="89" spans="1:20" x14ac:dyDescent="0.15">
      <c r="C89" t="s">
        <v>704</v>
      </c>
      <c r="E89" s="9" t="s">
        <v>706</v>
      </c>
      <c r="F89">
        <v>10</v>
      </c>
      <c r="G89" t="b">
        <v>1</v>
      </c>
      <c r="I89" s="1">
        <f t="shared" si="26"/>
        <v>0</v>
      </c>
      <c r="J89" t="str">
        <f t="shared" si="27"/>
        <v>1</v>
      </c>
      <c r="K89" t="str">
        <f t="shared" si="28"/>
        <v/>
      </c>
      <c r="L89" t="b">
        <f t="shared" si="29"/>
        <v>0</v>
      </c>
      <c r="M89" s="1">
        <v>0</v>
      </c>
      <c r="N89" t="s">
        <v>44</v>
      </c>
      <c r="O89" t="s">
        <v>45</v>
      </c>
      <c r="P89" t="b">
        <v>0</v>
      </c>
      <c r="Q89" s="1" t="b">
        <f t="shared" si="30"/>
        <v>1</v>
      </c>
      <c r="R89" t="b">
        <f t="shared" si="31"/>
        <v>1</v>
      </c>
      <c r="S89" t="b">
        <f t="shared" si="32"/>
        <v>1</v>
      </c>
      <c r="T89" t="b">
        <f t="shared" si="33"/>
        <v>1</v>
      </c>
    </row>
    <row r="90" spans="1:20" x14ac:dyDescent="0.15">
      <c r="C90" t="s">
        <v>705</v>
      </c>
      <c r="E90" s="9" t="s">
        <v>707</v>
      </c>
      <c r="F90">
        <v>10</v>
      </c>
      <c r="G90" t="b">
        <v>1</v>
      </c>
      <c r="I90" s="1">
        <f t="shared" ref="I90" si="34">TESTseparateToIntAndFrc(E90,F90,G90)</f>
        <v>0</v>
      </c>
      <c r="J90" t="str">
        <f t="shared" ref="J90" si="35">TESTseparateToIntAndFrcByRef1(E90,F90,G90)</f>
        <v>0</v>
      </c>
      <c r="K90" t="str">
        <f t="shared" ref="K90" si="36">TESTseparateToIntAndFrcByRef2(E90,F90,G90)</f>
        <v/>
      </c>
      <c r="L90" t="b">
        <f t="shared" ref="L90" si="37">TESTseparateToIntAndFrcByRef3(E90,F90,G90)</f>
        <v>0</v>
      </c>
      <c r="M90" s="1">
        <v>0</v>
      </c>
      <c r="N90" t="s">
        <v>14</v>
      </c>
      <c r="O90" t="s">
        <v>45</v>
      </c>
      <c r="P90" t="b">
        <v>0</v>
      </c>
      <c r="Q90" s="1" t="b">
        <f t="shared" si="30"/>
        <v>1</v>
      </c>
      <c r="R90" t="b">
        <f t="shared" si="31"/>
        <v>1</v>
      </c>
      <c r="S90" t="b">
        <f t="shared" si="32"/>
        <v>1</v>
      </c>
      <c r="T90" t="b">
        <f t="shared" si="33"/>
        <v>1</v>
      </c>
    </row>
    <row r="91" spans="1:20" s="2" customFormat="1" x14ac:dyDescent="0.15">
      <c r="A91" s="2" t="s">
        <v>572</v>
      </c>
      <c r="B91" s="2" t="s">
        <v>580</v>
      </c>
      <c r="D91" s="2" t="s">
        <v>573</v>
      </c>
      <c r="E91" s="3">
        <v>1</v>
      </c>
      <c r="F91" s="2">
        <v>1</v>
      </c>
      <c r="I91" s="3">
        <f>TESTcheckNPntStr(E91,F91)</f>
        <v>0</v>
      </c>
      <c r="J91" s="2" t="b">
        <f>TESTcheckNPntStrByRef1(E91,F91)</f>
        <v>0</v>
      </c>
      <c r="K91" s="2">
        <f>TESTcheckNPntStrByRef2(E91,F91)</f>
        <v>0</v>
      </c>
      <c r="L91" s="2" t="e">
        <f>TESTcheckNPntStrByRef3(E91,F91)</f>
        <v>#NUM!</v>
      </c>
      <c r="M91" s="3">
        <v>0</v>
      </c>
      <c r="N91" s="2" t="b">
        <v>0</v>
      </c>
      <c r="O91" s="2">
        <v>0</v>
      </c>
      <c r="P91" s="2" t="e">
        <v>#NUM!</v>
      </c>
      <c r="Q91" s="3" t="b">
        <f t="shared" ref="Q91:R95" si="38">getText(I91)=getText(M91)</f>
        <v>1</v>
      </c>
      <c r="R91" s="2" t="b">
        <f t="shared" si="38"/>
        <v>1</v>
      </c>
      <c r="S91" s="2" t="b">
        <f t="shared" ref="S91:T95" si="39">getText(K91)=getText(O91)</f>
        <v>1</v>
      </c>
      <c r="T91" s="2" t="b">
        <f t="shared" si="39"/>
        <v>1</v>
      </c>
    </row>
    <row r="92" spans="1:20" x14ac:dyDescent="0.15">
      <c r="D92" t="s">
        <v>574</v>
      </c>
      <c r="E92" s="1">
        <v>1</v>
      </c>
      <c r="F92">
        <v>2</v>
      </c>
      <c r="I92" s="1">
        <f t="shared" ref="I92:I95" si="40">TESTcheckNPntStr(E92,F92)</f>
        <v>2</v>
      </c>
      <c r="J92" t="b">
        <f>TESTcheckNPntStrByRef1(E92,F92)</f>
        <v>0</v>
      </c>
      <c r="K92">
        <f t="shared" ref="K92:K95" si="41">TESTcheckNPntStrByRef2(E92,F92)</f>
        <v>0</v>
      </c>
      <c r="L92">
        <f t="shared" ref="L92:L106" si="42">TESTcheckNPntStrByRef3(E92,F92)</f>
        <v>0</v>
      </c>
      <c r="M92" s="1">
        <v>2</v>
      </c>
      <c r="N92" t="b">
        <v>0</v>
      </c>
      <c r="O92">
        <v>0</v>
      </c>
      <c r="P92">
        <v>0</v>
      </c>
      <c r="Q92" s="1" t="b">
        <f t="shared" si="38"/>
        <v>1</v>
      </c>
      <c r="R92" t="b">
        <f t="shared" si="38"/>
        <v>1</v>
      </c>
      <c r="S92" t="b">
        <f t="shared" si="39"/>
        <v>1</v>
      </c>
      <c r="T92" t="b">
        <f t="shared" si="39"/>
        <v>1</v>
      </c>
    </row>
    <row r="93" spans="1:20" x14ac:dyDescent="0.15">
      <c r="D93" t="s">
        <v>575</v>
      </c>
      <c r="E93" s="1">
        <v>1</v>
      </c>
      <c r="F93">
        <v>10</v>
      </c>
      <c r="I93" s="1">
        <f t="shared" si="40"/>
        <v>2</v>
      </c>
      <c r="J93" t="b">
        <f t="shared" ref="J93:J95" si="43">TESTcheckNPntStrByRef1(E93,F93)</f>
        <v>0</v>
      </c>
      <c r="K93">
        <f t="shared" si="41"/>
        <v>0</v>
      </c>
      <c r="L93">
        <f t="shared" si="42"/>
        <v>0</v>
      </c>
      <c r="M93" s="1">
        <v>2</v>
      </c>
      <c r="N93" t="b">
        <v>0</v>
      </c>
      <c r="O93">
        <v>0</v>
      </c>
      <c r="P93">
        <v>0</v>
      </c>
      <c r="Q93" s="1" t="b">
        <f t="shared" si="38"/>
        <v>1</v>
      </c>
      <c r="R93" t="b">
        <f t="shared" si="38"/>
        <v>1</v>
      </c>
      <c r="S93" t="b">
        <f t="shared" si="39"/>
        <v>1</v>
      </c>
      <c r="T93" t="b">
        <f t="shared" si="39"/>
        <v>1</v>
      </c>
    </row>
    <row r="94" spans="1:20" x14ac:dyDescent="0.15">
      <c r="D94" t="s">
        <v>576</v>
      </c>
      <c r="E94" s="1">
        <v>1</v>
      </c>
      <c r="F94">
        <v>16</v>
      </c>
      <c r="I94" s="1">
        <f t="shared" si="40"/>
        <v>2</v>
      </c>
      <c r="J94" t="b">
        <f t="shared" si="43"/>
        <v>0</v>
      </c>
      <c r="K94">
        <f t="shared" si="41"/>
        <v>0</v>
      </c>
      <c r="L94">
        <f t="shared" si="42"/>
        <v>0</v>
      </c>
      <c r="M94" s="1">
        <v>2</v>
      </c>
      <c r="N94" t="b">
        <v>0</v>
      </c>
      <c r="O94">
        <v>0</v>
      </c>
      <c r="P94">
        <v>0</v>
      </c>
      <c r="Q94" s="1" t="b">
        <f t="shared" si="38"/>
        <v>1</v>
      </c>
      <c r="R94" t="b">
        <f t="shared" si="38"/>
        <v>1</v>
      </c>
      <c r="S94" t="b">
        <f t="shared" si="39"/>
        <v>1</v>
      </c>
      <c r="T94" t="b">
        <f t="shared" si="39"/>
        <v>1</v>
      </c>
    </row>
    <row r="95" spans="1:20" x14ac:dyDescent="0.15">
      <c r="D95" t="s">
        <v>577</v>
      </c>
      <c r="E95" s="1">
        <v>1</v>
      </c>
      <c r="F95">
        <v>17</v>
      </c>
      <c r="I95" s="1">
        <f t="shared" si="40"/>
        <v>0</v>
      </c>
      <c r="J95" t="b">
        <f t="shared" si="43"/>
        <v>0</v>
      </c>
      <c r="K95">
        <f t="shared" si="41"/>
        <v>0</v>
      </c>
      <c r="L95" t="e">
        <f t="shared" si="42"/>
        <v>#NUM!</v>
      </c>
      <c r="M95" s="1">
        <v>0</v>
      </c>
      <c r="N95" t="b">
        <v>0</v>
      </c>
      <c r="O95">
        <v>0</v>
      </c>
      <c r="P95" t="e">
        <v>#NUM!</v>
      </c>
      <c r="Q95" s="1" t="b">
        <f t="shared" si="38"/>
        <v>1</v>
      </c>
      <c r="R95" t="b">
        <f t="shared" si="38"/>
        <v>1</v>
      </c>
      <c r="S95" t="b">
        <f t="shared" si="39"/>
        <v>1</v>
      </c>
      <c r="T95" t="b">
        <f t="shared" si="39"/>
        <v>1</v>
      </c>
    </row>
    <row r="96" spans="1:20" x14ac:dyDescent="0.15">
      <c r="B96" s="2" t="s">
        <v>579</v>
      </c>
      <c r="C96" s="2"/>
      <c r="D96" s="2"/>
      <c r="E96" s="3"/>
      <c r="F96" s="2">
        <v>10</v>
      </c>
      <c r="G96" s="2"/>
      <c r="H96" s="2"/>
      <c r="I96" s="3">
        <f t="shared" ref="I96" si="44">TESTcheckNPntStr(E96,F96)</f>
        <v>0</v>
      </c>
      <c r="J96" s="2" t="b">
        <f t="shared" ref="J96" si="45">TESTcheckNPntStrByRef1(E96,F96)</f>
        <v>0</v>
      </c>
      <c r="K96" s="2">
        <f t="shared" ref="K96" si="46">TESTcheckNPntStrByRef2(E96,F96)</f>
        <v>0</v>
      </c>
      <c r="L96" s="2" t="e">
        <f t="shared" si="42"/>
        <v>#NULL!</v>
      </c>
      <c r="M96" s="3">
        <v>0</v>
      </c>
      <c r="N96" s="2" t="b">
        <v>0</v>
      </c>
      <c r="O96" s="2">
        <v>0</v>
      </c>
      <c r="P96" s="2" t="e">
        <v>#NULL!</v>
      </c>
      <c r="Q96" s="3" t="b">
        <f t="shared" ref="Q96" si="47">getText(I96)=getText(M96)</f>
        <v>1</v>
      </c>
      <c r="R96" s="2" t="b">
        <f t="shared" ref="R96" si="48">getText(J96)=getText(N96)</f>
        <v>1</v>
      </c>
      <c r="S96" s="2" t="b">
        <f t="shared" ref="S96:T96" si="49">getText(K96)=getText(O96)</f>
        <v>1</v>
      </c>
      <c r="T96" s="2" t="b">
        <f t="shared" si="49"/>
        <v>1</v>
      </c>
    </row>
    <row r="97" spans="2:20" x14ac:dyDescent="0.15">
      <c r="B97" s="2" t="s">
        <v>578</v>
      </c>
      <c r="C97" s="2" t="s">
        <v>583</v>
      </c>
      <c r="D97" s="2" t="s">
        <v>574</v>
      </c>
      <c r="E97" s="3">
        <v>0</v>
      </c>
      <c r="F97" s="2">
        <v>2</v>
      </c>
      <c r="G97" s="2"/>
      <c r="H97" s="2"/>
      <c r="I97" s="3">
        <f t="shared" ref="I97:I101" si="50">TESTcheckNPntStr(E97,F97)</f>
        <v>2</v>
      </c>
      <c r="J97" s="2" t="b">
        <f t="shared" ref="J97:J101" si="51">TESTcheckNPntStrByRef1(E97,F97)</f>
        <v>0</v>
      </c>
      <c r="K97" s="2">
        <f t="shared" ref="K97:K101" si="52">TESTcheckNPntStrByRef2(E97,F97)</f>
        <v>0</v>
      </c>
      <c r="L97" s="2">
        <f t="shared" si="42"/>
        <v>0</v>
      </c>
      <c r="M97" s="3">
        <v>2</v>
      </c>
      <c r="N97" s="2" t="b">
        <v>0</v>
      </c>
      <c r="O97" s="2">
        <v>0</v>
      </c>
      <c r="P97" s="2">
        <v>0</v>
      </c>
      <c r="Q97" s="3" t="b">
        <f t="shared" ref="Q97" si="53">getText(I97)=getText(M97)</f>
        <v>1</v>
      </c>
      <c r="R97" s="2" t="b">
        <f t="shared" ref="R97" si="54">getText(J97)=getText(N97)</f>
        <v>1</v>
      </c>
      <c r="S97" s="2" t="b">
        <f t="shared" ref="S97:T97" si="55">getText(K97)=getText(O97)</f>
        <v>1</v>
      </c>
      <c r="T97" s="2" t="b">
        <f t="shared" si="55"/>
        <v>1</v>
      </c>
    </row>
    <row r="98" spans="2:20" x14ac:dyDescent="0.15">
      <c r="B98" s="6"/>
      <c r="C98" s="6"/>
      <c r="D98" s="7" t="s">
        <v>581</v>
      </c>
      <c r="E98" s="1">
        <v>0</v>
      </c>
      <c r="F98" s="7">
        <v>9</v>
      </c>
      <c r="G98" s="6"/>
      <c r="H98" s="6"/>
      <c r="I98" s="1">
        <f t="shared" ref="I98" si="56">TESTcheckNPntStr(E98,F98)</f>
        <v>2</v>
      </c>
      <c r="J98" s="6" t="b">
        <f t="shared" ref="J98" si="57">TESTcheckNPntStrByRef1(E98,F98)</f>
        <v>0</v>
      </c>
      <c r="K98" s="6">
        <f t="shared" ref="K98" si="58">TESTcheckNPntStrByRef2(E98,F98)</f>
        <v>0</v>
      </c>
      <c r="L98" s="6">
        <f t="shared" ref="L98" si="59">TESTcheckNPntStrByRef3(E98,F98)</f>
        <v>0</v>
      </c>
      <c r="M98" s="1">
        <v>2</v>
      </c>
      <c r="N98" s="6" t="b">
        <v>0</v>
      </c>
      <c r="O98" s="6">
        <v>0</v>
      </c>
      <c r="P98" s="6">
        <v>0</v>
      </c>
      <c r="Q98" s="1" t="b">
        <f t="shared" ref="Q98:Q113" si="60">getText(I98)=getText(M98)</f>
        <v>1</v>
      </c>
      <c r="R98" s="6" t="b">
        <f t="shared" ref="R98:R113" si="61">getText(J98)=getText(N98)</f>
        <v>1</v>
      </c>
      <c r="S98" s="6" t="b">
        <f t="shared" ref="S98:S113" si="62">getText(K98)=getText(O98)</f>
        <v>1</v>
      </c>
      <c r="T98" s="6" t="b">
        <f t="shared" ref="T98:T113" si="63">getText(L98)=getText(P98)</f>
        <v>1</v>
      </c>
    </row>
    <row r="99" spans="2:20" x14ac:dyDescent="0.15">
      <c r="D99" t="s">
        <v>575</v>
      </c>
      <c r="E99" s="1">
        <v>0</v>
      </c>
      <c r="F99" s="7">
        <v>10</v>
      </c>
      <c r="I99" s="1">
        <f t="shared" si="50"/>
        <v>2</v>
      </c>
      <c r="J99" t="b">
        <f t="shared" si="51"/>
        <v>0</v>
      </c>
      <c r="K99">
        <f t="shared" si="52"/>
        <v>0</v>
      </c>
      <c r="L99">
        <f t="shared" si="42"/>
        <v>0</v>
      </c>
      <c r="M99" s="1">
        <v>2</v>
      </c>
      <c r="N99" t="b">
        <v>0</v>
      </c>
      <c r="O99">
        <v>0</v>
      </c>
      <c r="P99">
        <v>0</v>
      </c>
      <c r="Q99" s="1" t="b">
        <f t="shared" si="60"/>
        <v>1</v>
      </c>
      <c r="R99" t="b">
        <f t="shared" si="61"/>
        <v>1</v>
      </c>
      <c r="S99" t="b">
        <f t="shared" si="62"/>
        <v>1</v>
      </c>
      <c r="T99" t="b">
        <f t="shared" si="63"/>
        <v>1</v>
      </c>
    </row>
    <row r="100" spans="2:20" x14ac:dyDescent="0.15">
      <c r="D100" t="s">
        <v>582</v>
      </c>
      <c r="E100" s="1">
        <v>0</v>
      </c>
      <c r="F100" s="7">
        <v>11</v>
      </c>
      <c r="I100" s="1">
        <f t="shared" si="50"/>
        <v>2</v>
      </c>
      <c r="J100" t="b">
        <f t="shared" si="51"/>
        <v>0</v>
      </c>
      <c r="K100">
        <f t="shared" si="52"/>
        <v>0</v>
      </c>
      <c r="L100">
        <f t="shared" si="42"/>
        <v>0</v>
      </c>
      <c r="M100" s="1">
        <v>2</v>
      </c>
      <c r="N100" t="b">
        <v>0</v>
      </c>
      <c r="O100">
        <v>0</v>
      </c>
      <c r="P100">
        <v>0</v>
      </c>
      <c r="Q100" s="1" t="b">
        <f t="shared" si="60"/>
        <v>1</v>
      </c>
      <c r="R100" t="b">
        <f t="shared" si="61"/>
        <v>1</v>
      </c>
      <c r="S100" t="b">
        <f t="shared" si="62"/>
        <v>1</v>
      </c>
      <c r="T100" t="b">
        <f t="shared" si="63"/>
        <v>1</v>
      </c>
    </row>
    <row r="101" spans="2:20" x14ac:dyDescent="0.15">
      <c r="D101" t="s">
        <v>576</v>
      </c>
      <c r="E101" s="1">
        <v>0</v>
      </c>
      <c r="F101" s="7">
        <v>16</v>
      </c>
      <c r="I101" s="1">
        <f t="shared" si="50"/>
        <v>2</v>
      </c>
      <c r="J101" t="b">
        <f t="shared" si="51"/>
        <v>0</v>
      </c>
      <c r="K101">
        <f t="shared" si="52"/>
        <v>0</v>
      </c>
      <c r="L101">
        <f t="shared" si="42"/>
        <v>0</v>
      </c>
      <c r="M101" s="1">
        <v>2</v>
      </c>
      <c r="N101" t="b">
        <v>0</v>
      </c>
      <c r="O101">
        <v>0</v>
      </c>
      <c r="P101">
        <v>0</v>
      </c>
      <c r="Q101" s="1" t="b">
        <f t="shared" si="60"/>
        <v>1</v>
      </c>
      <c r="R101" t="b">
        <f t="shared" si="61"/>
        <v>1</v>
      </c>
      <c r="S101" t="b">
        <f t="shared" si="62"/>
        <v>1</v>
      </c>
      <c r="T101" t="b">
        <f t="shared" si="63"/>
        <v>1</v>
      </c>
    </row>
    <row r="102" spans="2:20" x14ac:dyDescent="0.15">
      <c r="C102" s="2" t="s">
        <v>584</v>
      </c>
      <c r="D102" s="2" t="s">
        <v>574</v>
      </c>
      <c r="E102" s="11">
        <v>1</v>
      </c>
      <c r="F102" s="2">
        <v>2</v>
      </c>
      <c r="G102" s="2"/>
      <c r="H102" s="2"/>
      <c r="I102" s="3">
        <f t="shared" ref="I102:I111" si="64">TESTcheckNPntStr(E102,F102)</f>
        <v>2</v>
      </c>
      <c r="J102" s="2" t="b">
        <f t="shared" ref="J102:J111" si="65">TESTcheckNPntStrByRef1(E102,F102)</f>
        <v>0</v>
      </c>
      <c r="K102" s="2">
        <f t="shared" ref="K102:K111" si="66">TESTcheckNPntStrByRef2(E102,F102)</f>
        <v>0</v>
      </c>
      <c r="L102" s="2">
        <f t="shared" si="42"/>
        <v>0</v>
      </c>
      <c r="M102" s="3">
        <v>2</v>
      </c>
      <c r="N102" s="2" t="b">
        <v>0</v>
      </c>
      <c r="O102" s="2">
        <v>0</v>
      </c>
      <c r="P102" s="2">
        <v>0</v>
      </c>
      <c r="Q102" s="3" t="b">
        <f t="shared" si="60"/>
        <v>1</v>
      </c>
      <c r="R102" s="2" t="b">
        <f t="shared" si="61"/>
        <v>1</v>
      </c>
      <c r="S102" s="2" t="b">
        <f t="shared" si="62"/>
        <v>1</v>
      </c>
      <c r="T102" s="2" t="b">
        <f t="shared" si="63"/>
        <v>1</v>
      </c>
    </row>
    <row r="103" spans="2:20" x14ac:dyDescent="0.15">
      <c r="C103" s="6"/>
      <c r="D103" s="7" t="s">
        <v>581</v>
      </c>
      <c r="E103" s="9" t="s">
        <v>605</v>
      </c>
      <c r="F103" s="7">
        <v>9</v>
      </c>
      <c r="G103" s="6"/>
      <c r="H103" s="6"/>
      <c r="I103" s="1">
        <f t="shared" ref="I103" si="67">TESTcheckNPntStr(E103,F103)</f>
        <v>2</v>
      </c>
      <c r="J103" s="6" t="b">
        <f t="shared" ref="J103" si="68">TESTcheckNPntStrByRef1(E103,F103)</f>
        <v>0</v>
      </c>
      <c r="K103" s="6">
        <f t="shared" ref="K103" si="69">TESTcheckNPntStrByRef2(E103,F103)</f>
        <v>0</v>
      </c>
      <c r="L103" s="6">
        <f t="shared" ref="L103" si="70">TESTcheckNPntStrByRef3(E103,F103)</f>
        <v>0</v>
      </c>
      <c r="M103" s="1">
        <v>2</v>
      </c>
      <c r="N103" s="6" t="b">
        <v>0</v>
      </c>
      <c r="O103" s="6">
        <v>0</v>
      </c>
      <c r="P103" s="6">
        <v>0</v>
      </c>
      <c r="Q103" s="1" t="b">
        <f t="shared" si="60"/>
        <v>1</v>
      </c>
      <c r="R103" s="6" t="b">
        <f t="shared" si="61"/>
        <v>1</v>
      </c>
      <c r="S103" s="6" t="b">
        <f t="shared" si="62"/>
        <v>1</v>
      </c>
      <c r="T103" s="6" t="b">
        <f t="shared" si="63"/>
        <v>1</v>
      </c>
    </row>
    <row r="104" spans="2:20" x14ac:dyDescent="0.15">
      <c r="D104" t="s">
        <v>575</v>
      </c>
      <c r="E104" s="9">
        <v>9</v>
      </c>
      <c r="F104" s="7">
        <v>10</v>
      </c>
      <c r="I104" s="1">
        <f t="shared" si="64"/>
        <v>2</v>
      </c>
      <c r="J104" t="b">
        <f t="shared" si="65"/>
        <v>0</v>
      </c>
      <c r="K104">
        <f t="shared" si="66"/>
        <v>0</v>
      </c>
      <c r="L104">
        <f t="shared" si="42"/>
        <v>0</v>
      </c>
      <c r="M104" s="1">
        <v>2</v>
      </c>
      <c r="N104" t="b">
        <v>0</v>
      </c>
      <c r="O104">
        <v>0</v>
      </c>
      <c r="P104">
        <v>0</v>
      </c>
      <c r="Q104" s="1" t="b">
        <f t="shared" si="60"/>
        <v>1</v>
      </c>
      <c r="R104" t="b">
        <f t="shared" si="61"/>
        <v>1</v>
      </c>
      <c r="S104" t="b">
        <f t="shared" si="62"/>
        <v>1</v>
      </c>
      <c r="T104" t="b">
        <f t="shared" si="63"/>
        <v>1</v>
      </c>
    </row>
    <row r="105" spans="2:20" x14ac:dyDescent="0.15">
      <c r="D105" t="s">
        <v>582</v>
      </c>
      <c r="E105" s="9" t="s">
        <v>585</v>
      </c>
      <c r="F105" s="7">
        <v>11</v>
      </c>
      <c r="I105" s="1">
        <f t="shared" si="64"/>
        <v>2</v>
      </c>
      <c r="J105" t="b">
        <f t="shared" si="65"/>
        <v>0</v>
      </c>
      <c r="K105">
        <f t="shared" si="66"/>
        <v>0</v>
      </c>
      <c r="L105">
        <f t="shared" si="42"/>
        <v>0</v>
      </c>
      <c r="M105" s="1">
        <v>2</v>
      </c>
      <c r="N105" t="b">
        <v>0</v>
      </c>
      <c r="O105">
        <v>0</v>
      </c>
      <c r="P105">
        <v>0</v>
      </c>
      <c r="Q105" s="1" t="b">
        <f t="shared" si="60"/>
        <v>1</v>
      </c>
      <c r="R105" t="b">
        <f t="shared" si="61"/>
        <v>1</v>
      </c>
      <c r="S105" t="b">
        <f t="shared" si="62"/>
        <v>1</v>
      </c>
      <c r="T105" t="b">
        <f t="shared" si="63"/>
        <v>1</v>
      </c>
    </row>
    <row r="106" spans="2:20" x14ac:dyDescent="0.15">
      <c r="D106" t="s">
        <v>576</v>
      </c>
      <c r="E106" s="9" t="s">
        <v>586</v>
      </c>
      <c r="F106" s="7">
        <v>16</v>
      </c>
      <c r="I106" s="1">
        <f t="shared" si="64"/>
        <v>2</v>
      </c>
      <c r="J106" t="b">
        <f t="shared" si="65"/>
        <v>0</v>
      </c>
      <c r="K106">
        <f t="shared" si="66"/>
        <v>0</v>
      </c>
      <c r="L106">
        <f t="shared" si="42"/>
        <v>0</v>
      </c>
      <c r="M106" s="1">
        <v>2</v>
      </c>
      <c r="N106" t="b">
        <v>0</v>
      </c>
      <c r="O106">
        <v>0</v>
      </c>
      <c r="P106">
        <v>0</v>
      </c>
      <c r="Q106" s="1" t="b">
        <f t="shared" si="60"/>
        <v>1</v>
      </c>
      <c r="R106" t="b">
        <f t="shared" si="61"/>
        <v>1</v>
      </c>
      <c r="S106" t="b">
        <f t="shared" si="62"/>
        <v>1</v>
      </c>
      <c r="T106" t="b">
        <f t="shared" si="63"/>
        <v>1</v>
      </c>
    </row>
    <row r="107" spans="2:20" x14ac:dyDescent="0.15">
      <c r="C107" s="2" t="s">
        <v>601</v>
      </c>
      <c r="D107" s="2" t="s">
        <v>574</v>
      </c>
      <c r="E107" s="11">
        <v>2</v>
      </c>
      <c r="F107" s="2">
        <v>2</v>
      </c>
      <c r="G107" s="2"/>
      <c r="H107" s="2"/>
      <c r="I107" s="3">
        <f t="shared" si="64"/>
        <v>1</v>
      </c>
      <c r="J107" s="2" t="b">
        <f t="shared" si="65"/>
        <v>0</v>
      </c>
      <c r="K107" s="2">
        <f t="shared" si="66"/>
        <v>0</v>
      </c>
      <c r="L107" s="2" t="e">
        <f t="shared" ref="L107:L111" si="71">TESTcheckNPntStrByRef3(E107,F107)</f>
        <v>#NUM!</v>
      </c>
      <c r="M107" s="3">
        <v>1</v>
      </c>
      <c r="N107" s="2" t="b">
        <v>0</v>
      </c>
      <c r="O107" s="2">
        <v>0</v>
      </c>
      <c r="P107" s="2" t="e">
        <v>#NUM!</v>
      </c>
      <c r="Q107" s="3" t="b">
        <f t="shared" si="60"/>
        <v>1</v>
      </c>
      <c r="R107" s="2" t="b">
        <f t="shared" si="61"/>
        <v>1</v>
      </c>
      <c r="S107" s="2" t="b">
        <f t="shared" si="62"/>
        <v>1</v>
      </c>
      <c r="T107" s="2" t="b">
        <f t="shared" si="63"/>
        <v>1</v>
      </c>
    </row>
    <row r="108" spans="2:20" x14ac:dyDescent="0.15">
      <c r="C108" s="6"/>
      <c r="D108" s="7" t="s">
        <v>581</v>
      </c>
      <c r="E108" s="9" t="s">
        <v>606</v>
      </c>
      <c r="F108" s="7">
        <v>9</v>
      </c>
      <c r="G108" s="6"/>
      <c r="H108" s="6"/>
      <c r="I108" s="1">
        <f t="shared" ref="I108" si="72">TESTcheckNPntStr(E108,F108)</f>
        <v>1</v>
      </c>
      <c r="J108" s="6" t="b">
        <f t="shared" ref="J108" si="73">TESTcheckNPntStrByRef1(E108,F108)</f>
        <v>0</v>
      </c>
      <c r="K108" s="6">
        <f t="shared" ref="K108" si="74">TESTcheckNPntStrByRef2(E108,F108)</f>
        <v>0</v>
      </c>
      <c r="L108" s="6" t="e">
        <f t="shared" ref="L108" si="75">TESTcheckNPntStrByRef3(E108,F108)</f>
        <v>#NUM!</v>
      </c>
      <c r="M108" s="1">
        <v>1</v>
      </c>
      <c r="N108" s="6" t="b">
        <v>0</v>
      </c>
      <c r="O108" s="6">
        <v>0</v>
      </c>
      <c r="P108" s="6" t="e">
        <v>#NUM!</v>
      </c>
      <c r="Q108" s="1" t="b">
        <f t="shared" si="60"/>
        <v>1</v>
      </c>
      <c r="R108" s="6" t="b">
        <f t="shared" si="61"/>
        <v>1</v>
      </c>
      <c r="S108" s="6" t="b">
        <f t="shared" si="62"/>
        <v>1</v>
      </c>
      <c r="T108" s="6" t="b">
        <f t="shared" si="63"/>
        <v>1</v>
      </c>
    </row>
    <row r="109" spans="2:20" x14ac:dyDescent="0.15">
      <c r="D109" t="s">
        <v>575</v>
      </c>
      <c r="E109" s="9" t="s">
        <v>602</v>
      </c>
      <c r="F109" s="7">
        <v>10</v>
      </c>
      <c r="I109" s="1">
        <f t="shared" si="64"/>
        <v>1</v>
      </c>
      <c r="J109" t="b">
        <f t="shared" si="65"/>
        <v>0</v>
      </c>
      <c r="K109">
        <f t="shared" si="66"/>
        <v>0</v>
      </c>
      <c r="L109" t="e">
        <f t="shared" si="71"/>
        <v>#NUM!</v>
      </c>
      <c r="M109" s="1">
        <v>1</v>
      </c>
      <c r="N109" t="b">
        <v>0</v>
      </c>
      <c r="O109">
        <v>0</v>
      </c>
      <c r="P109" t="e">
        <v>#NUM!</v>
      </c>
      <c r="Q109" s="1" t="b">
        <f t="shared" si="60"/>
        <v>1</v>
      </c>
      <c r="R109" t="b">
        <f t="shared" si="61"/>
        <v>1</v>
      </c>
      <c r="S109" t="b">
        <f t="shared" si="62"/>
        <v>1</v>
      </c>
      <c r="T109" t="b">
        <f t="shared" si="63"/>
        <v>1</v>
      </c>
    </row>
    <row r="110" spans="2:20" x14ac:dyDescent="0.15">
      <c r="D110" t="s">
        <v>582</v>
      </c>
      <c r="E110" s="9" t="s">
        <v>603</v>
      </c>
      <c r="F110" s="7">
        <v>11</v>
      </c>
      <c r="I110" s="1">
        <f t="shared" si="64"/>
        <v>1</v>
      </c>
      <c r="J110" t="b">
        <f t="shared" si="65"/>
        <v>0</v>
      </c>
      <c r="K110">
        <f t="shared" si="66"/>
        <v>0</v>
      </c>
      <c r="L110" t="e">
        <f t="shared" si="71"/>
        <v>#NUM!</v>
      </c>
      <c r="M110" s="1">
        <v>1</v>
      </c>
      <c r="N110" t="b">
        <v>0</v>
      </c>
      <c r="O110">
        <v>0</v>
      </c>
      <c r="P110" t="e">
        <v>#NUM!</v>
      </c>
      <c r="Q110" s="1" t="b">
        <f t="shared" si="60"/>
        <v>1</v>
      </c>
      <c r="R110" t="b">
        <f t="shared" si="61"/>
        <v>1</v>
      </c>
      <c r="S110" t="b">
        <f t="shared" si="62"/>
        <v>1</v>
      </c>
      <c r="T110" t="b">
        <f t="shared" si="63"/>
        <v>1</v>
      </c>
    </row>
    <row r="111" spans="2:20" x14ac:dyDescent="0.15">
      <c r="D111" t="s">
        <v>576</v>
      </c>
      <c r="E111" s="9" t="s">
        <v>604</v>
      </c>
      <c r="F111" s="7">
        <v>16</v>
      </c>
      <c r="I111" s="1">
        <f t="shared" si="64"/>
        <v>1</v>
      </c>
      <c r="J111" t="b">
        <f t="shared" si="65"/>
        <v>0</v>
      </c>
      <c r="K111">
        <f t="shared" si="66"/>
        <v>0</v>
      </c>
      <c r="L111" t="e">
        <f t="shared" si="71"/>
        <v>#NUM!</v>
      </c>
      <c r="M111" s="1">
        <v>1</v>
      </c>
      <c r="N111" t="b">
        <v>0</v>
      </c>
      <c r="O111">
        <v>0</v>
      </c>
      <c r="P111" t="e">
        <v>#NUM!</v>
      </c>
      <c r="Q111" s="1" t="b">
        <f t="shared" si="60"/>
        <v>1</v>
      </c>
      <c r="R111" t="b">
        <f t="shared" si="61"/>
        <v>1</v>
      </c>
      <c r="S111" t="b">
        <f t="shared" si="62"/>
        <v>1</v>
      </c>
      <c r="T111" t="b">
        <f t="shared" si="63"/>
        <v>1</v>
      </c>
    </row>
    <row r="112" spans="2:20" x14ac:dyDescent="0.15">
      <c r="B112" s="2" t="s">
        <v>607</v>
      </c>
      <c r="C112" s="2" t="s">
        <v>608</v>
      </c>
      <c r="D112" s="2" t="s">
        <v>574</v>
      </c>
      <c r="E112" s="11" t="s">
        <v>611</v>
      </c>
      <c r="F112" s="2">
        <v>2</v>
      </c>
      <c r="G112" s="2"/>
      <c r="H112" s="2"/>
      <c r="I112" s="3">
        <f t="shared" ref="I112:I116" si="76">TESTcheckNPntStr(E112,F112)</f>
        <v>2</v>
      </c>
      <c r="J112" s="2" t="b">
        <f t="shared" ref="J112:J116" si="77">TESTcheckNPntStrByRef1(E112,F112)</f>
        <v>0</v>
      </c>
      <c r="K112" s="2">
        <f t="shared" ref="K112:K116" si="78">TESTcheckNPntStrByRef2(E112,F112)</f>
        <v>0</v>
      </c>
      <c r="L112" s="2" t="e">
        <f t="shared" ref="L112:L116" si="79">TESTcheckNPntStrByRef3(E112,F112)</f>
        <v>#NUM!</v>
      </c>
      <c r="M112" s="3">
        <v>2</v>
      </c>
      <c r="N112" s="2" t="b">
        <v>0</v>
      </c>
      <c r="O112" s="2">
        <v>0</v>
      </c>
      <c r="P112" s="2" t="e">
        <v>#NUM!</v>
      </c>
      <c r="Q112" s="3" t="b">
        <f t="shared" si="60"/>
        <v>1</v>
      </c>
      <c r="R112" s="2" t="b">
        <f t="shared" si="61"/>
        <v>1</v>
      </c>
      <c r="S112" s="2" t="b">
        <f t="shared" si="62"/>
        <v>1</v>
      </c>
      <c r="T112" s="2" t="b">
        <f t="shared" si="63"/>
        <v>1</v>
      </c>
    </row>
    <row r="113" spans="3:20" x14ac:dyDescent="0.15">
      <c r="D113" s="7" t="s">
        <v>581</v>
      </c>
      <c r="E113" s="9" t="s">
        <v>612</v>
      </c>
      <c r="F113" s="7">
        <v>9</v>
      </c>
      <c r="I113" s="1">
        <f t="shared" si="76"/>
        <v>2</v>
      </c>
      <c r="J113" t="b">
        <f t="shared" si="77"/>
        <v>0</v>
      </c>
      <c r="K113">
        <f t="shared" si="78"/>
        <v>0</v>
      </c>
      <c r="L113" t="e">
        <f t="shared" si="79"/>
        <v>#NUM!</v>
      </c>
      <c r="M113" s="1">
        <v>2</v>
      </c>
      <c r="N113" t="b">
        <v>0</v>
      </c>
      <c r="O113">
        <v>0</v>
      </c>
      <c r="P113" t="e">
        <v>#NUM!</v>
      </c>
      <c r="Q113" s="1" t="b">
        <f t="shared" si="60"/>
        <v>1</v>
      </c>
      <c r="R113" t="b">
        <f t="shared" si="61"/>
        <v>1</v>
      </c>
      <c r="S113" t="b">
        <f t="shared" si="62"/>
        <v>1</v>
      </c>
      <c r="T113" t="b">
        <f t="shared" si="63"/>
        <v>1</v>
      </c>
    </row>
    <row r="114" spans="3:20" x14ac:dyDescent="0.15">
      <c r="D114" t="s">
        <v>575</v>
      </c>
      <c r="E114" s="9" t="s">
        <v>613</v>
      </c>
      <c r="F114" s="7">
        <v>10</v>
      </c>
      <c r="I114" s="1">
        <f t="shared" si="76"/>
        <v>2</v>
      </c>
      <c r="J114" t="b">
        <f t="shared" si="77"/>
        <v>0</v>
      </c>
      <c r="K114">
        <f t="shared" si="78"/>
        <v>0</v>
      </c>
      <c r="L114" t="e">
        <f t="shared" si="79"/>
        <v>#NUM!</v>
      </c>
      <c r="M114" s="1">
        <v>2</v>
      </c>
      <c r="N114" t="b">
        <v>0</v>
      </c>
      <c r="O114">
        <v>0</v>
      </c>
      <c r="P114" t="e">
        <v>#NUM!</v>
      </c>
      <c r="Q114" s="1" t="b">
        <f t="shared" ref="Q114:Q122" si="80">getText(I114)=getText(M114)</f>
        <v>1</v>
      </c>
      <c r="R114" t="b">
        <f t="shared" ref="R114:R122" si="81">getText(J114)=getText(N114)</f>
        <v>1</v>
      </c>
      <c r="S114" t="b">
        <f t="shared" ref="S114:S122" si="82">getText(K114)=getText(O114)</f>
        <v>1</v>
      </c>
      <c r="T114" t="b">
        <f t="shared" ref="T114:T122" si="83">getText(L114)=getText(P114)</f>
        <v>1</v>
      </c>
    </row>
    <row r="115" spans="3:20" x14ac:dyDescent="0.15">
      <c r="D115" t="s">
        <v>582</v>
      </c>
      <c r="E115" s="9" t="s">
        <v>614</v>
      </c>
      <c r="F115" s="7">
        <v>11</v>
      </c>
      <c r="I115" s="1">
        <f t="shared" si="76"/>
        <v>2</v>
      </c>
      <c r="J115" t="b">
        <f t="shared" si="77"/>
        <v>0</v>
      </c>
      <c r="K115">
        <f t="shared" si="78"/>
        <v>0</v>
      </c>
      <c r="L115" t="e">
        <f t="shared" si="79"/>
        <v>#NUM!</v>
      </c>
      <c r="M115" s="1">
        <v>2</v>
      </c>
      <c r="N115" t="b">
        <v>0</v>
      </c>
      <c r="O115">
        <v>0</v>
      </c>
      <c r="P115" t="e">
        <v>#NUM!</v>
      </c>
      <c r="Q115" s="1" t="b">
        <f t="shared" si="80"/>
        <v>1</v>
      </c>
      <c r="R115" t="b">
        <f t="shared" si="81"/>
        <v>1</v>
      </c>
      <c r="S115" t="b">
        <f t="shared" si="82"/>
        <v>1</v>
      </c>
      <c r="T115" t="b">
        <f t="shared" si="83"/>
        <v>1</v>
      </c>
    </row>
    <row r="116" spans="3:20" x14ac:dyDescent="0.15">
      <c r="D116" t="s">
        <v>576</v>
      </c>
      <c r="E116" s="9" t="s">
        <v>615</v>
      </c>
      <c r="F116" s="7">
        <v>16</v>
      </c>
      <c r="I116" s="1">
        <f t="shared" si="76"/>
        <v>2</v>
      </c>
      <c r="J116" t="b">
        <f t="shared" si="77"/>
        <v>0</v>
      </c>
      <c r="K116">
        <f t="shared" si="78"/>
        <v>0</v>
      </c>
      <c r="L116" t="e">
        <f t="shared" si="79"/>
        <v>#NUM!</v>
      </c>
      <c r="M116" s="1">
        <v>2</v>
      </c>
      <c r="N116" t="b">
        <v>0</v>
      </c>
      <c r="O116">
        <v>0</v>
      </c>
      <c r="P116" t="e">
        <v>#NUM!</v>
      </c>
      <c r="Q116" s="1" t="b">
        <f t="shared" si="80"/>
        <v>1</v>
      </c>
      <c r="R116" t="b">
        <f t="shared" si="81"/>
        <v>1</v>
      </c>
      <c r="S116" t="b">
        <f t="shared" si="82"/>
        <v>1</v>
      </c>
      <c r="T116" t="b">
        <f t="shared" si="83"/>
        <v>1</v>
      </c>
    </row>
    <row r="117" spans="3:20" x14ac:dyDescent="0.15">
      <c r="C117" s="2" t="s">
        <v>609</v>
      </c>
      <c r="D117" s="2" t="s">
        <v>574</v>
      </c>
      <c r="E117" s="11" t="s">
        <v>616</v>
      </c>
      <c r="F117" s="2">
        <v>2</v>
      </c>
      <c r="G117" s="2"/>
      <c r="H117" s="2"/>
      <c r="I117" s="3">
        <f t="shared" ref="I117:I124" si="84">TESTcheckNPntStr(E117,F117)</f>
        <v>3</v>
      </c>
      <c r="J117" s="2" t="b">
        <f t="shared" ref="J117:J124" si="85">TESTcheckNPntStrByRef1(E117,F117)</f>
        <v>0</v>
      </c>
      <c r="K117" s="2">
        <f t="shared" ref="K117:K124" si="86">TESTcheckNPntStrByRef2(E117,F117)</f>
        <v>0</v>
      </c>
      <c r="L117" s="2" t="e">
        <f t="shared" ref="L117:L124" si="87">TESTcheckNPntStrByRef3(E117,F117)</f>
        <v>#NUM!</v>
      </c>
      <c r="M117" s="3">
        <v>3</v>
      </c>
      <c r="N117" s="2" t="b">
        <v>0</v>
      </c>
      <c r="O117" s="2">
        <v>0</v>
      </c>
      <c r="P117" s="2" t="e">
        <v>#NUM!</v>
      </c>
      <c r="Q117" s="3" t="b">
        <f t="shared" si="80"/>
        <v>1</v>
      </c>
      <c r="R117" s="2" t="b">
        <f t="shared" si="81"/>
        <v>1</v>
      </c>
      <c r="S117" s="2" t="b">
        <f t="shared" si="82"/>
        <v>1</v>
      </c>
      <c r="T117" s="2" t="b">
        <f t="shared" si="83"/>
        <v>1</v>
      </c>
    </row>
    <row r="118" spans="3:20" x14ac:dyDescent="0.15">
      <c r="D118" s="7" t="s">
        <v>581</v>
      </c>
      <c r="E118" s="9" t="s">
        <v>617</v>
      </c>
      <c r="F118" s="7">
        <v>9</v>
      </c>
      <c r="I118" s="1">
        <f t="shared" si="84"/>
        <v>3</v>
      </c>
      <c r="J118" t="b">
        <f t="shared" si="85"/>
        <v>0</v>
      </c>
      <c r="K118">
        <f t="shared" si="86"/>
        <v>0</v>
      </c>
      <c r="L118" t="e">
        <f t="shared" si="87"/>
        <v>#NUM!</v>
      </c>
      <c r="M118" s="1">
        <v>3</v>
      </c>
      <c r="N118" t="b">
        <v>0</v>
      </c>
      <c r="O118">
        <v>0</v>
      </c>
      <c r="P118" t="e">
        <v>#NUM!</v>
      </c>
      <c r="Q118" s="1" t="b">
        <f t="shared" si="80"/>
        <v>1</v>
      </c>
      <c r="R118" t="b">
        <f t="shared" si="81"/>
        <v>1</v>
      </c>
      <c r="S118" t="b">
        <f t="shared" si="82"/>
        <v>1</v>
      </c>
      <c r="T118" t="b">
        <f t="shared" si="83"/>
        <v>1</v>
      </c>
    </row>
    <row r="119" spans="3:20" x14ac:dyDescent="0.15">
      <c r="D119" t="s">
        <v>575</v>
      </c>
      <c r="E119" s="9" t="s">
        <v>618</v>
      </c>
      <c r="F119" s="7">
        <v>10</v>
      </c>
      <c r="I119" s="1">
        <f t="shared" si="84"/>
        <v>3</v>
      </c>
      <c r="J119" t="b">
        <f t="shared" si="85"/>
        <v>0</v>
      </c>
      <c r="K119">
        <f t="shared" si="86"/>
        <v>0</v>
      </c>
      <c r="L119" t="e">
        <f t="shared" si="87"/>
        <v>#NUM!</v>
      </c>
      <c r="M119" s="1">
        <v>3</v>
      </c>
      <c r="N119" t="b">
        <v>0</v>
      </c>
      <c r="O119">
        <v>0</v>
      </c>
      <c r="P119" t="e">
        <v>#NUM!</v>
      </c>
      <c r="Q119" s="1" t="b">
        <f t="shared" si="80"/>
        <v>1</v>
      </c>
      <c r="R119" t="b">
        <f t="shared" si="81"/>
        <v>1</v>
      </c>
      <c r="S119" t="b">
        <f t="shared" si="82"/>
        <v>1</v>
      </c>
      <c r="T119" t="b">
        <f t="shared" si="83"/>
        <v>1</v>
      </c>
    </row>
    <row r="120" spans="3:20" x14ac:dyDescent="0.15">
      <c r="D120" t="s">
        <v>582</v>
      </c>
      <c r="E120" s="9" t="s">
        <v>619</v>
      </c>
      <c r="F120" s="7">
        <v>11</v>
      </c>
      <c r="I120" s="1">
        <f t="shared" si="84"/>
        <v>3</v>
      </c>
      <c r="J120" t="b">
        <f t="shared" si="85"/>
        <v>0</v>
      </c>
      <c r="K120">
        <f t="shared" si="86"/>
        <v>0</v>
      </c>
      <c r="L120" t="e">
        <f t="shared" si="87"/>
        <v>#NUM!</v>
      </c>
      <c r="M120" s="1">
        <v>3</v>
      </c>
      <c r="N120" t="b">
        <v>0</v>
      </c>
      <c r="O120">
        <v>0</v>
      </c>
      <c r="P120" t="e">
        <v>#NUM!</v>
      </c>
      <c r="Q120" s="1" t="b">
        <f t="shared" si="80"/>
        <v>1</v>
      </c>
      <c r="R120" t="b">
        <f t="shared" si="81"/>
        <v>1</v>
      </c>
      <c r="S120" t="b">
        <f t="shared" si="82"/>
        <v>1</v>
      </c>
      <c r="T120" t="b">
        <f t="shared" si="83"/>
        <v>1</v>
      </c>
    </row>
    <row r="121" spans="3:20" x14ac:dyDescent="0.15">
      <c r="D121" t="s">
        <v>576</v>
      </c>
      <c r="E121" s="9" t="s">
        <v>620</v>
      </c>
      <c r="F121" s="7">
        <v>16</v>
      </c>
      <c r="I121" s="1">
        <f t="shared" si="84"/>
        <v>3</v>
      </c>
      <c r="J121" t="b">
        <f t="shared" si="85"/>
        <v>0</v>
      </c>
      <c r="K121">
        <f t="shared" si="86"/>
        <v>0</v>
      </c>
      <c r="L121" t="e">
        <f t="shared" si="87"/>
        <v>#NUM!</v>
      </c>
      <c r="M121" s="1">
        <v>3</v>
      </c>
      <c r="N121" t="b">
        <v>0</v>
      </c>
      <c r="O121">
        <v>0</v>
      </c>
      <c r="P121" t="e">
        <v>#NUM!</v>
      </c>
      <c r="Q121" s="1" t="b">
        <f t="shared" si="80"/>
        <v>1</v>
      </c>
      <c r="R121" t="b">
        <f t="shared" si="81"/>
        <v>1</v>
      </c>
      <c r="S121" t="b">
        <f t="shared" si="82"/>
        <v>1</v>
      </c>
      <c r="T121" t="b">
        <f t="shared" si="83"/>
        <v>1</v>
      </c>
    </row>
    <row r="122" spans="3:20" x14ac:dyDescent="0.15">
      <c r="C122" s="2" t="s">
        <v>610</v>
      </c>
      <c r="D122" s="2" t="s">
        <v>574</v>
      </c>
      <c r="E122" s="11" t="s">
        <v>621</v>
      </c>
      <c r="F122" s="2">
        <v>2</v>
      </c>
      <c r="G122" s="2"/>
      <c r="H122" s="2"/>
      <c r="I122" s="3">
        <f t="shared" si="84"/>
        <v>5</v>
      </c>
      <c r="J122" s="2" t="b">
        <f t="shared" si="85"/>
        <v>0</v>
      </c>
      <c r="K122" s="2">
        <f t="shared" si="86"/>
        <v>0</v>
      </c>
      <c r="L122" s="2" t="e">
        <f t="shared" si="87"/>
        <v>#NUM!</v>
      </c>
      <c r="M122" s="3">
        <v>5</v>
      </c>
      <c r="N122" s="2" t="b">
        <v>0</v>
      </c>
      <c r="O122" s="2">
        <v>0</v>
      </c>
      <c r="P122" s="2" t="e">
        <v>#NUM!</v>
      </c>
      <c r="Q122" s="3" t="b">
        <f t="shared" si="80"/>
        <v>1</v>
      </c>
      <c r="R122" s="2" t="b">
        <f t="shared" si="81"/>
        <v>1</v>
      </c>
      <c r="S122" s="2" t="b">
        <f t="shared" si="82"/>
        <v>1</v>
      </c>
      <c r="T122" s="2" t="b">
        <f t="shared" si="83"/>
        <v>1</v>
      </c>
    </row>
    <row r="123" spans="3:20" x14ac:dyDescent="0.15">
      <c r="D123" s="7" t="s">
        <v>581</v>
      </c>
      <c r="E123" s="9" t="s">
        <v>622</v>
      </c>
      <c r="F123" s="7">
        <v>9</v>
      </c>
      <c r="I123" s="1">
        <f t="shared" si="84"/>
        <v>5</v>
      </c>
      <c r="J123" t="b">
        <f t="shared" si="85"/>
        <v>0</v>
      </c>
      <c r="K123">
        <f t="shared" si="86"/>
        <v>0</v>
      </c>
      <c r="L123" t="e">
        <f t="shared" si="87"/>
        <v>#NUM!</v>
      </c>
      <c r="M123" s="1">
        <v>5</v>
      </c>
      <c r="N123" t="b">
        <v>0</v>
      </c>
      <c r="O123">
        <v>0</v>
      </c>
      <c r="P123" t="e">
        <v>#NUM!</v>
      </c>
      <c r="Q123" s="1" t="b">
        <f t="shared" ref="Q123:Q127" si="88">getText(I123)=getText(M123)</f>
        <v>1</v>
      </c>
      <c r="R123" t="b">
        <f t="shared" ref="R123:R127" si="89">getText(J123)=getText(N123)</f>
        <v>1</v>
      </c>
      <c r="S123" t="b">
        <f t="shared" ref="S123:S127" si="90">getText(K123)=getText(O123)</f>
        <v>1</v>
      </c>
      <c r="T123" t="b">
        <f t="shared" ref="T123:T127" si="91">getText(L123)=getText(P123)</f>
        <v>1</v>
      </c>
    </row>
    <row r="124" spans="3:20" x14ac:dyDescent="0.15">
      <c r="D124" t="s">
        <v>575</v>
      </c>
      <c r="E124" s="9" t="s">
        <v>623</v>
      </c>
      <c r="F124" s="7">
        <v>10</v>
      </c>
      <c r="I124" s="1">
        <f t="shared" si="84"/>
        <v>5</v>
      </c>
      <c r="J124" t="b">
        <f t="shared" si="85"/>
        <v>0</v>
      </c>
      <c r="K124">
        <f t="shared" si="86"/>
        <v>0</v>
      </c>
      <c r="L124" t="e">
        <f t="shared" si="87"/>
        <v>#NUM!</v>
      </c>
      <c r="M124" s="1">
        <v>5</v>
      </c>
      <c r="N124" t="b">
        <v>0</v>
      </c>
      <c r="O124">
        <v>0</v>
      </c>
      <c r="P124" t="e">
        <v>#NUM!</v>
      </c>
      <c r="Q124" s="1" t="b">
        <f t="shared" si="88"/>
        <v>1</v>
      </c>
      <c r="R124" t="b">
        <f t="shared" si="89"/>
        <v>1</v>
      </c>
      <c r="S124" t="b">
        <f t="shared" si="90"/>
        <v>1</v>
      </c>
      <c r="T124" t="b">
        <f t="shared" si="91"/>
        <v>1</v>
      </c>
    </row>
    <row r="125" spans="3:20" x14ac:dyDescent="0.15">
      <c r="D125" t="s">
        <v>582</v>
      </c>
      <c r="E125" s="9" t="s">
        <v>624</v>
      </c>
      <c r="F125" s="7">
        <v>11</v>
      </c>
      <c r="I125" s="1">
        <f t="shared" ref="I125:I129" si="92">TESTcheckNPntStr(E125,F125)</f>
        <v>5</v>
      </c>
      <c r="J125" t="b">
        <f t="shared" ref="J125:J129" si="93">TESTcheckNPntStrByRef1(E125,F125)</f>
        <v>0</v>
      </c>
      <c r="K125">
        <f t="shared" ref="K125:K129" si="94">TESTcheckNPntStrByRef2(E125,F125)</f>
        <v>0</v>
      </c>
      <c r="L125" t="e">
        <f t="shared" ref="L125:L129" si="95">TESTcheckNPntStrByRef3(E125,F125)</f>
        <v>#NUM!</v>
      </c>
      <c r="M125" s="1">
        <v>5</v>
      </c>
      <c r="N125" t="b">
        <v>0</v>
      </c>
      <c r="O125">
        <v>0</v>
      </c>
      <c r="P125" t="e">
        <v>#NUM!</v>
      </c>
      <c r="Q125" s="1" t="b">
        <f t="shared" si="88"/>
        <v>1</v>
      </c>
      <c r="R125" t="b">
        <f t="shared" si="89"/>
        <v>1</v>
      </c>
      <c r="S125" t="b">
        <f t="shared" si="90"/>
        <v>1</v>
      </c>
      <c r="T125" t="b">
        <f t="shared" si="91"/>
        <v>1</v>
      </c>
    </row>
    <row r="126" spans="3:20" x14ac:dyDescent="0.15">
      <c r="D126" t="s">
        <v>576</v>
      </c>
      <c r="E126" s="9" t="s">
        <v>625</v>
      </c>
      <c r="F126" s="7">
        <v>16</v>
      </c>
      <c r="I126" s="1">
        <f t="shared" si="92"/>
        <v>5</v>
      </c>
      <c r="J126" t="b">
        <f t="shared" si="93"/>
        <v>0</v>
      </c>
      <c r="K126">
        <f t="shared" si="94"/>
        <v>0</v>
      </c>
      <c r="L126" t="e">
        <f t="shared" si="95"/>
        <v>#NUM!</v>
      </c>
      <c r="M126" s="1">
        <v>5</v>
      </c>
      <c r="N126" t="b">
        <v>0</v>
      </c>
      <c r="O126">
        <v>0</v>
      </c>
      <c r="P126" t="e">
        <v>#NUM!</v>
      </c>
      <c r="Q126" s="1" t="b">
        <f t="shared" si="88"/>
        <v>1</v>
      </c>
      <c r="R126" t="b">
        <f t="shared" si="89"/>
        <v>1</v>
      </c>
      <c r="S126" t="b">
        <f t="shared" si="90"/>
        <v>1</v>
      </c>
      <c r="T126" t="b">
        <f t="shared" si="91"/>
        <v>1</v>
      </c>
    </row>
    <row r="127" spans="3:20" x14ac:dyDescent="0.15">
      <c r="C127" s="2" t="s">
        <v>626</v>
      </c>
      <c r="D127" s="2" t="s">
        <v>574</v>
      </c>
      <c r="E127" s="11" t="s">
        <v>627</v>
      </c>
      <c r="F127" s="2">
        <v>2</v>
      </c>
      <c r="G127" s="2"/>
      <c r="H127" s="2"/>
      <c r="I127" s="3">
        <f t="shared" si="92"/>
        <v>3</v>
      </c>
      <c r="J127" s="2" t="b">
        <f t="shared" si="93"/>
        <v>0</v>
      </c>
      <c r="K127" s="2">
        <f t="shared" si="94"/>
        <v>0</v>
      </c>
      <c r="L127" s="2">
        <f t="shared" si="95"/>
        <v>0</v>
      </c>
      <c r="M127" s="3">
        <v>3</v>
      </c>
      <c r="N127" s="2" t="b">
        <v>0</v>
      </c>
      <c r="O127" s="2">
        <v>0</v>
      </c>
      <c r="P127" s="2">
        <v>0</v>
      </c>
      <c r="Q127" s="3" t="b">
        <f t="shared" si="88"/>
        <v>1</v>
      </c>
      <c r="R127" s="2" t="b">
        <f t="shared" si="89"/>
        <v>1</v>
      </c>
      <c r="S127" s="2" t="b">
        <f t="shared" si="90"/>
        <v>1</v>
      </c>
      <c r="T127" s="2" t="b">
        <f t="shared" si="91"/>
        <v>1</v>
      </c>
    </row>
    <row r="128" spans="3:20" x14ac:dyDescent="0.15">
      <c r="D128" s="7" t="s">
        <v>581</v>
      </c>
      <c r="E128" s="9" t="s">
        <v>629</v>
      </c>
      <c r="F128" s="7">
        <v>9</v>
      </c>
      <c r="I128" s="1">
        <f t="shared" si="92"/>
        <v>11</v>
      </c>
      <c r="J128" t="b">
        <f t="shared" si="93"/>
        <v>0</v>
      </c>
      <c r="K128">
        <f t="shared" si="94"/>
        <v>0</v>
      </c>
      <c r="L128">
        <f t="shared" si="95"/>
        <v>0</v>
      </c>
      <c r="M128" s="1">
        <v>11</v>
      </c>
      <c r="N128" t="b">
        <v>0</v>
      </c>
      <c r="O128">
        <v>0</v>
      </c>
      <c r="P128">
        <v>0</v>
      </c>
      <c r="Q128" s="1" t="b">
        <f t="shared" ref="Q128:Q131" si="96">getText(I128)=getText(M128)</f>
        <v>1</v>
      </c>
      <c r="R128" t="b">
        <f t="shared" ref="R128:R131" si="97">getText(J128)=getText(N128)</f>
        <v>1</v>
      </c>
      <c r="S128" t="b">
        <f t="shared" ref="S128:S131" si="98">getText(K128)=getText(O128)</f>
        <v>1</v>
      </c>
      <c r="T128" t="b">
        <f t="shared" ref="T128:T131" si="99">getText(L128)=getText(P128)</f>
        <v>1</v>
      </c>
    </row>
    <row r="129" spans="1:20" x14ac:dyDescent="0.15">
      <c r="D129" t="s">
        <v>575</v>
      </c>
      <c r="E129" s="9" t="s">
        <v>628</v>
      </c>
      <c r="F129" s="7">
        <v>10</v>
      </c>
      <c r="I129" s="1">
        <f t="shared" si="92"/>
        <v>12</v>
      </c>
      <c r="J129" t="b">
        <f t="shared" si="93"/>
        <v>0</v>
      </c>
      <c r="K129">
        <f t="shared" si="94"/>
        <v>0</v>
      </c>
      <c r="L129">
        <f t="shared" si="95"/>
        <v>0</v>
      </c>
      <c r="M129" s="1">
        <v>12</v>
      </c>
      <c r="N129" t="b">
        <v>0</v>
      </c>
      <c r="O129">
        <v>0</v>
      </c>
      <c r="P129">
        <v>0</v>
      </c>
      <c r="Q129" s="1" t="b">
        <f t="shared" si="96"/>
        <v>1</v>
      </c>
      <c r="R129" t="b">
        <f t="shared" si="97"/>
        <v>1</v>
      </c>
      <c r="S129" t="b">
        <f t="shared" si="98"/>
        <v>1</v>
      </c>
      <c r="T129" t="b">
        <f t="shared" si="99"/>
        <v>1</v>
      </c>
    </row>
    <row r="130" spans="1:20" x14ac:dyDescent="0.15">
      <c r="D130" t="s">
        <v>582</v>
      </c>
      <c r="E130" s="9" t="s">
        <v>630</v>
      </c>
      <c r="F130" s="7">
        <v>11</v>
      </c>
      <c r="I130" s="1">
        <f t="shared" ref="I130:I131" si="100">TESTcheckNPntStr(E130,F130)</f>
        <v>13</v>
      </c>
      <c r="J130" t="b">
        <f t="shared" ref="J130:J131" si="101">TESTcheckNPntStrByRef1(E130,F130)</f>
        <v>0</v>
      </c>
      <c r="K130">
        <f t="shared" ref="K130:K131" si="102">TESTcheckNPntStrByRef2(E130,F130)</f>
        <v>0</v>
      </c>
      <c r="L130">
        <f t="shared" ref="L130:L131" si="103">TESTcheckNPntStrByRef3(E130,F130)</f>
        <v>0</v>
      </c>
      <c r="M130" s="1">
        <v>13</v>
      </c>
      <c r="N130" t="b">
        <v>0</v>
      </c>
      <c r="O130">
        <v>0</v>
      </c>
      <c r="P130">
        <v>0</v>
      </c>
      <c r="Q130" s="1" t="b">
        <f t="shared" si="96"/>
        <v>1</v>
      </c>
      <c r="R130" t="b">
        <f t="shared" si="97"/>
        <v>1</v>
      </c>
      <c r="S130" t="b">
        <f t="shared" si="98"/>
        <v>1</v>
      </c>
      <c r="T130" t="b">
        <f t="shared" si="99"/>
        <v>1</v>
      </c>
    </row>
    <row r="131" spans="1:20" x14ac:dyDescent="0.15">
      <c r="D131" t="s">
        <v>576</v>
      </c>
      <c r="E131" s="9" t="s">
        <v>631</v>
      </c>
      <c r="F131" s="7">
        <v>16</v>
      </c>
      <c r="I131" s="1">
        <f t="shared" si="100"/>
        <v>18</v>
      </c>
      <c r="J131" t="b">
        <f t="shared" si="101"/>
        <v>0</v>
      </c>
      <c r="K131">
        <f t="shared" si="102"/>
        <v>0</v>
      </c>
      <c r="L131">
        <f t="shared" si="103"/>
        <v>0</v>
      </c>
      <c r="M131" s="1">
        <v>18</v>
      </c>
      <c r="N131" t="b">
        <v>0</v>
      </c>
      <c r="O131">
        <v>0</v>
      </c>
      <c r="P131">
        <v>0</v>
      </c>
      <c r="Q131" s="1" t="b">
        <f t="shared" si="96"/>
        <v>1</v>
      </c>
      <c r="R131" t="b">
        <f t="shared" si="97"/>
        <v>1</v>
      </c>
      <c r="S131" t="b">
        <f t="shared" si="98"/>
        <v>1</v>
      </c>
      <c r="T131" t="b">
        <f t="shared" si="99"/>
        <v>1</v>
      </c>
    </row>
    <row r="132" spans="1:20" x14ac:dyDescent="0.15">
      <c r="B132" s="2" t="s">
        <v>632</v>
      </c>
      <c r="C132" s="2" t="s">
        <v>633</v>
      </c>
      <c r="D132" s="2"/>
      <c r="E132" s="11" t="s">
        <v>635</v>
      </c>
      <c r="F132" s="24">
        <v>10</v>
      </c>
      <c r="G132" s="2"/>
      <c r="H132" s="2"/>
      <c r="I132" s="3">
        <f t="shared" ref="I132:I133" si="104">TESTcheckNPntStr(E132,F132)</f>
        <v>3</v>
      </c>
      <c r="J132" s="2" t="b">
        <f t="shared" ref="J132:J133" si="105">TESTcheckNPntStrByRef1(E132,F132)</f>
        <v>1</v>
      </c>
      <c r="K132" s="2">
        <f t="shared" ref="K132:K133" si="106">TESTcheckNPntStrByRef2(E132,F132)</f>
        <v>0</v>
      </c>
      <c r="L132" s="2">
        <f t="shared" ref="L132:L133" si="107">TESTcheckNPntStrByRef3(E132,F132)</f>
        <v>0</v>
      </c>
      <c r="M132" s="3">
        <v>3</v>
      </c>
      <c r="N132" s="2" t="b">
        <v>1</v>
      </c>
      <c r="O132" s="2">
        <v>0</v>
      </c>
      <c r="P132" s="2">
        <v>0</v>
      </c>
      <c r="Q132" s="3" t="b">
        <f t="shared" ref="Q132:Q133" si="108">getText(I132)=getText(M132)</f>
        <v>1</v>
      </c>
      <c r="R132" s="2" t="b">
        <f t="shared" ref="R132:R133" si="109">getText(J132)=getText(N132)</f>
        <v>1</v>
      </c>
      <c r="S132" s="2" t="b">
        <f t="shared" ref="S132:S133" si="110">getText(K132)=getText(O132)</f>
        <v>1</v>
      </c>
      <c r="T132" s="2" t="b">
        <f t="shared" ref="T132:T133" si="111">getText(L132)=getText(P132)</f>
        <v>1</v>
      </c>
    </row>
    <row r="133" spans="1:20" x14ac:dyDescent="0.15">
      <c r="C133" t="s">
        <v>634</v>
      </c>
      <c r="E133" s="9" t="s">
        <v>636</v>
      </c>
      <c r="F133" s="7">
        <v>10</v>
      </c>
      <c r="I133" s="1">
        <f t="shared" si="104"/>
        <v>2</v>
      </c>
      <c r="J133" t="b">
        <f t="shared" si="105"/>
        <v>0</v>
      </c>
      <c r="K133">
        <f t="shared" si="106"/>
        <v>0</v>
      </c>
      <c r="L133" t="e">
        <f t="shared" si="107"/>
        <v>#NUM!</v>
      </c>
      <c r="M133" s="1">
        <v>2</v>
      </c>
      <c r="N133" t="b">
        <v>0</v>
      </c>
      <c r="O133">
        <v>0</v>
      </c>
      <c r="P133" t="e">
        <v>#NUM!</v>
      </c>
      <c r="Q133" s="1" t="b">
        <f t="shared" si="108"/>
        <v>1</v>
      </c>
      <c r="R133" t="b">
        <f t="shared" si="109"/>
        <v>1</v>
      </c>
      <c r="S133" t="b">
        <f t="shared" si="110"/>
        <v>1</v>
      </c>
      <c r="T133" t="b">
        <f t="shared" si="111"/>
        <v>1</v>
      </c>
    </row>
    <row r="134" spans="1:20" x14ac:dyDescent="0.15">
      <c r="B134" s="2" t="s">
        <v>637</v>
      </c>
      <c r="C134" s="2" t="s">
        <v>650</v>
      </c>
      <c r="D134" s="2" t="s">
        <v>659</v>
      </c>
      <c r="E134" s="11" t="s">
        <v>638</v>
      </c>
      <c r="F134" s="24">
        <v>10</v>
      </c>
      <c r="G134" s="2"/>
      <c r="H134" s="2"/>
      <c r="I134" s="3">
        <f>TESTcheckNPntStr(E134,F134)</f>
        <v>1</v>
      </c>
      <c r="J134" s="2" t="b">
        <f>TESTcheckNPntStrByRef1(E134,F134)</f>
        <v>0</v>
      </c>
      <c r="K134" s="2">
        <f t="shared" ref="K134" si="112">TESTcheckNPntStrByRef2(E134,F134)</f>
        <v>0</v>
      </c>
      <c r="L134" s="2" t="e">
        <f t="shared" ref="L134" si="113">TESTcheckNPntStrByRef3(E134,F134)</f>
        <v>#NUM!</v>
      </c>
      <c r="M134" s="3">
        <v>1</v>
      </c>
      <c r="N134" s="2" t="b">
        <v>0</v>
      </c>
      <c r="O134" s="2">
        <v>0</v>
      </c>
      <c r="P134" s="2" t="e">
        <v>#NUM!</v>
      </c>
      <c r="Q134" s="3" t="b">
        <f t="shared" ref="Q134" si="114">getText(I134)=getText(M134)</f>
        <v>1</v>
      </c>
      <c r="R134" s="2" t="b">
        <f t="shared" ref="R134" si="115">getText(J134)=getText(N134)</f>
        <v>1</v>
      </c>
      <c r="S134" s="2" t="b">
        <f t="shared" ref="S134" si="116">getText(K134)=getText(O134)</f>
        <v>1</v>
      </c>
      <c r="T134" s="2" t="b">
        <f t="shared" ref="T134" si="117">getText(L134)=getText(P134)</f>
        <v>1</v>
      </c>
    </row>
    <row r="135" spans="1:20" x14ac:dyDescent="0.15">
      <c r="B135" s="6"/>
      <c r="C135" s="6"/>
      <c r="D135" s="7" t="s">
        <v>660</v>
      </c>
      <c r="E135" s="9" t="s">
        <v>661</v>
      </c>
      <c r="F135" s="7">
        <v>10</v>
      </c>
      <c r="G135" s="6"/>
      <c r="H135" s="6"/>
      <c r="I135" s="1">
        <f t="shared" ref="I135:I143" si="118">TESTcheckNPntStr(E135,F135)</f>
        <v>2</v>
      </c>
      <c r="J135" s="6" t="b">
        <f t="shared" ref="J135:J143" si="119">TESTcheckNPntStrByRef1(E135,F135)</f>
        <v>1</v>
      </c>
      <c r="K135" s="6">
        <f t="shared" ref="K135:K143" si="120">TESTcheckNPntStrByRef2(E135,F135)</f>
        <v>0</v>
      </c>
      <c r="L135" s="6" t="e">
        <f t="shared" ref="L135:L143" si="121">TESTcheckNPntStrByRef3(E135,F135)</f>
        <v>#NUM!</v>
      </c>
      <c r="M135" s="1">
        <v>2</v>
      </c>
      <c r="N135" s="6" t="b">
        <v>1</v>
      </c>
      <c r="O135" s="6">
        <v>0</v>
      </c>
      <c r="P135" s="6" t="e">
        <v>#NUM!</v>
      </c>
      <c r="Q135" s="1" t="b">
        <f t="shared" ref="Q135:Q143" si="122">getText(I135)=getText(M135)</f>
        <v>1</v>
      </c>
      <c r="R135" s="6" t="b">
        <f t="shared" ref="R135:R143" si="123">getText(J135)=getText(N135)</f>
        <v>1</v>
      </c>
      <c r="S135" s="6" t="b">
        <f t="shared" ref="S135:S143" si="124">getText(K135)=getText(O135)</f>
        <v>1</v>
      </c>
      <c r="T135" s="6" t="b">
        <f t="shared" ref="T135:T143" si="125">getText(L135)=getText(P135)</f>
        <v>1</v>
      </c>
    </row>
    <row r="136" spans="1:20" x14ac:dyDescent="0.15">
      <c r="B136" s="6"/>
      <c r="C136" s="7" t="s">
        <v>651</v>
      </c>
      <c r="D136" s="6" t="s">
        <v>658</v>
      </c>
      <c r="E136" s="9" t="s">
        <v>649</v>
      </c>
      <c r="F136" s="7">
        <v>10</v>
      </c>
      <c r="G136" s="6"/>
      <c r="H136" s="6"/>
      <c r="I136" s="1">
        <f t="shared" si="118"/>
        <v>4</v>
      </c>
      <c r="J136" s="6" t="b">
        <f t="shared" si="119"/>
        <v>0</v>
      </c>
      <c r="K136" s="6">
        <f t="shared" si="120"/>
        <v>2</v>
      </c>
      <c r="L136" s="6">
        <f t="shared" si="121"/>
        <v>0</v>
      </c>
      <c r="M136" s="1">
        <v>4</v>
      </c>
      <c r="N136" s="6" t="b">
        <v>0</v>
      </c>
      <c r="O136" s="6">
        <v>2</v>
      </c>
      <c r="P136" s="6">
        <v>0</v>
      </c>
      <c r="Q136" s="1" t="b">
        <f t="shared" si="122"/>
        <v>1</v>
      </c>
      <c r="R136" s="6" t="b">
        <f t="shared" si="123"/>
        <v>1</v>
      </c>
      <c r="S136" s="6" t="b">
        <f t="shared" si="124"/>
        <v>1</v>
      </c>
      <c r="T136" s="6" t="b">
        <f t="shared" si="125"/>
        <v>1</v>
      </c>
    </row>
    <row r="137" spans="1:20" x14ac:dyDescent="0.15">
      <c r="B137" s="6"/>
      <c r="C137" s="7"/>
      <c r="D137" s="6" t="s">
        <v>359</v>
      </c>
      <c r="E137" s="9" t="s">
        <v>662</v>
      </c>
      <c r="F137" s="7">
        <v>10</v>
      </c>
      <c r="G137" s="6"/>
      <c r="H137" s="6"/>
      <c r="I137" s="1">
        <f t="shared" si="118"/>
        <v>5</v>
      </c>
      <c r="J137" s="6" t="b">
        <f t="shared" si="119"/>
        <v>1</v>
      </c>
      <c r="K137" s="6">
        <f t="shared" si="120"/>
        <v>3</v>
      </c>
      <c r="L137" s="6">
        <f t="shared" si="121"/>
        <v>0</v>
      </c>
      <c r="M137" s="1">
        <v>5</v>
      </c>
      <c r="N137" s="6" t="b">
        <v>1</v>
      </c>
      <c r="O137" s="6">
        <v>3</v>
      </c>
      <c r="P137" s="6">
        <v>0</v>
      </c>
      <c r="Q137" s="1" t="b">
        <f t="shared" si="122"/>
        <v>1</v>
      </c>
      <c r="R137" s="6" t="b">
        <f t="shared" si="123"/>
        <v>1</v>
      </c>
      <c r="S137" s="6" t="b">
        <f t="shared" si="124"/>
        <v>1</v>
      </c>
      <c r="T137" s="6" t="b">
        <f t="shared" si="125"/>
        <v>1</v>
      </c>
    </row>
    <row r="138" spans="1:20" x14ac:dyDescent="0.15">
      <c r="B138" s="6"/>
      <c r="C138" s="7" t="s">
        <v>653</v>
      </c>
      <c r="D138" s="6" t="s">
        <v>658</v>
      </c>
      <c r="E138" s="9" t="s">
        <v>654</v>
      </c>
      <c r="F138" s="7">
        <v>10</v>
      </c>
      <c r="G138" s="6"/>
      <c r="H138" s="6"/>
      <c r="I138" s="1">
        <f t="shared" si="118"/>
        <v>3</v>
      </c>
      <c r="J138" s="6" t="b">
        <f t="shared" si="119"/>
        <v>0</v>
      </c>
      <c r="K138" s="6">
        <f t="shared" si="120"/>
        <v>0</v>
      </c>
      <c r="L138" s="6" t="e">
        <f t="shared" si="121"/>
        <v>#NUM!</v>
      </c>
      <c r="M138" s="1">
        <v>3</v>
      </c>
      <c r="N138" s="6" t="b">
        <v>0</v>
      </c>
      <c r="O138" s="6">
        <v>0</v>
      </c>
      <c r="P138" s="6" t="e">
        <v>#NUM!</v>
      </c>
      <c r="Q138" s="1" t="b">
        <f t="shared" si="122"/>
        <v>1</v>
      </c>
      <c r="R138" s="6" t="b">
        <f t="shared" si="123"/>
        <v>1</v>
      </c>
      <c r="S138" s="6" t="b">
        <f t="shared" si="124"/>
        <v>1</v>
      </c>
      <c r="T138" s="6" t="b">
        <f t="shared" si="125"/>
        <v>1</v>
      </c>
    </row>
    <row r="139" spans="1:20" x14ac:dyDescent="0.15">
      <c r="B139" s="6"/>
      <c r="C139" s="7"/>
      <c r="D139" s="6" t="s">
        <v>359</v>
      </c>
      <c r="E139" s="9" t="s">
        <v>663</v>
      </c>
      <c r="F139" s="7">
        <v>10</v>
      </c>
      <c r="G139" s="6"/>
      <c r="H139" s="6"/>
      <c r="I139" s="1">
        <f t="shared" si="118"/>
        <v>4</v>
      </c>
      <c r="J139" s="6" t="b">
        <f t="shared" si="119"/>
        <v>1</v>
      </c>
      <c r="K139" s="6">
        <f t="shared" si="120"/>
        <v>0</v>
      </c>
      <c r="L139" s="6" t="e">
        <f t="shared" si="121"/>
        <v>#NUM!</v>
      </c>
      <c r="M139" s="1">
        <v>4</v>
      </c>
      <c r="N139" s="6" t="b">
        <v>1</v>
      </c>
      <c r="O139" s="6">
        <v>0</v>
      </c>
      <c r="P139" s="6" t="e">
        <v>#NUM!</v>
      </c>
      <c r="Q139" s="1" t="b">
        <f t="shared" si="122"/>
        <v>1</v>
      </c>
      <c r="R139" s="6" t="b">
        <f t="shared" si="123"/>
        <v>1</v>
      </c>
      <c r="S139" s="6" t="b">
        <f t="shared" si="124"/>
        <v>1</v>
      </c>
      <c r="T139" s="6" t="b">
        <f t="shared" si="125"/>
        <v>1</v>
      </c>
    </row>
    <row r="140" spans="1:20" x14ac:dyDescent="0.15">
      <c r="B140" s="6"/>
      <c r="C140" s="7" t="s">
        <v>652</v>
      </c>
      <c r="D140" s="6" t="s">
        <v>658</v>
      </c>
      <c r="E140" s="9" t="s">
        <v>655</v>
      </c>
      <c r="F140" s="7">
        <v>10</v>
      </c>
      <c r="G140" s="6"/>
      <c r="H140" s="6"/>
      <c r="I140" s="1">
        <f t="shared" si="118"/>
        <v>7</v>
      </c>
      <c r="J140" s="6" t="b">
        <f t="shared" si="119"/>
        <v>0</v>
      </c>
      <c r="K140" s="6">
        <f t="shared" si="120"/>
        <v>5</v>
      </c>
      <c r="L140" s="6">
        <f t="shared" si="121"/>
        <v>0</v>
      </c>
      <c r="M140" s="1">
        <v>7</v>
      </c>
      <c r="N140" s="6" t="b">
        <v>0</v>
      </c>
      <c r="O140" s="6">
        <v>5</v>
      </c>
      <c r="P140" s="6">
        <v>0</v>
      </c>
      <c r="Q140" s="1" t="b">
        <f t="shared" si="122"/>
        <v>1</v>
      </c>
      <c r="R140" s="6" t="b">
        <f t="shared" si="123"/>
        <v>1</v>
      </c>
      <c r="S140" s="6" t="b">
        <f t="shared" si="124"/>
        <v>1</v>
      </c>
      <c r="T140" s="6" t="b">
        <f t="shared" si="125"/>
        <v>1</v>
      </c>
    </row>
    <row r="141" spans="1:20" x14ac:dyDescent="0.15">
      <c r="B141" s="6"/>
      <c r="C141" s="7"/>
      <c r="D141" s="6" t="s">
        <v>359</v>
      </c>
      <c r="E141" s="9" t="s">
        <v>664</v>
      </c>
      <c r="F141" s="7">
        <v>10</v>
      </c>
      <c r="G141" s="6"/>
      <c r="H141" s="6"/>
      <c r="I141" s="1">
        <f t="shared" si="118"/>
        <v>8</v>
      </c>
      <c r="J141" s="6" t="b">
        <f t="shared" si="119"/>
        <v>1</v>
      </c>
      <c r="K141" s="6">
        <f t="shared" si="120"/>
        <v>6</v>
      </c>
      <c r="L141" s="6">
        <f t="shared" si="121"/>
        <v>0</v>
      </c>
      <c r="M141" s="1">
        <v>8</v>
      </c>
      <c r="N141" s="6" t="b">
        <v>1</v>
      </c>
      <c r="O141" s="6">
        <v>6</v>
      </c>
      <c r="P141" s="6">
        <v>0</v>
      </c>
      <c r="Q141" s="1" t="b">
        <f t="shared" si="122"/>
        <v>1</v>
      </c>
      <c r="R141" s="6" t="b">
        <f t="shared" si="123"/>
        <v>1</v>
      </c>
      <c r="S141" s="6" t="b">
        <f t="shared" si="124"/>
        <v>1</v>
      </c>
      <c r="T141" s="6" t="b">
        <f t="shared" si="125"/>
        <v>1</v>
      </c>
    </row>
    <row r="142" spans="1:20" x14ac:dyDescent="0.15">
      <c r="B142" s="6"/>
      <c r="C142" s="7" t="s">
        <v>656</v>
      </c>
      <c r="D142" s="6" t="s">
        <v>658</v>
      </c>
      <c r="E142" s="9" t="s">
        <v>657</v>
      </c>
      <c r="F142" s="7">
        <v>10</v>
      </c>
      <c r="G142" s="6"/>
      <c r="H142" s="6"/>
      <c r="I142" s="1">
        <f t="shared" si="118"/>
        <v>9</v>
      </c>
      <c r="J142" s="6" t="b">
        <f t="shared" si="119"/>
        <v>0</v>
      </c>
      <c r="K142" s="6">
        <f t="shared" si="120"/>
        <v>0</v>
      </c>
      <c r="L142" s="6" t="e">
        <f t="shared" si="121"/>
        <v>#NUM!</v>
      </c>
      <c r="M142" s="1">
        <v>9</v>
      </c>
      <c r="N142" s="6" t="b">
        <v>0</v>
      </c>
      <c r="O142" s="6">
        <v>0</v>
      </c>
      <c r="P142" s="6" t="e">
        <v>#NUM!</v>
      </c>
      <c r="Q142" s="1" t="b">
        <f t="shared" si="122"/>
        <v>1</v>
      </c>
      <c r="R142" s="6" t="b">
        <f t="shared" si="123"/>
        <v>1</v>
      </c>
      <c r="S142" s="6" t="b">
        <f t="shared" si="124"/>
        <v>1</v>
      </c>
      <c r="T142" s="6" t="b">
        <f t="shared" si="125"/>
        <v>1</v>
      </c>
    </row>
    <row r="143" spans="1:20" x14ac:dyDescent="0.15">
      <c r="B143" s="6"/>
      <c r="C143" s="6"/>
      <c r="D143" s="6" t="s">
        <v>359</v>
      </c>
      <c r="E143" s="9" t="s">
        <v>665</v>
      </c>
      <c r="F143" s="7">
        <v>10</v>
      </c>
      <c r="G143" s="6"/>
      <c r="H143" s="6"/>
      <c r="I143" s="1">
        <f t="shared" si="118"/>
        <v>10</v>
      </c>
      <c r="J143" s="6" t="b">
        <f t="shared" si="119"/>
        <v>1</v>
      </c>
      <c r="K143" s="6">
        <f t="shared" si="120"/>
        <v>0</v>
      </c>
      <c r="L143" s="6" t="e">
        <f t="shared" si="121"/>
        <v>#NUM!</v>
      </c>
      <c r="M143" s="1">
        <v>10</v>
      </c>
      <c r="N143" s="6" t="b">
        <v>1</v>
      </c>
      <c r="O143" s="6">
        <v>0</v>
      </c>
      <c r="P143" s="6" t="e">
        <v>#NUM!</v>
      </c>
      <c r="Q143" s="1" t="b">
        <f t="shared" si="122"/>
        <v>1</v>
      </c>
      <c r="R143" s="6" t="b">
        <f t="shared" si="123"/>
        <v>1</v>
      </c>
      <c r="S143" s="6" t="b">
        <f t="shared" si="124"/>
        <v>1</v>
      </c>
      <c r="T143" s="6" t="b">
        <f t="shared" si="125"/>
        <v>1</v>
      </c>
    </row>
    <row r="144" spans="1:20" s="2" customFormat="1" x14ac:dyDescent="0.15">
      <c r="A144" s="2" t="s">
        <v>212</v>
      </c>
      <c r="B144" s="2" t="s">
        <v>213</v>
      </c>
      <c r="C144" s="2" t="s">
        <v>214</v>
      </c>
      <c r="E144" s="11">
        <v>0</v>
      </c>
      <c r="F144" s="13">
        <v>0</v>
      </c>
      <c r="G144" s="2">
        <v>2</v>
      </c>
      <c r="I144" s="3" t="str">
        <f>TESTadd(E144,F144,G144)</f>
        <v>0</v>
      </c>
      <c r="M144" s="3" t="s">
        <v>14</v>
      </c>
      <c r="Q144" s="3" t="b">
        <f t="shared" ref="Q144:Q147" si="126">getText(I144)=getText(M144)</f>
        <v>1</v>
      </c>
    </row>
    <row r="145" spans="2:19" x14ac:dyDescent="0.15">
      <c r="C145" t="s">
        <v>215</v>
      </c>
      <c r="E145" s="9">
        <v>0</v>
      </c>
      <c r="F145" s="17" t="s">
        <v>217</v>
      </c>
      <c r="G145">
        <v>2</v>
      </c>
      <c r="I145" s="1" t="str">
        <f t="shared" ref="I145:I147" si="127">TESTadd(E145,F145,G145)</f>
        <v>00</v>
      </c>
      <c r="M145" s="1" t="s">
        <v>98</v>
      </c>
      <c r="Q145" s="1" t="b">
        <f t="shared" si="126"/>
        <v>1</v>
      </c>
      <c r="R145" s="6"/>
      <c r="S145" s="6"/>
    </row>
    <row r="146" spans="2:19" x14ac:dyDescent="0.15">
      <c r="C146" t="s">
        <v>216</v>
      </c>
      <c r="E146" s="9" t="s">
        <v>217</v>
      </c>
      <c r="F146" s="17" t="s">
        <v>121</v>
      </c>
      <c r="G146">
        <v>2</v>
      </c>
      <c r="I146" s="1" t="str">
        <f t="shared" si="127"/>
        <v>00</v>
      </c>
      <c r="M146" s="1" t="s">
        <v>98</v>
      </c>
      <c r="Q146" s="1" t="b">
        <f>getText(I146)=getText(M146)</f>
        <v>1</v>
      </c>
      <c r="R146" s="6"/>
      <c r="S146" s="6"/>
    </row>
    <row r="147" spans="2:19" x14ac:dyDescent="0.15">
      <c r="B147" s="2" t="s">
        <v>218</v>
      </c>
      <c r="C147" s="2" t="s">
        <v>219</v>
      </c>
      <c r="D147" s="2" t="s">
        <v>220</v>
      </c>
      <c r="E147" s="3">
        <v>1</v>
      </c>
      <c r="F147" s="2">
        <v>1</v>
      </c>
      <c r="G147" s="2">
        <v>2</v>
      </c>
      <c r="H147" s="2"/>
      <c r="I147" s="3" t="str">
        <f t="shared" si="127"/>
        <v>10</v>
      </c>
      <c r="J147" s="2"/>
      <c r="K147" s="2"/>
      <c r="L147" s="2"/>
      <c r="M147" s="3" t="s">
        <v>15</v>
      </c>
      <c r="N147" s="2"/>
      <c r="O147" s="2"/>
      <c r="P147" s="2"/>
      <c r="Q147" s="3" t="b">
        <f t="shared" si="126"/>
        <v>1</v>
      </c>
      <c r="R147" s="6"/>
      <c r="S147" s="6"/>
    </row>
    <row r="148" spans="2:19" x14ac:dyDescent="0.15">
      <c r="D148" t="s">
        <v>221</v>
      </c>
      <c r="E148" s="1">
        <v>9</v>
      </c>
      <c r="F148">
        <v>1</v>
      </c>
      <c r="G148">
        <v>10</v>
      </c>
      <c r="I148" s="1" t="str">
        <f t="shared" ref="I148:I149" si="128">TESTadd(E148,F148,G148)</f>
        <v>10</v>
      </c>
      <c r="M148" s="1" t="s">
        <v>15</v>
      </c>
      <c r="Q148" s="1" t="b">
        <f t="shared" ref="Q148:Q149" si="129">getText(I148)=getText(M148)</f>
        <v>1</v>
      </c>
      <c r="R148" s="6"/>
      <c r="S148" s="6"/>
    </row>
    <row r="149" spans="2:19" x14ac:dyDescent="0.15">
      <c r="D149" t="s">
        <v>222</v>
      </c>
      <c r="E149" s="9" t="s">
        <v>223</v>
      </c>
      <c r="F149" s="17">
        <v>1</v>
      </c>
      <c r="G149">
        <v>16</v>
      </c>
      <c r="I149" s="1" t="str">
        <f t="shared" si="128"/>
        <v>10</v>
      </c>
      <c r="M149" s="1" t="s">
        <v>15</v>
      </c>
      <c r="Q149" s="1" t="b">
        <f t="shared" si="129"/>
        <v>1</v>
      </c>
      <c r="R149" s="6"/>
      <c r="S149" s="6"/>
    </row>
    <row r="150" spans="2:19" x14ac:dyDescent="0.15">
      <c r="C150" s="2" t="s">
        <v>224</v>
      </c>
      <c r="D150" s="2" t="s">
        <v>220</v>
      </c>
      <c r="E150" s="11" t="s">
        <v>226</v>
      </c>
      <c r="F150" s="13" t="s">
        <v>227</v>
      </c>
      <c r="G150" s="2">
        <v>2</v>
      </c>
      <c r="H150" s="2"/>
      <c r="I150" s="3" t="str">
        <f t="shared" ref="I150" si="130">TESTadd(E150,F150,G150)</f>
        <v>100</v>
      </c>
      <c r="J150" s="2"/>
      <c r="K150" s="2"/>
      <c r="L150" s="2"/>
      <c r="M150" s="3" t="s">
        <v>21</v>
      </c>
      <c r="N150" s="2"/>
      <c r="O150" s="2"/>
      <c r="P150" s="2"/>
      <c r="Q150" s="3" t="b">
        <f t="shared" ref="Q150:Q152" si="131">getText(I150)=getText(M150)</f>
        <v>1</v>
      </c>
      <c r="R150" s="6"/>
      <c r="S150" s="6"/>
    </row>
    <row r="151" spans="2:19" x14ac:dyDescent="0.15">
      <c r="D151" t="s">
        <v>221</v>
      </c>
      <c r="E151" s="9" t="s">
        <v>229</v>
      </c>
      <c r="F151" s="17" t="s">
        <v>230</v>
      </c>
      <c r="G151">
        <v>10</v>
      </c>
      <c r="I151" s="1" t="str">
        <f t="shared" ref="I151" si="132">TESTadd(E151,F151,G151)</f>
        <v>100</v>
      </c>
      <c r="M151" s="1" t="s">
        <v>21</v>
      </c>
      <c r="Q151" s="1" t="b">
        <f t="shared" si="131"/>
        <v>1</v>
      </c>
      <c r="R151" s="6"/>
      <c r="S151" s="6"/>
    </row>
    <row r="152" spans="2:19" x14ac:dyDescent="0.15">
      <c r="D152" t="s">
        <v>222</v>
      </c>
      <c r="E152" s="9" t="s">
        <v>231</v>
      </c>
      <c r="F152" s="17" t="s">
        <v>232</v>
      </c>
      <c r="G152">
        <v>16</v>
      </c>
      <c r="I152" s="1" t="str">
        <f t="shared" ref="I152" si="133">TESTadd(E152,F152,G152)</f>
        <v>100</v>
      </c>
      <c r="M152" s="1" t="s">
        <v>21</v>
      </c>
      <c r="Q152" s="1" t="b">
        <f t="shared" si="131"/>
        <v>1</v>
      </c>
      <c r="R152" s="6"/>
      <c r="S152" s="6"/>
    </row>
    <row r="153" spans="2:19" x14ac:dyDescent="0.15">
      <c r="C153" s="2" t="s">
        <v>225</v>
      </c>
      <c r="D153" s="2" t="s">
        <v>220</v>
      </c>
      <c r="E153" s="11" t="s">
        <v>233</v>
      </c>
      <c r="F153" s="13" t="s">
        <v>234</v>
      </c>
      <c r="G153" s="2">
        <v>2</v>
      </c>
      <c r="H153" s="2"/>
      <c r="I153" s="3" t="str">
        <f t="shared" ref="I153" si="134">TESTadd(E153,F153,G153)</f>
        <v>1000</v>
      </c>
      <c r="J153" s="2"/>
      <c r="K153" s="2"/>
      <c r="L153" s="2"/>
      <c r="M153" s="3" t="s">
        <v>34</v>
      </c>
      <c r="N153" s="2"/>
      <c r="O153" s="2"/>
      <c r="P153" s="2"/>
      <c r="Q153" s="3" t="b">
        <f t="shared" ref="Q153:Q155" si="135">getText(I153)=getText(M153)</f>
        <v>1</v>
      </c>
      <c r="R153" s="6"/>
      <c r="S153" s="6"/>
    </row>
    <row r="154" spans="2:19" x14ac:dyDescent="0.15">
      <c r="C154" s="6"/>
      <c r="D154" s="6" t="s">
        <v>221</v>
      </c>
      <c r="E154" s="9" t="s">
        <v>235</v>
      </c>
      <c r="F154" s="14" t="s">
        <v>236</v>
      </c>
      <c r="G154" s="6">
        <v>10</v>
      </c>
      <c r="H154" s="6"/>
      <c r="I154" s="1" t="str">
        <f t="shared" ref="I154:I155" si="136">TESTadd(E154,F154,G154)</f>
        <v>1000</v>
      </c>
      <c r="J154" s="6"/>
      <c r="K154" s="6"/>
      <c r="L154" s="6"/>
      <c r="M154" s="1" t="s">
        <v>34</v>
      </c>
      <c r="N154" s="6"/>
      <c r="O154" s="6"/>
      <c r="P154" s="6"/>
      <c r="Q154" s="1" t="b">
        <f t="shared" si="135"/>
        <v>1</v>
      </c>
      <c r="R154" s="6"/>
      <c r="S154" s="6"/>
    </row>
    <row r="155" spans="2:19" x14ac:dyDescent="0.15">
      <c r="D155" t="s">
        <v>222</v>
      </c>
      <c r="E155" s="9" t="s">
        <v>237</v>
      </c>
      <c r="F155" s="17" t="s">
        <v>236</v>
      </c>
      <c r="G155">
        <v>16</v>
      </c>
      <c r="I155" s="1" t="str">
        <f t="shared" si="136"/>
        <v>1000</v>
      </c>
      <c r="M155" s="1" t="s">
        <v>34</v>
      </c>
      <c r="Q155" s="1" t="b">
        <f t="shared" si="135"/>
        <v>1</v>
      </c>
      <c r="R155" s="6"/>
      <c r="S155" s="6"/>
    </row>
    <row r="156" spans="2:19" x14ac:dyDescent="0.15">
      <c r="B156" s="2" t="s">
        <v>246</v>
      </c>
      <c r="C156" s="2" t="s">
        <v>265</v>
      </c>
      <c r="D156" s="2" t="s">
        <v>220</v>
      </c>
      <c r="E156" s="11" t="s">
        <v>269</v>
      </c>
      <c r="F156" s="13" t="s">
        <v>269</v>
      </c>
      <c r="G156" s="2">
        <v>2</v>
      </c>
      <c r="H156" s="2"/>
      <c r="I156" s="3" t="str">
        <f t="shared" ref="I156:I166" si="137">TESTadd(E156,F156,G156)</f>
        <v>0</v>
      </c>
      <c r="J156" s="2"/>
      <c r="K156" s="2"/>
      <c r="L156" s="2"/>
      <c r="M156" s="3" t="s">
        <v>14</v>
      </c>
      <c r="N156" s="2"/>
      <c r="O156" s="2"/>
      <c r="P156" s="2"/>
      <c r="Q156" s="3" t="b">
        <f t="shared" ref="Q156:Q158" si="138">getText(I156)=getText(M156)</f>
        <v>1</v>
      </c>
      <c r="R156" s="6"/>
      <c r="S156" s="6"/>
    </row>
    <row r="157" spans="2:19" x14ac:dyDescent="0.15">
      <c r="B157" t="s">
        <v>333</v>
      </c>
      <c r="D157" s="6" t="s">
        <v>221</v>
      </c>
      <c r="E157" s="9" t="s">
        <v>270</v>
      </c>
      <c r="F157" s="17" t="s">
        <v>271</v>
      </c>
      <c r="G157" s="6">
        <v>10</v>
      </c>
      <c r="I157" s="1" t="str">
        <f t="shared" si="137"/>
        <v>0</v>
      </c>
      <c r="M157" s="1" t="s">
        <v>14</v>
      </c>
      <c r="Q157" s="1" t="b">
        <f t="shared" si="138"/>
        <v>1</v>
      </c>
      <c r="R157" s="6"/>
      <c r="S157" s="6"/>
    </row>
    <row r="158" spans="2:19" x14ac:dyDescent="0.15">
      <c r="B158" t="s">
        <v>334</v>
      </c>
      <c r="D158" t="s">
        <v>222</v>
      </c>
      <c r="E158" s="9" t="s">
        <v>271</v>
      </c>
      <c r="F158" s="17" t="s">
        <v>271</v>
      </c>
      <c r="G158">
        <v>16</v>
      </c>
      <c r="I158" s="1" t="str">
        <f t="shared" si="137"/>
        <v>0</v>
      </c>
      <c r="M158" s="1" t="s">
        <v>14</v>
      </c>
      <c r="Q158" s="1" t="b">
        <f t="shared" si="138"/>
        <v>1</v>
      </c>
      <c r="R158" s="6"/>
      <c r="S158" s="6"/>
    </row>
    <row r="159" spans="2:19" x14ac:dyDescent="0.15">
      <c r="C159" s="2" t="s">
        <v>266</v>
      </c>
      <c r="D159" s="2" t="s">
        <v>220</v>
      </c>
      <c r="E159" s="11" t="s">
        <v>269</v>
      </c>
      <c r="F159" s="13" t="s">
        <v>272</v>
      </c>
      <c r="G159" s="2">
        <v>2</v>
      </c>
      <c r="H159" s="2"/>
      <c r="I159" s="3" t="str">
        <f t="shared" si="137"/>
        <v>1</v>
      </c>
      <c r="J159" s="2"/>
      <c r="K159" s="2"/>
      <c r="L159" s="2"/>
      <c r="M159" s="3" t="s">
        <v>44</v>
      </c>
      <c r="N159" s="2"/>
      <c r="O159" s="2"/>
      <c r="P159" s="2"/>
      <c r="Q159" s="3" t="b">
        <f t="shared" ref="Q159:Q165" si="139">getText(I159)=getText(M159)</f>
        <v>1</v>
      </c>
      <c r="R159" s="6"/>
      <c r="S159" s="6"/>
    </row>
    <row r="160" spans="2:19" x14ac:dyDescent="0.15">
      <c r="D160" s="6" t="s">
        <v>221</v>
      </c>
      <c r="E160" s="9" t="s">
        <v>270</v>
      </c>
      <c r="F160" s="17" t="s">
        <v>273</v>
      </c>
      <c r="G160" s="6">
        <v>10</v>
      </c>
      <c r="I160" s="1" t="str">
        <f t="shared" si="137"/>
        <v>9</v>
      </c>
      <c r="M160" s="1" t="s">
        <v>101</v>
      </c>
      <c r="Q160" s="1" t="b">
        <f t="shared" si="139"/>
        <v>1</v>
      </c>
      <c r="R160" s="6"/>
      <c r="S160" s="6"/>
    </row>
    <row r="161" spans="2:19" x14ac:dyDescent="0.15">
      <c r="D161" t="s">
        <v>222</v>
      </c>
      <c r="E161" s="9" t="s">
        <v>269</v>
      </c>
      <c r="F161" s="17" t="s">
        <v>274</v>
      </c>
      <c r="G161">
        <v>16</v>
      </c>
      <c r="I161" s="1" t="str">
        <f t="shared" si="137"/>
        <v>F</v>
      </c>
      <c r="M161" s="1" t="s">
        <v>99</v>
      </c>
      <c r="Q161" s="1" t="b">
        <f t="shared" si="139"/>
        <v>1</v>
      </c>
      <c r="R161" s="6"/>
      <c r="S161" s="6"/>
    </row>
    <row r="162" spans="2:19" x14ac:dyDescent="0.15">
      <c r="C162" s="2" t="s">
        <v>267</v>
      </c>
      <c r="D162" s="2" t="s">
        <v>220</v>
      </c>
      <c r="E162" s="11" t="s">
        <v>44</v>
      </c>
      <c r="F162" s="13" t="s">
        <v>271</v>
      </c>
      <c r="G162" s="2">
        <v>2</v>
      </c>
      <c r="H162" s="2"/>
      <c r="I162" s="3" t="str">
        <f t="shared" si="137"/>
        <v>1</v>
      </c>
      <c r="J162" s="2"/>
      <c r="K162" s="2"/>
      <c r="L162" s="2"/>
      <c r="M162" s="3" t="s">
        <v>44</v>
      </c>
      <c r="N162" s="2"/>
      <c r="O162" s="2"/>
      <c r="P162" s="2"/>
      <c r="Q162" s="3" t="b">
        <f t="shared" si="139"/>
        <v>1</v>
      </c>
      <c r="R162" s="6"/>
      <c r="S162" s="6"/>
    </row>
    <row r="163" spans="2:19" x14ac:dyDescent="0.15">
      <c r="D163" s="6" t="s">
        <v>221</v>
      </c>
      <c r="E163" s="9" t="s">
        <v>101</v>
      </c>
      <c r="F163" s="14" t="s">
        <v>275</v>
      </c>
      <c r="G163" s="6">
        <v>10</v>
      </c>
      <c r="H163" s="6"/>
      <c r="I163" s="1" t="str">
        <f t="shared" si="137"/>
        <v>9</v>
      </c>
      <c r="J163" s="6"/>
      <c r="K163" s="6"/>
      <c r="L163" s="6"/>
      <c r="M163" s="1" t="s">
        <v>101</v>
      </c>
      <c r="N163" s="6"/>
      <c r="O163" s="6"/>
      <c r="P163" s="6"/>
      <c r="Q163" s="1" t="b">
        <f t="shared" si="139"/>
        <v>1</v>
      </c>
      <c r="R163" s="6"/>
      <c r="S163" s="6"/>
    </row>
    <row r="164" spans="2:19" x14ac:dyDescent="0.15">
      <c r="D164" t="s">
        <v>222</v>
      </c>
      <c r="E164" s="9" t="s">
        <v>99</v>
      </c>
      <c r="F164" s="17" t="s">
        <v>271</v>
      </c>
      <c r="G164">
        <v>16</v>
      </c>
      <c r="I164" s="1" t="str">
        <f t="shared" si="137"/>
        <v>F</v>
      </c>
      <c r="M164" s="1" t="s">
        <v>99</v>
      </c>
      <c r="Q164" s="1" t="b">
        <f t="shared" si="139"/>
        <v>1</v>
      </c>
      <c r="R164" s="6"/>
      <c r="S164" s="6"/>
    </row>
    <row r="165" spans="2:19" x14ac:dyDescent="0.15">
      <c r="C165" s="2" t="s">
        <v>268</v>
      </c>
      <c r="D165" s="2" t="s">
        <v>220</v>
      </c>
      <c r="E165" s="11" t="s">
        <v>44</v>
      </c>
      <c r="F165" s="13" t="s">
        <v>44</v>
      </c>
      <c r="G165" s="2">
        <v>2</v>
      </c>
      <c r="H165" s="2"/>
      <c r="I165" s="3" t="str">
        <f t="shared" si="137"/>
        <v>10</v>
      </c>
      <c r="J165" s="2"/>
      <c r="K165" s="2"/>
      <c r="L165" s="2"/>
      <c r="M165" s="3" t="s">
        <v>15</v>
      </c>
      <c r="N165" s="2"/>
      <c r="O165" s="2"/>
      <c r="P165" s="2"/>
      <c r="Q165" s="3" t="b">
        <f t="shared" si="139"/>
        <v>1</v>
      </c>
      <c r="R165" s="6"/>
      <c r="S165" s="6"/>
    </row>
    <row r="166" spans="2:19" x14ac:dyDescent="0.15">
      <c r="D166" s="6" t="s">
        <v>284</v>
      </c>
      <c r="E166" s="9" t="s">
        <v>101</v>
      </c>
      <c r="F166" s="17" t="s">
        <v>101</v>
      </c>
      <c r="G166" s="6">
        <v>10</v>
      </c>
      <c r="I166" s="1" t="str">
        <f t="shared" si="137"/>
        <v>18</v>
      </c>
      <c r="M166" s="1" t="s">
        <v>255</v>
      </c>
      <c r="Q166" s="1" t="b">
        <f t="shared" ref="Q166:Q169" si="140">getText(I166)=getText(M166)</f>
        <v>1</v>
      </c>
      <c r="R166" s="6"/>
      <c r="S166" s="6"/>
    </row>
    <row r="167" spans="2:19" x14ac:dyDescent="0.15">
      <c r="D167" t="s">
        <v>285</v>
      </c>
      <c r="E167" s="9" t="s">
        <v>288</v>
      </c>
      <c r="F167" s="17" t="s">
        <v>283</v>
      </c>
      <c r="G167" s="7">
        <v>10</v>
      </c>
      <c r="I167" s="1" t="str">
        <f t="shared" ref="I167:I169" si="141">TESTadd(E167,F167,G167)</f>
        <v>10</v>
      </c>
      <c r="M167" s="1" t="s">
        <v>15</v>
      </c>
      <c r="Q167" s="1" t="b">
        <f t="shared" si="140"/>
        <v>1</v>
      </c>
      <c r="R167" s="6"/>
      <c r="S167" s="6"/>
    </row>
    <row r="168" spans="2:19" x14ac:dyDescent="0.15">
      <c r="D168" t="s">
        <v>286</v>
      </c>
      <c r="E168" s="9" t="s">
        <v>99</v>
      </c>
      <c r="F168" s="17" t="s">
        <v>99</v>
      </c>
      <c r="G168">
        <v>16</v>
      </c>
      <c r="I168" s="1" t="str">
        <f t="shared" si="141"/>
        <v>1E</v>
      </c>
      <c r="M168" s="1" t="s">
        <v>256</v>
      </c>
      <c r="Q168" s="1" t="b">
        <f t="shared" si="140"/>
        <v>1</v>
      </c>
      <c r="R168" s="6"/>
      <c r="S168" s="6"/>
    </row>
    <row r="169" spans="2:19" x14ac:dyDescent="0.15">
      <c r="D169" t="s">
        <v>287</v>
      </c>
      <c r="E169" s="9" t="s">
        <v>289</v>
      </c>
      <c r="F169" s="17" t="s">
        <v>290</v>
      </c>
      <c r="G169">
        <v>16</v>
      </c>
      <c r="I169" s="1" t="str">
        <f t="shared" si="141"/>
        <v>10</v>
      </c>
      <c r="M169" s="1" t="s">
        <v>15</v>
      </c>
      <c r="Q169" s="1" t="b">
        <f t="shared" si="140"/>
        <v>1</v>
      </c>
      <c r="R169" s="6"/>
      <c r="S169" s="6"/>
    </row>
    <row r="170" spans="2:19" x14ac:dyDescent="0.15">
      <c r="B170" s="6"/>
      <c r="C170" s="2" t="s">
        <v>238</v>
      </c>
      <c r="D170" s="2" t="s">
        <v>220</v>
      </c>
      <c r="E170" s="11" t="s">
        <v>248</v>
      </c>
      <c r="F170" s="13" t="s">
        <v>259</v>
      </c>
      <c r="G170" s="2">
        <v>2</v>
      </c>
      <c r="H170" s="2"/>
      <c r="I170" s="3" t="str">
        <f t="shared" ref="I170" si="142">TESTadd(E170,F170,G170)</f>
        <v>01</v>
      </c>
      <c r="J170" s="2"/>
      <c r="K170" s="2"/>
      <c r="L170" s="2"/>
      <c r="M170" s="3" t="s">
        <v>248</v>
      </c>
      <c r="N170" s="2"/>
      <c r="O170" s="2"/>
      <c r="P170" s="2"/>
      <c r="Q170" s="3" t="b">
        <f t="shared" ref="Q170:Q172" si="143">getText(I170)=getText(M170)</f>
        <v>1</v>
      </c>
      <c r="R170" s="6"/>
      <c r="S170" s="6"/>
    </row>
    <row r="171" spans="2:19" x14ac:dyDescent="0.15">
      <c r="D171" t="s">
        <v>221</v>
      </c>
      <c r="E171" s="9" t="s">
        <v>250</v>
      </c>
      <c r="F171" s="17" t="s">
        <v>259</v>
      </c>
      <c r="G171">
        <v>10</v>
      </c>
      <c r="I171" s="1" t="str">
        <f t="shared" ref="I171" si="144">TESTadd(E171,F171,G171)</f>
        <v>09</v>
      </c>
      <c r="M171" s="1" t="s">
        <v>250</v>
      </c>
      <c r="Q171" s="1" t="b">
        <f t="shared" si="143"/>
        <v>1</v>
      </c>
      <c r="R171" s="6"/>
      <c r="S171" s="6"/>
    </row>
    <row r="172" spans="2:19" x14ac:dyDescent="0.15">
      <c r="D172" t="s">
        <v>222</v>
      </c>
      <c r="E172" s="9" t="s">
        <v>253</v>
      </c>
      <c r="F172" s="17" t="s">
        <v>247</v>
      </c>
      <c r="G172">
        <v>16</v>
      </c>
      <c r="I172" s="1" t="str">
        <f t="shared" ref="I172" si="145">TESTadd(E172,F172,G172)</f>
        <v>0F</v>
      </c>
      <c r="M172" s="1" t="s">
        <v>253</v>
      </c>
      <c r="Q172" s="1" t="b">
        <f t="shared" si="143"/>
        <v>1</v>
      </c>
      <c r="R172" s="6"/>
      <c r="S172" s="6"/>
    </row>
    <row r="173" spans="2:19" x14ac:dyDescent="0.15">
      <c r="C173" s="2" t="s">
        <v>239</v>
      </c>
      <c r="D173" s="2" t="s">
        <v>220</v>
      </c>
      <c r="E173" s="11" t="s">
        <v>249</v>
      </c>
      <c r="F173" s="13" t="s">
        <v>249</v>
      </c>
      <c r="G173" s="2">
        <v>2</v>
      </c>
      <c r="H173" s="2"/>
      <c r="I173" s="3" t="str">
        <f t="shared" ref="I173" si="146">TESTadd(E173,F173,G173)</f>
        <v>10</v>
      </c>
      <c r="J173" s="2"/>
      <c r="K173" s="2"/>
      <c r="L173" s="2"/>
      <c r="M173" s="3" t="s">
        <v>15</v>
      </c>
      <c r="N173" s="2"/>
      <c r="O173" s="2"/>
      <c r="P173" s="2"/>
      <c r="Q173" s="3" t="b">
        <f t="shared" ref="Q173:Q175" si="147">getText(I173)=getText(M173)</f>
        <v>1</v>
      </c>
      <c r="R173" s="6"/>
      <c r="S173" s="6"/>
    </row>
    <row r="174" spans="2:19" x14ac:dyDescent="0.15">
      <c r="D174" t="s">
        <v>221</v>
      </c>
      <c r="E174" s="9" t="s">
        <v>251</v>
      </c>
      <c r="F174" s="17" t="s">
        <v>252</v>
      </c>
      <c r="G174">
        <v>10</v>
      </c>
      <c r="I174" s="1" t="str">
        <f t="shared" ref="I174" si="148">TESTadd(E174,F174,G174)</f>
        <v>18</v>
      </c>
      <c r="M174" s="1" t="s">
        <v>255</v>
      </c>
      <c r="Q174" s="1" t="b">
        <f t="shared" si="147"/>
        <v>1</v>
      </c>
      <c r="R174" s="6"/>
      <c r="S174" s="6"/>
    </row>
    <row r="175" spans="2:19" x14ac:dyDescent="0.15">
      <c r="D175" t="s">
        <v>222</v>
      </c>
      <c r="E175" s="9" t="s">
        <v>254</v>
      </c>
      <c r="F175" s="17" t="s">
        <v>254</v>
      </c>
      <c r="G175">
        <v>16</v>
      </c>
      <c r="I175" s="1" t="str">
        <f t="shared" ref="I175" si="149">TESTadd(E175,F175,G175)</f>
        <v>1E</v>
      </c>
      <c r="M175" s="1" t="s">
        <v>256</v>
      </c>
      <c r="Q175" s="1" t="b">
        <f t="shared" si="147"/>
        <v>1</v>
      </c>
      <c r="R175" s="6"/>
      <c r="S175" s="6"/>
    </row>
    <row r="176" spans="2:19" x14ac:dyDescent="0.15">
      <c r="C176" s="2" t="s">
        <v>240</v>
      </c>
      <c r="D176" s="2" t="s">
        <v>220</v>
      </c>
      <c r="E176" s="11" t="s">
        <v>248</v>
      </c>
      <c r="F176" s="13" t="s">
        <v>257</v>
      </c>
      <c r="G176" s="2">
        <v>2</v>
      </c>
      <c r="H176" s="2"/>
      <c r="I176" s="3" t="str">
        <f t="shared" ref="I176:I178" si="150">TESTadd(E176,F176,G176)</f>
        <v>11</v>
      </c>
      <c r="J176" s="2"/>
      <c r="K176" s="2"/>
      <c r="L176" s="2"/>
      <c r="M176" s="3" t="s">
        <v>18</v>
      </c>
      <c r="N176" s="2"/>
      <c r="O176" s="2"/>
      <c r="P176" s="2"/>
      <c r="Q176" s="3" t="b">
        <f t="shared" ref="Q176:Q178" si="151">getText(I176)=getText(M176)</f>
        <v>1</v>
      </c>
      <c r="R176" s="6"/>
      <c r="S176" s="6"/>
    </row>
    <row r="177" spans="3:19" x14ac:dyDescent="0.15">
      <c r="D177" t="s">
        <v>221</v>
      </c>
      <c r="E177" s="9" t="s">
        <v>250</v>
      </c>
      <c r="F177" s="17" t="s">
        <v>260</v>
      </c>
      <c r="G177">
        <v>10</v>
      </c>
      <c r="I177" s="1" t="str">
        <f t="shared" si="150"/>
        <v>99</v>
      </c>
      <c r="M177" s="1" t="s">
        <v>228</v>
      </c>
      <c r="Q177" s="1" t="b">
        <f t="shared" si="151"/>
        <v>1</v>
      </c>
      <c r="R177" s="6"/>
      <c r="S177" s="6"/>
    </row>
    <row r="178" spans="3:19" x14ac:dyDescent="0.15">
      <c r="D178" t="s">
        <v>222</v>
      </c>
      <c r="E178" s="9" t="s">
        <v>253</v>
      </c>
      <c r="F178" s="17" t="s">
        <v>261</v>
      </c>
      <c r="G178">
        <v>16</v>
      </c>
      <c r="I178" s="1" t="str">
        <f t="shared" si="150"/>
        <v>FF</v>
      </c>
      <c r="M178" s="1" t="s">
        <v>22</v>
      </c>
      <c r="Q178" s="1" t="b">
        <f t="shared" si="151"/>
        <v>1</v>
      </c>
      <c r="R178" s="6"/>
      <c r="S178" s="6"/>
    </row>
    <row r="179" spans="3:19" x14ac:dyDescent="0.15">
      <c r="C179" s="2" t="s">
        <v>241</v>
      </c>
      <c r="D179" s="2" t="s">
        <v>220</v>
      </c>
      <c r="E179" s="11" t="s">
        <v>249</v>
      </c>
      <c r="F179" s="13" t="s">
        <v>226</v>
      </c>
      <c r="G179" s="2">
        <v>2</v>
      </c>
      <c r="H179" s="2"/>
      <c r="I179" s="3" t="str">
        <f t="shared" ref="I179:I181" si="152">TESTadd(E179,F179,G179)</f>
        <v>100</v>
      </c>
      <c r="J179" s="2"/>
      <c r="K179" s="2"/>
      <c r="L179" s="2"/>
      <c r="M179" s="3" t="s">
        <v>21</v>
      </c>
      <c r="N179" s="2"/>
      <c r="O179" s="2"/>
      <c r="P179" s="2"/>
      <c r="Q179" s="3" t="b">
        <f t="shared" ref="Q179:Q181" si="153">getText(I179)=getText(M179)</f>
        <v>1</v>
      </c>
      <c r="R179" s="6"/>
      <c r="S179" s="6"/>
    </row>
    <row r="180" spans="3:19" x14ac:dyDescent="0.15">
      <c r="C180" s="6"/>
      <c r="D180" s="6" t="s">
        <v>221</v>
      </c>
      <c r="E180" s="9" t="s">
        <v>251</v>
      </c>
      <c r="F180" s="14" t="s">
        <v>262</v>
      </c>
      <c r="G180" s="6">
        <v>10</v>
      </c>
      <c r="H180" s="6"/>
      <c r="I180" s="1" t="str">
        <f t="shared" si="152"/>
        <v>108</v>
      </c>
      <c r="J180" s="6"/>
      <c r="K180" s="6"/>
      <c r="L180" s="6"/>
      <c r="M180" s="1" t="s">
        <v>263</v>
      </c>
      <c r="N180" s="6"/>
      <c r="O180" s="6"/>
      <c r="P180" s="6"/>
      <c r="Q180" s="1" t="b">
        <f t="shared" si="153"/>
        <v>1</v>
      </c>
      <c r="R180" s="6"/>
      <c r="S180" s="6"/>
    </row>
    <row r="181" spans="3:19" x14ac:dyDescent="0.15">
      <c r="D181" t="s">
        <v>222</v>
      </c>
      <c r="E181" s="9" t="s">
        <v>254</v>
      </c>
      <c r="F181" s="17" t="s">
        <v>231</v>
      </c>
      <c r="G181">
        <v>16</v>
      </c>
      <c r="I181" s="1" t="str">
        <f t="shared" si="152"/>
        <v>10E</v>
      </c>
      <c r="M181" s="1" t="s">
        <v>264</v>
      </c>
      <c r="Q181" s="1" t="b">
        <f t="shared" si="153"/>
        <v>1</v>
      </c>
      <c r="R181" s="6"/>
      <c r="S181" s="6"/>
    </row>
    <row r="182" spans="3:19" x14ac:dyDescent="0.15">
      <c r="C182" s="2" t="s">
        <v>242</v>
      </c>
      <c r="D182" s="2" t="s">
        <v>220</v>
      </c>
      <c r="E182" s="11" t="s">
        <v>276</v>
      </c>
      <c r="F182" s="13" t="s">
        <v>258</v>
      </c>
      <c r="G182" s="2">
        <v>2</v>
      </c>
      <c r="H182" s="2"/>
      <c r="I182" s="3" t="str">
        <f t="shared" ref="I182:I184" si="154">TESTadd(E182,F182,G182)</f>
        <v>100</v>
      </c>
      <c r="J182" s="2"/>
      <c r="K182" s="2"/>
      <c r="L182" s="2"/>
      <c r="M182" s="3" t="s">
        <v>21</v>
      </c>
      <c r="N182" s="2"/>
      <c r="O182" s="2"/>
      <c r="P182" s="2"/>
      <c r="Q182" s="3" t="b">
        <f t="shared" ref="Q182:Q184" si="155">getText(I182)=getText(M182)</f>
        <v>1</v>
      </c>
      <c r="R182" s="6"/>
      <c r="S182" s="6"/>
    </row>
    <row r="183" spans="3:19" x14ac:dyDescent="0.15">
      <c r="C183" s="6"/>
      <c r="D183" s="6" t="s">
        <v>221</v>
      </c>
      <c r="E183" s="9" t="s">
        <v>262</v>
      </c>
      <c r="F183" s="14" t="s">
        <v>251</v>
      </c>
      <c r="G183" s="6">
        <v>10</v>
      </c>
      <c r="H183" s="6"/>
      <c r="I183" s="1" t="str">
        <f t="shared" si="154"/>
        <v>108</v>
      </c>
      <c r="J183" s="6"/>
      <c r="K183" s="6"/>
      <c r="L183" s="6"/>
      <c r="M183" s="1" t="s">
        <v>263</v>
      </c>
      <c r="N183" s="6"/>
      <c r="O183" s="6"/>
      <c r="P183" s="6"/>
      <c r="Q183" s="1" t="b">
        <f t="shared" si="155"/>
        <v>1</v>
      </c>
      <c r="R183" s="6"/>
      <c r="S183" s="6"/>
    </row>
    <row r="184" spans="3:19" x14ac:dyDescent="0.15">
      <c r="C184" s="6"/>
      <c r="D184" s="6" t="s">
        <v>222</v>
      </c>
      <c r="E184" s="9" t="s">
        <v>231</v>
      </c>
      <c r="F184" s="14" t="s">
        <v>254</v>
      </c>
      <c r="G184" s="6">
        <v>16</v>
      </c>
      <c r="H184" s="6"/>
      <c r="I184" s="1" t="str">
        <f t="shared" si="154"/>
        <v>10E</v>
      </c>
      <c r="J184" s="6"/>
      <c r="K184" s="6"/>
      <c r="L184" s="6"/>
      <c r="M184" s="1" t="s">
        <v>264</v>
      </c>
      <c r="N184" s="6"/>
      <c r="O184" s="6"/>
      <c r="P184" s="6"/>
      <c r="Q184" s="1" t="b">
        <f t="shared" si="155"/>
        <v>1</v>
      </c>
      <c r="R184" s="6"/>
      <c r="S184" s="6"/>
    </row>
    <row r="185" spans="3:19" x14ac:dyDescent="0.15">
      <c r="C185" s="2" t="s">
        <v>243</v>
      </c>
      <c r="D185" s="2" t="s">
        <v>220</v>
      </c>
      <c r="E185" s="11" t="s">
        <v>276</v>
      </c>
      <c r="F185" s="13" t="s">
        <v>258</v>
      </c>
      <c r="G185" s="2">
        <v>2</v>
      </c>
      <c r="H185" s="2"/>
      <c r="I185" s="3" t="str">
        <f t="shared" ref="I185:I187" si="156">TESTadd(E185,F185,G185)</f>
        <v>100</v>
      </c>
      <c r="J185" s="2"/>
      <c r="K185" s="2"/>
      <c r="L185" s="2"/>
      <c r="M185" s="3" t="s">
        <v>21</v>
      </c>
      <c r="N185" s="2"/>
      <c r="O185" s="2"/>
      <c r="P185" s="2"/>
      <c r="Q185" s="3" t="b">
        <f t="shared" ref="Q185:Q187" si="157">getText(I185)=getText(M185)</f>
        <v>1</v>
      </c>
      <c r="R185" s="6"/>
      <c r="S185" s="6"/>
    </row>
    <row r="186" spans="3:19" x14ac:dyDescent="0.15">
      <c r="C186" s="6"/>
      <c r="D186" s="6" t="s">
        <v>221</v>
      </c>
      <c r="E186" s="9" t="s">
        <v>262</v>
      </c>
      <c r="F186" s="14" t="s">
        <v>251</v>
      </c>
      <c r="G186" s="6">
        <v>10</v>
      </c>
      <c r="H186" s="6"/>
      <c r="I186" s="1" t="str">
        <f t="shared" si="156"/>
        <v>108</v>
      </c>
      <c r="J186" s="6"/>
      <c r="K186" s="6"/>
      <c r="L186" s="6"/>
      <c r="M186" s="1" t="s">
        <v>263</v>
      </c>
      <c r="N186" s="6"/>
      <c r="O186" s="6"/>
      <c r="P186" s="6"/>
      <c r="Q186" s="1" t="b">
        <f t="shared" si="157"/>
        <v>1</v>
      </c>
      <c r="R186" s="6"/>
      <c r="S186" s="6"/>
    </row>
    <row r="187" spans="3:19" x14ac:dyDescent="0.15">
      <c r="C187" s="6"/>
      <c r="D187" s="6" t="s">
        <v>222</v>
      </c>
      <c r="E187" s="9" t="s">
        <v>231</v>
      </c>
      <c r="F187" s="14" t="s">
        <v>254</v>
      </c>
      <c r="G187" s="6">
        <v>16</v>
      </c>
      <c r="H187" s="6"/>
      <c r="I187" s="1" t="str">
        <f t="shared" si="156"/>
        <v>10E</v>
      </c>
      <c r="J187" s="6"/>
      <c r="K187" s="6"/>
      <c r="L187" s="6"/>
      <c r="M187" s="1" t="s">
        <v>264</v>
      </c>
      <c r="N187" s="6"/>
      <c r="O187" s="6"/>
      <c r="P187" s="6"/>
      <c r="Q187" s="1" t="b">
        <f t="shared" si="157"/>
        <v>1</v>
      </c>
      <c r="R187" s="6"/>
      <c r="S187" s="6"/>
    </row>
    <row r="188" spans="3:19" x14ac:dyDescent="0.15">
      <c r="C188" s="2" t="s">
        <v>244</v>
      </c>
      <c r="D188" s="2" t="s">
        <v>220</v>
      </c>
      <c r="E188" s="11" t="s">
        <v>276</v>
      </c>
      <c r="F188" s="13" t="s">
        <v>277</v>
      </c>
      <c r="G188" s="2">
        <v>2</v>
      </c>
      <c r="H188" s="2"/>
      <c r="I188" s="3" t="str">
        <f t="shared" ref="I188:I190" si="158">TESTadd(E188,F188,G188)</f>
        <v>101</v>
      </c>
      <c r="J188" s="2"/>
      <c r="K188" s="2"/>
      <c r="L188" s="2"/>
      <c r="M188" s="3" t="s">
        <v>280</v>
      </c>
      <c r="N188" s="2"/>
      <c r="O188" s="2"/>
      <c r="P188" s="2"/>
      <c r="Q188" s="3" t="b">
        <f t="shared" ref="Q188:Q190" si="159">getText(I188)=getText(M188)</f>
        <v>1</v>
      </c>
      <c r="R188" s="6"/>
      <c r="S188" s="6"/>
    </row>
    <row r="189" spans="3:19" x14ac:dyDescent="0.15">
      <c r="C189" s="6"/>
      <c r="D189" s="6" t="s">
        <v>221</v>
      </c>
      <c r="E189" s="9" t="s">
        <v>262</v>
      </c>
      <c r="F189" s="14" t="s">
        <v>278</v>
      </c>
      <c r="G189" s="6">
        <v>10</v>
      </c>
      <c r="H189" s="6"/>
      <c r="I189" s="1" t="str">
        <f t="shared" si="158"/>
        <v>189</v>
      </c>
      <c r="J189" s="6"/>
      <c r="K189" s="6"/>
      <c r="L189" s="6"/>
      <c r="M189" s="1" t="s">
        <v>281</v>
      </c>
      <c r="N189" s="6"/>
      <c r="O189" s="6"/>
      <c r="P189" s="6"/>
      <c r="Q189" s="1" t="b">
        <f t="shared" si="159"/>
        <v>1</v>
      </c>
      <c r="R189" s="6"/>
      <c r="S189" s="6"/>
    </row>
    <row r="190" spans="3:19" x14ac:dyDescent="0.15">
      <c r="C190" s="6"/>
      <c r="D190" s="6" t="s">
        <v>222</v>
      </c>
      <c r="E190" s="9" t="s">
        <v>231</v>
      </c>
      <c r="F190" s="14" t="s">
        <v>279</v>
      </c>
      <c r="G190" s="6">
        <v>16</v>
      </c>
      <c r="H190" s="6"/>
      <c r="I190" s="1" t="str">
        <f t="shared" si="158"/>
        <v>1EF</v>
      </c>
      <c r="J190" s="6"/>
      <c r="K190" s="6"/>
      <c r="L190" s="6"/>
      <c r="M190" s="1" t="s">
        <v>282</v>
      </c>
      <c r="N190" s="6"/>
      <c r="O190" s="6"/>
      <c r="P190" s="6"/>
      <c r="Q190" s="1" t="b">
        <f t="shared" si="159"/>
        <v>1</v>
      </c>
      <c r="R190" s="6"/>
      <c r="S190" s="6"/>
    </row>
    <row r="191" spans="3:19" x14ac:dyDescent="0.15">
      <c r="C191" s="2" t="s">
        <v>245</v>
      </c>
      <c r="D191" s="2" t="s">
        <v>220</v>
      </c>
      <c r="E191" s="11" t="s">
        <v>276</v>
      </c>
      <c r="F191" s="13" t="s">
        <v>276</v>
      </c>
      <c r="G191" s="2">
        <v>2</v>
      </c>
      <c r="H191" s="2"/>
      <c r="I191" s="3" t="str">
        <f t="shared" ref="I191:I193" si="160">TESTadd(E191,F191,G191)</f>
        <v>110</v>
      </c>
      <c r="J191" s="2"/>
      <c r="K191" s="2"/>
      <c r="L191" s="2"/>
      <c r="M191" s="3" t="s">
        <v>291</v>
      </c>
      <c r="N191" s="2"/>
      <c r="O191" s="2"/>
      <c r="P191" s="2"/>
      <c r="Q191" s="3" t="b">
        <f t="shared" ref="Q191:Q217" si="161">getText(I191)=getText(M191)</f>
        <v>1</v>
      </c>
      <c r="R191" s="6"/>
      <c r="S191" s="6"/>
    </row>
    <row r="192" spans="3:19" x14ac:dyDescent="0.15">
      <c r="C192" s="6"/>
      <c r="D192" s="6" t="s">
        <v>221</v>
      </c>
      <c r="E192" s="9" t="s">
        <v>262</v>
      </c>
      <c r="F192" s="14" t="s">
        <v>262</v>
      </c>
      <c r="G192" s="6">
        <v>10</v>
      </c>
      <c r="H192" s="6"/>
      <c r="I192" s="1" t="str">
        <f t="shared" si="160"/>
        <v>198</v>
      </c>
      <c r="J192" s="6"/>
      <c r="K192" s="6"/>
      <c r="L192" s="6"/>
      <c r="M192" s="1" t="s">
        <v>292</v>
      </c>
      <c r="N192" s="6"/>
      <c r="O192" s="6"/>
      <c r="P192" s="6"/>
      <c r="Q192" s="1" t="b">
        <f t="shared" si="161"/>
        <v>1</v>
      </c>
      <c r="R192" s="6"/>
      <c r="S192" s="6"/>
    </row>
    <row r="193" spans="1:19" x14ac:dyDescent="0.15">
      <c r="C193" s="6"/>
      <c r="D193" s="6" t="s">
        <v>222</v>
      </c>
      <c r="E193" s="9" t="s">
        <v>231</v>
      </c>
      <c r="F193" s="14" t="s">
        <v>231</v>
      </c>
      <c r="G193" s="6">
        <v>16</v>
      </c>
      <c r="H193" s="6"/>
      <c r="I193" s="1" t="str">
        <f t="shared" si="160"/>
        <v>1FE</v>
      </c>
      <c r="J193" s="6"/>
      <c r="K193" s="6"/>
      <c r="L193" s="6"/>
      <c r="M193" s="1" t="s">
        <v>293</v>
      </c>
      <c r="N193" s="6"/>
      <c r="O193" s="6"/>
      <c r="P193" s="6"/>
      <c r="Q193" s="1" t="b">
        <f t="shared" si="161"/>
        <v>1</v>
      </c>
      <c r="R193" s="6"/>
      <c r="S193" s="6"/>
    </row>
    <row r="194" spans="1:19" x14ac:dyDescent="0.15">
      <c r="A194" s="2" t="s">
        <v>477</v>
      </c>
      <c r="B194" s="2" t="s">
        <v>213</v>
      </c>
      <c r="C194" s="2" t="s">
        <v>214</v>
      </c>
      <c r="D194" s="2"/>
      <c r="E194" s="11">
        <v>0</v>
      </c>
      <c r="F194" s="13">
        <v>0</v>
      </c>
      <c r="G194" s="2">
        <v>2</v>
      </c>
      <c r="H194" s="2"/>
      <c r="I194" s="3" t="str">
        <f>TESTsubtract(E194,F194,G194)</f>
        <v>0</v>
      </c>
      <c r="J194" s="2" t="b">
        <f>TESTsubtractByRef1(E194,F194,G194)</f>
        <v>0</v>
      </c>
      <c r="K194" s="2"/>
      <c r="L194" s="2"/>
      <c r="M194" s="3" t="s">
        <v>14</v>
      </c>
      <c r="N194" s="2" t="b">
        <v>0</v>
      </c>
      <c r="O194" s="2"/>
      <c r="P194" s="2"/>
      <c r="Q194" s="3" t="b">
        <f t="shared" si="161"/>
        <v>1</v>
      </c>
      <c r="R194" s="2" t="b">
        <f t="shared" ref="R194:R217" si="162">getText(J194)=getText(N194)</f>
        <v>1</v>
      </c>
      <c r="S194" s="6"/>
    </row>
    <row r="195" spans="1:19" x14ac:dyDescent="0.15">
      <c r="C195" t="s">
        <v>215</v>
      </c>
      <c r="D195" s="6"/>
      <c r="E195" s="9">
        <v>0</v>
      </c>
      <c r="F195" s="17" t="s">
        <v>217</v>
      </c>
      <c r="G195">
        <v>2</v>
      </c>
      <c r="H195" s="6"/>
      <c r="I195" s="1" t="str">
        <f t="shared" ref="I195:I196" si="163">TESTsubtract(E195,F195,G195)</f>
        <v>00</v>
      </c>
      <c r="J195" s="6" t="b">
        <f t="shared" ref="J195:J196" si="164">TESTsubtractByRef1(E195,F195,G195)</f>
        <v>0</v>
      </c>
      <c r="K195" s="6"/>
      <c r="L195" s="6"/>
      <c r="M195" s="1" t="s">
        <v>98</v>
      </c>
      <c r="N195" s="6" t="b">
        <v>0</v>
      </c>
      <c r="O195" s="6"/>
      <c r="P195" s="6"/>
      <c r="Q195" s="1" t="b">
        <f t="shared" si="161"/>
        <v>1</v>
      </c>
      <c r="R195" s="6" t="b">
        <f t="shared" si="162"/>
        <v>1</v>
      </c>
      <c r="S195" s="6"/>
    </row>
    <row r="196" spans="1:19" x14ac:dyDescent="0.15">
      <c r="C196" t="s">
        <v>216</v>
      </c>
      <c r="D196" s="6"/>
      <c r="E196" s="9" t="s">
        <v>217</v>
      </c>
      <c r="F196" s="17" t="s">
        <v>121</v>
      </c>
      <c r="G196">
        <v>2</v>
      </c>
      <c r="H196" s="6"/>
      <c r="I196" s="1" t="str">
        <f t="shared" si="163"/>
        <v>00</v>
      </c>
      <c r="J196" s="6" t="b">
        <f t="shared" si="164"/>
        <v>0</v>
      </c>
      <c r="K196" s="6"/>
      <c r="L196" s="6"/>
      <c r="M196" s="1" t="s">
        <v>98</v>
      </c>
      <c r="N196" s="6" t="b">
        <v>0</v>
      </c>
      <c r="O196" s="6"/>
      <c r="P196" s="6"/>
      <c r="Q196" s="1" t="b">
        <f t="shared" si="161"/>
        <v>1</v>
      </c>
      <c r="R196" s="6" t="b">
        <f t="shared" si="162"/>
        <v>1</v>
      </c>
      <c r="S196" s="6"/>
    </row>
    <row r="197" spans="1:19" x14ac:dyDescent="0.15">
      <c r="B197" s="2" t="s">
        <v>478</v>
      </c>
      <c r="C197" s="2" t="s">
        <v>219</v>
      </c>
      <c r="D197" s="2" t="s">
        <v>46</v>
      </c>
      <c r="E197" s="11" t="s">
        <v>479</v>
      </c>
      <c r="F197" s="13" t="s">
        <v>480</v>
      </c>
      <c r="G197" s="2">
        <v>2</v>
      </c>
      <c r="H197" s="2"/>
      <c r="I197" s="3" t="str">
        <f t="shared" ref="I197" si="165">TESTsubtract(E197,F197,G197)</f>
        <v>0</v>
      </c>
      <c r="J197" s="2" t="b">
        <f t="shared" ref="J197" si="166">TESTsubtractByRef1(E197,F197,G197)</f>
        <v>0</v>
      </c>
      <c r="K197" s="2"/>
      <c r="L197" s="2"/>
      <c r="M197" s="3" t="s">
        <v>14</v>
      </c>
      <c r="N197" s="2" t="b">
        <v>0</v>
      </c>
      <c r="O197" s="2"/>
      <c r="P197" s="2"/>
      <c r="Q197" s="3" t="b">
        <f t="shared" si="161"/>
        <v>1</v>
      </c>
      <c r="R197" s="2" t="b">
        <f t="shared" si="162"/>
        <v>1</v>
      </c>
      <c r="S197" s="6"/>
    </row>
    <row r="198" spans="1:19" x14ac:dyDescent="0.15">
      <c r="D198" t="s">
        <v>47</v>
      </c>
      <c r="E198" s="9" t="s">
        <v>481</v>
      </c>
      <c r="F198" s="14" t="s">
        <v>481</v>
      </c>
      <c r="G198">
        <v>10</v>
      </c>
      <c r="H198" s="6"/>
      <c r="I198" s="1" t="str">
        <f t="shared" ref="I198" si="167">TESTsubtract(E198,F198,G198)</f>
        <v>0</v>
      </c>
      <c r="J198" s="6" t="b">
        <f t="shared" ref="J198" si="168">TESTsubtractByRef1(E198,F198,G198)</f>
        <v>0</v>
      </c>
      <c r="K198" s="6"/>
      <c r="L198" s="6"/>
      <c r="M198" s="1" t="s">
        <v>14</v>
      </c>
      <c r="N198" s="6" t="b">
        <v>0</v>
      </c>
      <c r="O198" s="6"/>
      <c r="P198" s="6"/>
      <c r="Q198" s="1" t="b">
        <f t="shared" si="161"/>
        <v>1</v>
      </c>
      <c r="R198" s="6" t="b">
        <f t="shared" si="162"/>
        <v>1</v>
      </c>
      <c r="S198" s="6"/>
    </row>
    <row r="199" spans="1:19" x14ac:dyDescent="0.15">
      <c r="D199" t="s">
        <v>49</v>
      </c>
      <c r="E199" s="9" t="s">
        <v>482</v>
      </c>
      <c r="F199" s="14" t="s">
        <v>482</v>
      </c>
      <c r="G199">
        <v>16</v>
      </c>
      <c r="H199" s="6"/>
      <c r="I199" s="1" t="str">
        <f t="shared" ref="I199:I202" si="169">TESTsubtract(E199,F199,G199)</f>
        <v>0</v>
      </c>
      <c r="J199" s="6" t="b">
        <f t="shared" ref="J199:J202" si="170">TESTsubtractByRef1(E199,F199,G199)</f>
        <v>0</v>
      </c>
      <c r="K199" s="6"/>
      <c r="L199" s="6"/>
      <c r="M199" s="1" t="s">
        <v>14</v>
      </c>
      <c r="N199" s="6" t="b">
        <v>0</v>
      </c>
      <c r="O199" s="6"/>
      <c r="P199" s="6"/>
      <c r="Q199" s="1" t="b">
        <f t="shared" si="161"/>
        <v>1</v>
      </c>
      <c r="R199" s="6" t="b">
        <f t="shared" si="162"/>
        <v>1</v>
      </c>
      <c r="S199" s="6"/>
    </row>
    <row r="200" spans="1:19" x14ac:dyDescent="0.15">
      <c r="C200" s="2" t="s">
        <v>224</v>
      </c>
      <c r="D200" s="2" t="s">
        <v>46</v>
      </c>
      <c r="E200" s="11" t="s">
        <v>483</v>
      </c>
      <c r="F200" s="13" t="s">
        <v>484</v>
      </c>
      <c r="G200" s="2">
        <v>2</v>
      </c>
      <c r="H200" s="2"/>
      <c r="I200" s="3" t="str">
        <f t="shared" si="169"/>
        <v>01</v>
      </c>
      <c r="J200" s="2" t="b">
        <f t="shared" si="170"/>
        <v>0</v>
      </c>
      <c r="K200" s="2"/>
      <c r="L200" s="2"/>
      <c r="M200" s="3" t="s">
        <v>248</v>
      </c>
      <c r="N200" s="2" t="b">
        <v>0</v>
      </c>
      <c r="O200" s="2"/>
      <c r="P200" s="2"/>
      <c r="Q200" s="3" t="b">
        <f t="shared" si="161"/>
        <v>1</v>
      </c>
      <c r="R200" s="2" t="b">
        <f t="shared" si="162"/>
        <v>1</v>
      </c>
      <c r="S200" s="6"/>
    </row>
    <row r="201" spans="1:19" x14ac:dyDescent="0.15">
      <c r="D201" t="s">
        <v>47</v>
      </c>
      <c r="E201" s="9" t="s">
        <v>483</v>
      </c>
      <c r="F201" s="14" t="s">
        <v>479</v>
      </c>
      <c r="G201">
        <v>10</v>
      </c>
      <c r="H201" s="6"/>
      <c r="I201" s="1" t="str">
        <f t="shared" si="169"/>
        <v>09</v>
      </c>
      <c r="J201" s="6" t="b">
        <f t="shared" si="170"/>
        <v>0</v>
      </c>
      <c r="K201" s="6"/>
      <c r="L201" s="6"/>
      <c r="M201" s="1" t="s">
        <v>250</v>
      </c>
      <c r="N201" s="6" t="b">
        <v>0</v>
      </c>
      <c r="O201" s="6"/>
      <c r="P201" s="6"/>
      <c r="Q201" s="1" t="b">
        <f t="shared" si="161"/>
        <v>1</v>
      </c>
      <c r="R201" s="6" t="b">
        <f t="shared" si="162"/>
        <v>1</v>
      </c>
      <c r="S201" s="6"/>
    </row>
    <row r="202" spans="1:19" x14ac:dyDescent="0.15">
      <c r="D202" t="s">
        <v>49</v>
      </c>
      <c r="E202" s="9" t="s">
        <v>483</v>
      </c>
      <c r="F202" s="14" t="s">
        <v>479</v>
      </c>
      <c r="G202">
        <v>16</v>
      </c>
      <c r="H202" s="6"/>
      <c r="I202" s="1" t="str">
        <f t="shared" si="169"/>
        <v>0F</v>
      </c>
      <c r="J202" s="6" t="b">
        <f t="shared" si="170"/>
        <v>0</v>
      </c>
      <c r="K202" s="6"/>
      <c r="L202" s="6"/>
      <c r="M202" s="1" t="s">
        <v>253</v>
      </c>
      <c r="N202" s="6" t="b">
        <v>0</v>
      </c>
      <c r="O202" s="6"/>
      <c r="P202" s="6"/>
      <c r="Q202" s="1" t="b">
        <f t="shared" si="161"/>
        <v>1</v>
      </c>
      <c r="R202" s="6" t="b">
        <f t="shared" si="162"/>
        <v>1</v>
      </c>
      <c r="S202" s="6"/>
    </row>
    <row r="203" spans="1:19" x14ac:dyDescent="0.15">
      <c r="C203" s="2" t="s">
        <v>225</v>
      </c>
      <c r="D203" s="2" t="s">
        <v>46</v>
      </c>
      <c r="E203" s="11" t="s">
        <v>485</v>
      </c>
      <c r="F203" s="13" t="s">
        <v>479</v>
      </c>
      <c r="G203" s="2">
        <v>2</v>
      </c>
      <c r="H203" s="2"/>
      <c r="I203" s="3" t="str">
        <f t="shared" ref="I203:I205" si="171">TESTsubtract(E203,F203,G203)</f>
        <v>011</v>
      </c>
      <c r="J203" s="2" t="b">
        <f t="shared" ref="J203:J205" si="172">TESTsubtractByRef1(E203,F203,G203)</f>
        <v>0</v>
      </c>
      <c r="K203" s="2"/>
      <c r="L203" s="2"/>
      <c r="M203" s="3" t="s">
        <v>78</v>
      </c>
      <c r="N203" s="2" t="b">
        <v>0</v>
      </c>
      <c r="O203" s="2"/>
      <c r="P203" s="2"/>
      <c r="Q203" s="3" t="b">
        <f t="shared" si="161"/>
        <v>1</v>
      </c>
      <c r="R203" s="2" t="b">
        <f t="shared" si="162"/>
        <v>1</v>
      </c>
      <c r="S203" s="6"/>
    </row>
    <row r="204" spans="1:19" x14ac:dyDescent="0.15">
      <c r="C204" s="6"/>
      <c r="D204" s="6" t="s">
        <v>47</v>
      </c>
      <c r="E204" s="9" t="s">
        <v>21</v>
      </c>
      <c r="F204" s="14" t="s">
        <v>486</v>
      </c>
      <c r="G204" s="6">
        <v>10</v>
      </c>
      <c r="H204" s="6"/>
      <c r="I204" s="1" t="str">
        <f t="shared" si="171"/>
        <v>099</v>
      </c>
      <c r="J204" s="6" t="b">
        <f t="shared" si="172"/>
        <v>0</v>
      </c>
      <c r="K204" s="6"/>
      <c r="L204" s="6"/>
      <c r="M204" s="1" t="s">
        <v>154</v>
      </c>
      <c r="N204" s="6" t="b">
        <v>0</v>
      </c>
      <c r="O204" s="6"/>
      <c r="P204" s="6"/>
      <c r="Q204" s="1" t="b">
        <f t="shared" si="161"/>
        <v>1</v>
      </c>
      <c r="R204" s="6" t="b">
        <f t="shared" si="162"/>
        <v>1</v>
      </c>
      <c r="S204" s="6"/>
    </row>
    <row r="205" spans="1:19" x14ac:dyDescent="0.15">
      <c r="D205" t="s">
        <v>49</v>
      </c>
      <c r="E205" s="9" t="s">
        <v>21</v>
      </c>
      <c r="F205" s="14" t="s">
        <v>479</v>
      </c>
      <c r="G205">
        <v>16</v>
      </c>
      <c r="H205" s="6"/>
      <c r="I205" s="1" t="str">
        <f t="shared" si="171"/>
        <v>0FF</v>
      </c>
      <c r="J205" s="6" t="b">
        <f t="shared" si="172"/>
        <v>0</v>
      </c>
      <c r="K205" s="6"/>
      <c r="L205" s="6"/>
      <c r="M205" s="1" t="s">
        <v>157</v>
      </c>
      <c r="N205" s="6" t="b">
        <v>0</v>
      </c>
      <c r="O205" s="6"/>
      <c r="P205" s="6"/>
      <c r="Q205" s="1" t="b">
        <f t="shared" si="161"/>
        <v>1</v>
      </c>
      <c r="R205" s="6" t="b">
        <f t="shared" si="162"/>
        <v>1</v>
      </c>
      <c r="S205" s="6"/>
    </row>
    <row r="206" spans="1:19" x14ac:dyDescent="0.15">
      <c r="B206" s="2" t="s">
        <v>487</v>
      </c>
      <c r="C206" s="2" t="s">
        <v>488</v>
      </c>
      <c r="D206" s="2" t="s">
        <v>46</v>
      </c>
      <c r="E206" s="11" t="s">
        <v>491</v>
      </c>
      <c r="F206" s="13" t="s">
        <v>493</v>
      </c>
      <c r="G206" s="2">
        <v>2</v>
      </c>
      <c r="H206" s="2"/>
      <c r="I206" s="3" t="str">
        <f t="shared" ref="I206:I214" si="173">TESTsubtract(E206,F206,G206)</f>
        <v>100</v>
      </c>
      <c r="J206" s="2" t="b">
        <f t="shared" ref="J206:J214" si="174">TESTsubtractByRef1(E206,F206,G206)</f>
        <v>0</v>
      </c>
      <c r="K206" s="2"/>
      <c r="L206" s="2"/>
      <c r="M206" s="3" t="s">
        <v>21</v>
      </c>
      <c r="N206" s="2" t="b">
        <v>0</v>
      </c>
      <c r="O206" s="2"/>
      <c r="P206" s="2"/>
      <c r="Q206" s="3" t="b">
        <f t="shared" si="161"/>
        <v>1</v>
      </c>
      <c r="R206" s="2" t="b">
        <f t="shared" si="162"/>
        <v>1</v>
      </c>
      <c r="S206" s="6"/>
    </row>
    <row r="207" spans="1:19" x14ac:dyDescent="0.15">
      <c r="C207" s="6"/>
      <c r="D207" s="6" t="s">
        <v>47</v>
      </c>
      <c r="E207" s="9" t="s">
        <v>496</v>
      </c>
      <c r="F207" s="14" t="s">
        <v>492</v>
      </c>
      <c r="G207" s="6">
        <v>10</v>
      </c>
      <c r="H207" s="6"/>
      <c r="I207" s="1" t="str">
        <f t="shared" si="173"/>
        <v>100</v>
      </c>
      <c r="J207" s="6" t="b">
        <f t="shared" si="174"/>
        <v>0</v>
      </c>
      <c r="K207" s="6"/>
      <c r="L207" s="6"/>
      <c r="M207" s="1" t="s">
        <v>21</v>
      </c>
      <c r="N207" s="6" t="b">
        <v>0</v>
      </c>
      <c r="O207" s="6"/>
      <c r="P207" s="6"/>
      <c r="Q207" s="1" t="b">
        <f t="shared" si="161"/>
        <v>1</v>
      </c>
      <c r="R207" s="6" t="b">
        <f t="shared" si="162"/>
        <v>1</v>
      </c>
      <c r="S207" s="6"/>
    </row>
    <row r="208" spans="1:19" x14ac:dyDescent="0.15">
      <c r="C208" s="6"/>
      <c r="D208" t="s">
        <v>49</v>
      </c>
      <c r="E208" s="9" t="s">
        <v>497</v>
      </c>
      <c r="F208" s="14" t="s">
        <v>495</v>
      </c>
      <c r="G208">
        <v>16</v>
      </c>
      <c r="H208" s="6"/>
      <c r="I208" s="1" t="str">
        <f t="shared" si="173"/>
        <v>100</v>
      </c>
      <c r="J208" s="6" t="b">
        <f t="shared" si="174"/>
        <v>0</v>
      </c>
      <c r="K208" s="6"/>
      <c r="L208" s="6"/>
      <c r="M208" s="1" t="s">
        <v>21</v>
      </c>
      <c r="N208" s="6" t="b">
        <v>0</v>
      </c>
      <c r="O208" s="6"/>
      <c r="P208" s="6"/>
      <c r="Q208" s="1" t="b">
        <f t="shared" si="161"/>
        <v>1</v>
      </c>
      <c r="R208" s="6" t="b">
        <f t="shared" si="162"/>
        <v>1</v>
      </c>
      <c r="S208" s="6"/>
    </row>
    <row r="209" spans="2:19" x14ac:dyDescent="0.15">
      <c r="C209" s="2" t="s">
        <v>489</v>
      </c>
      <c r="D209" s="2" t="s">
        <v>46</v>
      </c>
      <c r="E209" s="11" t="s">
        <v>18</v>
      </c>
      <c r="F209" s="13" t="s">
        <v>31</v>
      </c>
      <c r="G209" s="2">
        <v>2</v>
      </c>
      <c r="H209" s="2"/>
      <c r="I209" s="3" t="str">
        <f t="shared" si="173"/>
        <v>100</v>
      </c>
      <c r="J209" s="2" t="b">
        <f t="shared" si="174"/>
        <v>1</v>
      </c>
      <c r="K209" s="2"/>
      <c r="L209" s="2"/>
      <c r="M209" s="3" t="s">
        <v>21</v>
      </c>
      <c r="N209" s="2" t="b">
        <v>1</v>
      </c>
      <c r="O209" s="2"/>
      <c r="P209" s="2"/>
      <c r="Q209" s="3" t="b">
        <f t="shared" si="161"/>
        <v>1</v>
      </c>
      <c r="R209" s="2" t="b">
        <f t="shared" si="162"/>
        <v>1</v>
      </c>
      <c r="S209" s="6"/>
    </row>
    <row r="210" spans="2:19" x14ac:dyDescent="0.15">
      <c r="C210" s="6"/>
      <c r="D210" s="6" t="s">
        <v>47</v>
      </c>
      <c r="E210" s="9" t="s">
        <v>228</v>
      </c>
      <c r="F210" s="14" t="s">
        <v>496</v>
      </c>
      <c r="G210" s="6">
        <v>10</v>
      </c>
      <c r="H210" s="6"/>
      <c r="I210" s="1" t="str">
        <f t="shared" si="173"/>
        <v>100</v>
      </c>
      <c r="J210" s="6" t="b">
        <f t="shared" si="174"/>
        <v>1</v>
      </c>
      <c r="K210" s="6"/>
      <c r="L210" s="6"/>
      <c r="M210" s="1" t="s">
        <v>21</v>
      </c>
      <c r="N210" s="6" t="b">
        <v>1</v>
      </c>
      <c r="O210" s="6"/>
      <c r="P210" s="6"/>
      <c r="Q210" s="1" t="b">
        <f t="shared" si="161"/>
        <v>1</v>
      </c>
      <c r="R210" s="6" t="b">
        <f t="shared" si="162"/>
        <v>1</v>
      </c>
      <c r="S210" s="6"/>
    </row>
    <row r="211" spans="2:19" x14ac:dyDescent="0.15">
      <c r="C211" s="6"/>
      <c r="D211" t="s">
        <v>49</v>
      </c>
      <c r="E211" s="9" t="s">
        <v>22</v>
      </c>
      <c r="F211" s="14" t="s">
        <v>497</v>
      </c>
      <c r="G211">
        <v>16</v>
      </c>
      <c r="H211" s="6"/>
      <c r="I211" s="1" t="str">
        <f t="shared" si="173"/>
        <v>100</v>
      </c>
      <c r="J211" s="6" t="b">
        <f t="shared" si="174"/>
        <v>1</v>
      </c>
      <c r="K211" s="6"/>
      <c r="L211" s="6"/>
      <c r="M211" s="1" t="s">
        <v>21</v>
      </c>
      <c r="N211" s="6" t="b">
        <v>1</v>
      </c>
      <c r="O211" s="6"/>
      <c r="P211" s="6"/>
      <c r="Q211" s="1" t="b">
        <f t="shared" si="161"/>
        <v>1</v>
      </c>
      <c r="R211" s="6" t="b">
        <f t="shared" si="162"/>
        <v>1</v>
      </c>
      <c r="S211" s="6"/>
    </row>
    <row r="212" spans="2:19" x14ac:dyDescent="0.15">
      <c r="C212" s="2" t="s">
        <v>490</v>
      </c>
      <c r="D212" s="2" t="s">
        <v>46</v>
      </c>
      <c r="E212" s="11" t="s">
        <v>498</v>
      </c>
      <c r="F212" s="13" t="s">
        <v>499</v>
      </c>
      <c r="G212" s="2">
        <v>2</v>
      </c>
      <c r="H212" s="2"/>
      <c r="I212" s="3" t="str">
        <f t="shared" si="173"/>
        <v>001</v>
      </c>
      <c r="J212" s="2" t="b">
        <f t="shared" si="174"/>
        <v>0</v>
      </c>
      <c r="K212" s="2"/>
      <c r="L212" s="2"/>
      <c r="M212" s="3" t="s">
        <v>82</v>
      </c>
      <c r="N212" s="2" t="b">
        <v>0</v>
      </c>
      <c r="O212" s="2"/>
      <c r="P212" s="2"/>
      <c r="Q212" s="3" t="b">
        <f t="shared" si="161"/>
        <v>1</v>
      </c>
      <c r="R212" s="2" t="b">
        <f t="shared" si="162"/>
        <v>1</v>
      </c>
      <c r="S212" s="6"/>
    </row>
    <row r="213" spans="2:19" x14ac:dyDescent="0.15">
      <c r="C213" s="6"/>
      <c r="D213" s="6" t="s">
        <v>47</v>
      </c>
      <c r="E213" s="9" t="s">
        <v>500</v>
      </c>
      <c r="F213" s="14" t="s">
        <v>501</v>
      </c>
      <c r="G213" s="6">
        <v>10</v>
      </c>
      <c r="H213" s="6"/>
      <c r="I213" s="1" t="str">
        <f t="shared" si="173"/>
        <v>001</v>
      </c>
      <c r="J213" s="6" t="b">
        <f t="shared" si="174"/>
        <v>0</v>
      </c>
      <c r="K213" s="6"/>
      <c r="L213" s="6"/>
      <c r="M213" s="1" t="s">
        <v>82</v>
      </c>
      <c r="N213" s="6" t="b">
        <v>0</v>
      </c>
      <c r="O213" s="6"/>
      <c r="P213" s="6"/>
      <c r="Q213" s="1" t="b">
        <f t="shared" si="161"/>
        <v>1</v>
      </c>
      <c r="R213" s="6" t="b">
        <f t="shared" si="162"/>
        <v>1</v>
      </c>
      <c r="S213" s="6"/>
    </row>
    <row r="214" spans="2:19" x14ac:dyDescent="0.15">
      <c r="C214" s="6"/>
      <c r="D214" t="s">
        <v>49</v>
      </c>
      <c r="E214" s="9" t="s">
        <v>502</v>
      </c>
      <c r="F214" s="14" t="s">
        <v>503</v>
      </c>
      <c r="G214">
        <v>16</v>
      </c>
      <c r="H214" s="6"/>
      <c r="I214" s="1" t="str">
        <f t="shared" si="173"/>
        <v>001</v>
      </c>
      <c r="J214" s="6" t="b">
        <f t="shared" si="174"/>
        <v>0</v>
      </c>
      <c r="K214" s="6"/>
      <c r="L214" s="6"/>
      <c r="M214" s="1" t="s">
        <v>82</v>
      </c>
      <c r="N214" s="6" t="b">
        <v>0</v>
      </c>
      <c r="O214" s="6"/>
      <c r="P214" s="6"/>
      <c r="Q214" s="1" t="b">
        <f t="shared" si="161"/>
        <v>1</v>
      </c>
      <c r="R214" s="6" t="b">
        <f t="shared" si="162"/>
        <v>1</v>
      </c>
      <c r="S214" s="6"/>
    </row>
    <row r="215" spans="2:19" x14ac:dyDescent="0.15">
      <c r="C215" s="2" t="s">
        <v>504</v>
      </c>
      <c r="D215" s="2" t="s">
        <v>46</v>
      </c>
      <c r="E215" s="11" t="s">
        <v>505</v>
      </c>
      <c r="F215" s="13" t="s">
        <v>491</v>
      </c>
      <c r="G215" s="2">
        <v>2</v>
      </c>
      <c r="H215" s="2"/>
      <c r="I215" s="3" t="str">
        <f t="shared" ref="I215:I217" si="175">TESTsubtract(E215,F215,G215)</f>
        <v>001</v>
      </c>
      <c r="J215" s="2" t="b">
        <f t="shared" ref="J215:J217" si="176">TESTsubtractByRef1(E215,F215,G215)</f>
        <v>1</v>
      </c>
      <c r="K215" s="2"/>
      <c r="L215" s="2"/>
      <c r="M215" s="3" t="str">
        <f t="shared" ref="M215:M217" si="177">TESTsubtract(H215,I215,J215)</f>
        <v>001</v>
      </c>
      <c r="N215" s="2" t="b">
        <f t="shared" ref="N215:N217" si="178">TESTsubtractByRef1(H215,I215,J215)</f>
        <v>1</v>
      </c>
      <c r="O215" s="2"/>
      <c r="P215" s="2"/>
      <c r="Q215" s="3" t="b">
        <f t="shared" si="161"/>
        <v>1</v>
      </c>
      <c r="R215" s="2" t="b">
        <f t="shared" si="162"/>
        <v>1</v>
      </c>
      <c r="S215" s="6"/>
    </row>
    <row r="216" spans="2:19" x14ac:dyDescent="0.15">
      <c r="C216" s="6"/>
      <c r="D216" s="6" t="s">
        <v>47</v>
      </c>
      <c r="E216" s="9" t="s">
        <v>501</v>
      </c>
      <c r="F216" s="14" t="s">
        <v>500</v>
      </c>
      <c r="G216" s="6">
        <v>10</v>
      </c>
      <c r="H216" s="6"/>
      <c r="I216" s="1" t="str">
        <f t="shared" si="175"/>
        <v>001</v>
      </c>
      <c r="J216" s="6" t="b">
        <f t="shared" si="176"/>
        <v>1</v>
      </c>
      <c r="K216" s="6"/>
      <c r="L216" s="6"/>
      <c r="M216" s="1" t="str">
        <f t="shared" si="177"/>
        <v>001</v>
      </c>
      <c r="N216" s="6" t="b">
        <f t="shared" si="178"/>
        <v>1</v>
      </c>
      <c r="O216" s="6"/>
      <c r="P216" s="6"/>
      <c r="Q216" s="1" t="b">
        <f t="shared" si="161"/>
        <v>1</v>
      </c>
      <c r="R216" s="6" t="b">
        <f t="shared" si="162"/>
        <v>1</v>
      </c>
      <c r="S216" s="6"/>
    </row>
    <row r="217" spans="2:19" x14ac:dyDescent="0.15">
      <c r="C217" s="6"/>
      <c r="D217" t="s">
        <v>49</v>
      </c>
      <c r="E217" s="9" t="s">
        <v>506</v>
      </c>
      <c r="F217" s="14" t="s">
        <v>494</v>
      </c>
      <c r="G217">
        <v>16</v>
      </c>
      <c r="H217" s="6"/>
      <c r="I217" s="1" t="str">
        <f t="shared" si="175"/>
        <v>001</v>
      </c>
      <c r="J217" s="6" t="b">
        <f t="shared" si="176"/>
        <v>1</v>
      </c>
      <c r="K217" s="6"/>
      <c r="L217" s="6"/>
      <c r="M217" s="1" t="str">
        <f t="shared" si="177"/>
        <v>001</v>
      </c>
      <c r="N217" s="6" t="b">
        <f t="shared" si="178"/>
        <v>1</v>
      </c>
      <c r="O217" s="6"/>
      <c r="P217" s="6"/>
      <c r="Q217" s="1" t="b">
        <f t="shared" si="161"/>
        <v>1</v>
      </c>
      <c r="R217" s="6" t="b">
        <f t="shared" si="162"/>
        <v>1</v>
      </c>
      <c r="S217" s="6"/>
    </row>
    <row r="218" spans="2:19" x14ac:dyDescent="0.15">
      <c r="C218" s="2" t="s">
        <v>507</v>
      </c>
      <c r="D218" s="2" t="s">
        <v>46</v>
      </c>
      <c r="E218" s="11" t="s">
        <v>510</v>
      </c>
      <c r="F218" s="13" t="s">
        <v>493</v>
      </c>
      <c r="G218" s="2">
        <v>2</v>
      </c>
      <c r="H218" s="2"/>
      <c r="I218" s="3" t="str">
        <f t="shared" ref="I218:I220" si="179">TESTsubtract(E218,F218,G218)</f>
        <v>00001</v>
      </c>
      <c r="J218" s="2" t="b">
        <f t="shared" ref="J218:J220" si="180">TESTsubtractByRef1(E218,F218,G218)</f>
        <v>0</v>
      </c>
      <c r="K218" s="2"/>
      <c r="L218" s="2"/>
      <c r="M218" s="3" t="s">
        <v>519</v>
      </c>
      <c r="N218" s="2" t="b">
        <v>0</v>
      </c>
      <c r="O218" s="2"/>
      <c r="P218" s="2"/>
      <c r="Q218" s="3" t="b">
        <f t="shared" ref="Q218:Q220" si="181">getText(I218)=getText(M218)</f>
        <v>1</v>
      </c>
      <c r="R218" s="2" t="b">
        <f t="shared" ref="R218:R220" si="182">getText(J218)=getText(N218)</f>
        <v>1</v>
      </c>
      <c r="S218" s="6"/>
    </row>
    <row r="219" spans="2:19" x14ac:dyDescent="0.15">
      <c r="C219" s="6"/>
      <c r="D219" s="6" t="s">
        <v>47</v>
      </c>
      <c r="E219" s="9" t="s">
        <v>516</v>
      </c>
      <c r="F219" s="14" t="s">
        <v>512</v>
      </c>
      <c r="G219" s="6">
        <v>10</v>
      </c>
      <c r="H219" s="6"/>
      <c r="I219" s="1" t="str">
        <f t="shared" si="179"/>
        <v>00001</v>
      </c>
      <c r="J219" s="6" t="b">
        <f t="shared" si="180"/>
        <v>0</v>
      </c>
      <c r="K219" s="6"/>
      <c r="L219" s="6"/>
      <c r="M219" s="1" t="s">
        <v>519</v>
      </c>
      <c r="N219" s="6" t="b">
        <v>0</v>
      </c>
      <c r="O219" s="6"/>
      <c r="P219" s="6"/>
      <c r="Q219" s="1" t="b">
        <f t="shared" si="181"/>
        <v>1</v>
      </c>
      <c r="R219" s="6" t="b">
        <f t="shared" si="182"/>
        <v>1</v>
      </c>
      <c r="S219" s="6"/>
    </row>
    <row r="220" spans="2:19" x14ac:dyDescent="0.15">
      <c r="C220" s="6"/>
      <c r="D220" t="s">
        <v>49</v>
      </c>
      <c r="E220" s="9" t="s">
        <v>518</v>
      </c>
      <c r="F220" s="14" t="s">
        <v>514</v>
      </c>
      <c r="G220">
        <v>16</v>
      </c>
      <c r="H220" s="6"/>
      <c r="I220" s="1" t="str">
        <f t="shared" si="179"/>
        <v>00001</v>
      </c>
      <c r="J220" s="6" t="b">
        <f t="shared" si="180"/>
        <v>0</v>
      </c>
      <c r="K220" s="6"/>
      <c r="L220" s="6"/>
      <c r="M220" s="1" t="s">
        <v>519</v>
      </c>
      <c r="N220" s="6" t="b">
        <v>0</v>
      </c>
      <c r="O220" s="6"/>
      <c r="P220" s="6"/>
      <c r="Q220" s="1" t="b">
        <f t="shared" si="181"/>
        <v>1</v>
      </c>
      <c r="R220" s="6" t="b">
        <f t="shared" si="182"/>
        <v>1</v>
      </c>
      <c r="S220" s="6"/>
    </row>
    <row r="221" spans="2:19" x14ac:dyDescent="0.15">
      <c r="C221" s="2" t="s">
        <v>508</v>
      </c>
      <c r="D221" s="2" t="s">
        <v>46</v>
      </c>
      <c r="E221" s="11" t="s">
        <v>18</v>
      </c>
      <c r="F221" s="13" t="s">
        <v>509</v>
      </c>
      <c r="G221" s="2">
        <v>2</v>
      </c>
      <c r="H221" s="2"/>
      <c r="I221" s="3" t="str">
        <f t="shared" ref="I221:I223" si="183">TESTsubtract(E221,F221,G221)</f>
        <v>00001</v>
      </c>
      <c r="J221" s="2" t="b">
        <f t="shared" ref="J221:J223" si="184">TESTsubtractByRef1(E221,F221,G221)</f>
        <v>1</v>
      </c>
      <c r="K221" s="2"/>
      <c r="L221" s="2"/>
      <c r="M221" s="3" t="s">
        <v>519</v>
      </c>
      <c r="N221" s="2" t="b">
        <v>1</v>
      </c>
      <c r="O221" s="2"/>
      <c r="P221" s="2"/>
      <c r="Q221" s="3" t="b">
        <f t="shared" ref="Q221:Q223" si="185">getText(I221)=getText(M221)</f>
        <v>1</v>
      </c>
      <c r="R221" s="2" t="b">
        <f t="shared" ref="R221:R223" si="186">getText(J221)=getText(N221)</f>
        <v>1</v>
      </c>
      <c r="S221" s="6"/>
    </row>
    <row r="222" spans="2:19" x14ac:dyDescent="0.15">
      <c r="C222" s="6"/>
      <c r="D222" s="6" t="s">
        <v>47</v>
      </c>
      <c r="E222" s="9" t="s">
        <v>511</v>
      </c>
      <c r="F222" s="14" t="s">
        <v>515</v>
      </c>
      <c r="G222" s="6">
        <v>10</v>
      </c>
      <c r="H222" s="6"/>
      <c r="I222" s="1" t="str">
        <f t="shared" si="183"/>
        <v>00001</v>
      </c>
      <c r="J222" s="6" t="b">
        <f t="shared" si="184"/>
        <v>1</v>
      </c>
      <c r="K222" s="6"/>
      <c r="L222" s="6"/>
      <c r="M222" s="1" t="s">
        <v>519</v>
      </c>
      <c r="N222" s="6" t="b">
        <v>1</v>
      </c>
      <c r="O222" s="6"/>
      <c r="P222" s="6"/>
      <c r="Q222" s="1" t="b">
        <f t="shared" si="185"/>
        <v>1</v>
      </c>
      <c r="R222" s="6" t="b">
        <f t="shared" si="186"/>
        <v>1</v>
      </c>
      <c r="S222" s="6"/>
    </row>
    <row r="223" spans="2:19" x14ac:dyDescent="0.15">
      <c r="C223" s="6"/>
      <c r="D223" t="s">
        <v>49</v>
      </c>
      <c r="E223" s="9" t="s">
        <v>513</v>
      </c>
      <c r="F223" s="14" t="s">
        <v>517</v>
      </c>
      <c r="G223">
        <v>16</v>
      </c>
      <c r="H223" s="6"/>
      <c r="I223" s="1" t="str">
        <f t="shared" si="183"/>
        <v>00001</v>
      </c>
      <c r="J223" s="6" t="b">
        <f t="shared" si="184"/>
        <v>1</v>
      </c>
      <c r="K223" s="6"/>
      <c r="L223" s="6"/>
      <c r="M223" s="1" t="s">
        <v>519</v>
      </c>
      <c r="N223" s="6" t="b">
        <v>1</v>
      </c>
      <c r="O223" s="6"/>
      <c r="P223" s="6"/>
      <c r="Q223" s="1" t="b">
        <f t="shared" si="185"/>
        <v>1</v>
      </c>
      <c r="R223" s="6" t="b">
        <f t="shared" si="186"/>
        <v>1</v>
      </c>
      <c r="S223" s="6"/>
    </row>
    <row r="224" spans="2:19" x14ac:dyDescent="0.15">
      <c r="B224" s="2" t="s">
        <v>522</v>
      </c>
      <c r="C224" s="2" t="s">
        <v>265</v>
      </c>
      <c r="D224" s="2" t="s">
        <v>46</v>
      </c>
      <c r="E224" s="11" t="s">
        <v>520</v>
      </c>
      <c r="F224" s="13" t="s">
        <v>520</v>
      </c>
      <c r="G224" s="2">
        <v>2</v>
      </c>
      <c r="H224" s="2"/>
      <c r="I224" s="3" t="str">
        <f t="shared" ref="I224:I237" si="187">TESTsubtract(E224,F224,G224)</f>
        <v>00</v>
      </c>
      <c r="J224" s="2" t="b">
        <f t="shared" ref="J224:J237" si="188">TESTsubtractByRef1(E224,F224,G224)</f>
        <v>0</v>
      </c>
      <c r="K224" s="2"/>
      <c r="L224" s="2"/>
      <c r="M224" s="3" t="s">
        <v>98</v>
      </c>
      <c r="N224" s="2" t="b">
        <v>0</v>
      </c>
      <c r="O224" s="2"/>
      <c r="P224" s="2"/>
      <c r="Q224" s="3" t="b">
        <f t="shared" ref="Q224:Q237" si="189">getText(I224)=getText(M224)</f>
        <v>1</v>
      </c>
      <c r="R224" s="2" t="b">
        <f t="shared" ref="R224:R237" si="190">getText(J224)=getText(N224)</f>
        <v>1</v>
      </c>
      <c r="S224" s="6"/>
    </row>
    <row r="225" spans="2:19" x14ac:dyDescent="0.15">
      <c r="D225" s="6" t="s">
        <v>47</v>
      </c>
      <c r="E225" s="9" t="s">
        <v>521</v>
      </c>
      <c r="F225" s="17" t="s">
        <v>521</v>
      </c>
      <c r="G225" s="6">
        <v>10</v>
      </c>
      <c r="I225" s="1" t="str">
        <f t="shared" si="187"/>
        <v>00</v>
      </c>
      <c r="J225" t="b">
        <f t="shared" si="188"/>
        <v>0</v>
      </c>
      <c r="M225" s="1" t="s">
        <v>98</v>
      </c>
      <c r="N225" t="b">
        <v>0</v>
      </c>
      <c r="Q225" s="1" t="b">
        <f t="shared" si="189"/>
        <v>1</v>
      </c>
      <c r="R225" s="6" t="b">
        <f t="shared" si="190"/>
        <v>1</v>
      </c>
      <c r="S225" s="6"/>
    </row>
    <row r="226" spans="2:19" x14ac:dyDescent="0.15">
      <c r="D226" t="s">
        <v>49</v>
      </c>
      <c r="E226" s="9" t="s">
        <v>521</v>
      </c>
      <c r="F226" s="17" t="s">
        <v>521</v>
      </c>
      <c r="G226">
        <v>16</v>
      </c>
      <c r="I226" s="1" t="str">
        <f t="shared" si="187"/>
        <v>00</v>
      </c>
      <c r="J226" t="b">
        <f t="shared" si="188"/>
        <v>0</v>
      </c>
      <c r="M226" s="1" t="s">
        <v>98</v>
      </c>
      <c r="N226" t="b">
        <v>0</v>
      </c>
      <c r="Q226" s="1" t="b">
        <f t="shared" si="189"/>
        <v>1</v>
      </c>
      <c r="R226" s="6" t="b">
        <f t="shared" si="190"/>
        <v>1</v>
      </c>
      <c r="S226" s="6"/>
    </row>
    <row r="227" spans="2:19" x14ac:dyDescent="0.15">
      <c r="C227" s="2" t="s">
        <v>266</v>
      </c>
      <c r="D227" s="2" t="s">
        <v>46</v>
      </c>
      <c r="E227" s="11" t="s">
        <v>523</v>
      </c>
      <c r="F227" s="13" t="s">
        <v>538</v>
      </c>
      <c r="G227" s="2">
        <v>2</v>
      </c>
      <c r="H227" s="2"/>
      <c r="I227" s="3" t="str">
        <f t="shared" si="187"/>
        <v>01</v>
      </c>
      <c r="J227" s="2" t="b">
        <f t="shared" si="188"/>
        <v>0</v>
      </c>
      <c r="K227" s="2"/>
      <c r="L227" s="2"/>
      <c r="M227" s="3" t="s">
        <v>248</v>
      </c>
      <c r="N227" s="2" t="b">
        <v>0</v>
      </c>
      <c r="O227" s="2"/>
      <c r="P227" s="2"/>
      <c r="Q227" s="3" t="b">
        <f t="shared" si="189"/>
        <v>1</v>
      </c>
      <c r="R227" s="2" t="b">
        <f t="shared" si="190"/>
        <v>1</v>
      </c>
      <c r="S227" s="6"/>
    </row>
    <row r="228" spans="2:19" x14ac:dyDescent="0.15">
      <c r="D228" s="6" t="s">
        <v>47</v>
      </c>
      <c r="E228" s="9" t="s">
        <v>413</v>
      </c>
      <c r="F228" s="17" t="s">
        <v>113</v>
      </c>
      <c r="G228" s="6">
        <v>10</v>
      </c>
      <c r="I228" s="1" t="str">
        <f t="shared" si="187"/>
        <v>09</v>
      </c>
      <c r="J228" t="b">
        <f t="shared" si="188"/>
        <v>0</v>
      </c>
      <c r="M228" s="1" t="s">
        <v>250</v>
      </c>
      <c r="N228" t="b">
        <v>0</v>
      </c>
      <c r="Q228" s="1" t="b">
        <f t="shared" si="189"/>
        <v>1</v>
      </c>
      <c r="R228" s="6" t="b">
        <f t="shared" si="190"/>
        <v>1</v>
      </c>
      <c r="S228" s="6"/>
    </row>
    <row r="229" spans="2:19" x14ac:dyDescent="0.15">
      <c r="D229" t="s">
        <v>49</v>
      </c>
      <c r="E229" s="9" t="s">
        <v>558</v>
      </c>
      <c r="F229" s="17" t="s">
        <v>100</v>
      </c>
      <c r="G229">
        <v>16</v>
      </c>
      <c r="I229" s="1" t="str">
        <f t="shared" si="187"/>
        <v>0F</v>
      </c>
      <c r="J229" t="b">
        <f t="shared" si="188"/>
        <v>0</v>
      </c>
      <c r="M229" s="1" t="s">
        <v>253</v>
      </c>
      <c r="N229" t="b">
        <v>0</v>
      </c>
      <c r="Q229" s="1" t="b">
        <f t="shared" si="189"/>
        <v>1</v>
      </c>
      <c r="R229" s="6" t="b">
        <f t="shared" si="190"/>
        <v>1</v>
      </c>
      <c r="S229" s="6"/>
    </row>
    <row r="230" spans="2:19" x14ac:dyDescent="0.15">
      <c r="C230" s="2" t="s">
        <v>267</v>
      </c>
      <c r="D230" s="2" t="s">
        <v>46</v>
      </c>
      <c r="E230" s="11" t="s">
        <v>526</v>
      </c>
      <c r="F230" s="13" t="s">
        <v>524</v>
      </c>
      <c r="G230" s="2">
        <v>2</v>
      </c>
      <c r="H230" s="2"/>
      <c r="I230" s="3" t="str">
        <f t="shared" si="187"/>
        <v>1</v>
      </c>
      <c r="J230" s="2" t="b">
        <f t="shared" si="188"/>
        <v>0</v>
      </c>
      <c r="K230" s="2"/>
      <c r="L230" s="2"/>
      <c r="M230" s="3" t="s">
        <v>44</v>
      </c>
      <c r="N230" s="2" t="b">
        <v>0</v>
      </c>
      <c r="O230" s="2"/>
      <c r="P230" s="2"/>
      <c r="Q230" s="3" t="b">
        <f t="shared" si="189"/>
        <v>1</v>
      </c>
      <c r="R230" s="2" t="b">
        <f t="shared" si="190"/>
        <v>1</v>
      </c>
      <c r="S230" s="6"/>
    </row>
    <row r="231" spans="2:19" x14ac:dyDescent="0.15">
      <c r="D231" s="6" t="s">
        <v>47</v>
      </c>
      <c r="E231" s="9" t="s">
        <v>111</v>
      </c>
      <c r="F231" s="14" t="s">
        <v>524</v>
      </c>
      <c r="G231" s="6">
        <v>10</v>
      </c>
      <c r="H231" s="6"/>
      <c r="I231" s="1" t="str">
        <f t="shared" si="187"/>
        <v>1</v>
      </c>
      <c r="J231" s="6" t="b">
        <f t="shared" si="188"/>
        <v>0</v>
      </c>
      <c r="K231" s="6"/>
      <c r="L231" s="6"/>
      <c r="M231" s="1" t="s">
        <v>44</v>
      </c>
      <c r="N231" s="6" t="b">
        <v>0</v>
      </c>
      <c r="O231" s="6"/>
      <c r="P231" s="6"/>
      <c r="Q231" s="1" t="b">
        <f t="shared" si="189"/>
        <v>1</v>
      </c>
      <c r="R231" s="6" t="b">
        <f t="shared" si="190"/>
        <v>1</v>
      </c>
      <c r="S231" s="6"/>
    </row>
    <row r="232" spans="2:19" x14ac:dyDescent="0.15">
      <c r="D232" t="s">
        <v>49</v>
      </c>
      <c r="E232" s="9" t="s">
        <v>537</v>
      </c>
      <c r="F232" s="17" t="s">
        <v>525</v>
      </c>
      <c r="G232">
        <v>16</v>
      </c>
      <c r="I232" s="1" t="str">
        <f t="shared" si="187"/>
        <v>1</v>
      </c>
      <c r="J232" t="b">
        <f t="shared" si="188"/>
        <v>0</v>
      </c>
      <c r="M232" s="1" t="s">
        <v>44</v>
      </c>
      <c r="N232" t="b">
        <v>0</v>
      </c>
      <c r="Q232" s="1" t="b">
        <f t="shared" si="189"/>
        <v>1</v>
      </c>
      <c r="R232" s="6" t="b">
        <f t="shared" si="190"/>
        <v>1</v>
      </c>
      <c r="S232" s="6"/>
    </row>
    <row r="233" spans="2:19" x14ac:dyDescent="0.15">
      <c r="C233" s="2" t="s">
        <v>268</v>
      </c>
      <c r="D233" s="2" t="s">
        <v>46</v>
      </c>
      <c r="E233" s="11" t="s">
        <v>111</v>
      </c>
      <c r="F233" s="13" t="s">
        <v>111</v>
      </c>
      <c r="G233" s="2">
        <v>2</v>
      </c>
      <c r="H233" s="2"/>
      <c r="I233" s="3" t="str">
        <f t="shared" si="187"/>
        <v>0</v>
      </c>
      <c r="J233" s="2" t="b">
        <f t="shared" si="188"/>
        <v>0</v>
      </c>
      <c r="K233" s="2"/>
      <c r="L233" s="2"/>
      <c r="M233" s="3" t="s">
        <v>14</v>
      </c>
      <c r="N233" s="2" t="b">
        <v>0</v>
      </c>
      <c r="O233" s="2"/>
      <c r="P233" s="2"/>
      <c r="Q233" s="3" t="b">
        <f t="shared" si="189"/>
        <v>1</v>
      </c>
      <c r="R233" s="2" t="b">
        <f t="shared" si="190"/>
        <v>1</v>
      </c>
      <c r="S233" s="6"/>
    </row>
    <row r="234" spans="2:19" x14ac:dyDescent="0.15">
      <c r="D234" s="6" t="s">
        <v>284</v>
      </c>
      <c r="E234" s="9" t="s">
        <v>113</v>
      </c>
      <c r="F234" s="17" t="s">
        <v>113</v>
      </c>
      <c r="G234" s="6">
        <v>10</v>
      </c>
      <c r="I234" s="1" t="str">
        <f t="shared" si="187"/>
        <v>0</v>
      </c>
      <c r="J234" t="b">
        <f t="shared" si="188"/>
        <v>0</v>
      </c>
      <c r="M234" s="1" t="s">
        <v>14</v>
      </c>
      <c r="N234" t="b">
        <v>0</v>
      </c>
      <c r="Q234" s="1" t="b">
        <f t="shared" si="189"/>
        <v>1</v>
      </c>
      <c r="R234" s="6" t="b">
        <f t="shared" si="190"/>
        <v>1</v>
      </c>
      <c r="S234" s="6"/>
    </row>
    <row r="235" spans="2:19" x14ac:dyDescent="0.15">
      <c r="D235" t="s">
        <v>285</v>
      </c>
      <c r="E235" s="9" t="s">
        <v>111</v>
      </c>
      <c r="F235" s="17" t="s">
        <v>111</v>
      </c>
      <c r="G235" s="7">
        <v>10</v>
      </c>
      <c r="I235" s="1" t="str">
        <f t="shared" si="187"/>
        <v>0</v>
      </c>
      <c r="J235" t="b">
        <f t="shared" si="188"/>
        <v>0</v>
      </c>
      <c r="M235" s="1" t="s">
        <v>14</v>
      </c>
      <c r="N235" t="b">
        <v>0</v>
      </c>
      <c r="Q235" s="1" t="b">
        <f t="shared" si="189"/>
        <v>1</v>
      </c>
      <c r="R235" s="6" t="b">
        <f t="shared" si="190"/>
        <v>1</v>
      </c>
      <c r="S235" s="6"/>
    </row>
    <row r="236" spans="2:19" x14ac:dyDescent="0.15">
      <c r="D236" t="s">
        <v>286</v>
      </c>
      <c r="E236" s="9" t="s">
        <v>539</v>
      </c>
      <c r="F236" s="17" t="s">
        <v>539</v>
      </c>
      <c r="G236">
        <v>16</v>
      </c>
      <c r="I236" s="1" t="str">
        <f t="shared" si="187"/>
        <v>0</v>
      </c>
      <c r="J236" t="b">
        <f t="shared" si="188"/>
        <v>0</v>
      </c>
      <c r="M236" s="1" t="s">
        <v>14</v>
      </c>
      <c r="N236" t="b">
        <v>0</v>
      </c>
      <c r="Q236" s="1" t="b">
        <f t="shared" si="189"/>
        <v>1</v>
      </c>
      <c r="R236" s="6" t="b">
        <f t="shared" si="190"/>
        <v>1</v>
      </c>
      <c r="S236" s="6"/>
    </row>
    <row r="237" spans="2:19" x14ac:dyDescent="0.15">
      <c r="D237" t="s">
        <v>287</v>
      </c>
      <c r="E237" s="9" t="s">
        <v>111</v>
      </c>
      <c r="F237" s="17" t="s">
        <v>111</v>
      </c>
      <c r="G237">
        <v>16</v>
      </c>
      <c r="I237" s="1" t="str">
        <f t="shared" si="187"/>
        <v>0</v>
      </c>
      <c r="J237" t="b">
        <f t="shared" si="188"/>
        <v>0</v>
      </c>
      <c r="M237" s="1" t="s">
        <v>14</v>
      </c>
      <c r="N237" t="b">
        <v>0</v>
      </c>
      <c r="Q237" s="1" t="b">
        <f t="shared" si="189"/>
        <v>1</v>
      </c>
      <c r="R237" s="6" t="b">
        <f t="shared" si="190"/>
        <v>1</v>
      </c>
      <c r="S237" s="6"/>
    </row>
    <row r="238" spans="2:19" x14ac:dyDescent="0.15">
      <c r="B238" s="6"/>
      <c r="C238" s="2" t="s">
        <v>238</v>
      </c>
      <c r="D238" s="2" t="s">
        <v>46</v>
      </c>
      <c r="E238" s="11" t="s">
        <v>527</v>
      </c>
      <c r="F238" s="13" t="s">
        <v>527</v>
      </c>
      <c r="G238" s="2">
        <v>2</v>
      </c>
      <c r="H238" s="2"/>
      <c r="I238" s="3" t="str">
        <f t="shared" ref="I238:I240" si="191">TESTsubtract(E238,F238,G238)</f>
        <v>0</v>
      </c>
      <c r="J238" s="2" t="b">
        <f t="shared" ref="J238:J240" si="192">TESTsubtractByRef1(E238,F238,G238)</f>
        <v>0</v>
      </c>
      <c r="K238" s="2"/>
      <c r="L238" s="2"/>
      <c r="M238" s="3" t="s">
        <v>14</v>
      </c>
      <c r="N238" s="2" t="b">
        <v>0</v>
      </c>
      <c r="O238" s="2"/>
      <c r="P238" s="2"/>
      <c r="Q238" s="3" t="b">
        <f t="shared" ref="Q238:Q261" si="193">getText(I238)=getText(M238)</f>
        <v>1</v>
      </c>
      <c r="R238" s="2" t="b">
        <f t="shared" ref="R238:R261" si="194">getText(J238)=getText(N238)</f>
        <v>1</v>
      </c>
      <c r="S238" s="6"/>
    </row>
    <row r="239" spans="2:19" x14ac:dyDescent="0.15">
      <c r="B239" s="6"/>
      <c r="C239" s="6"/>
      <c r="D239" s="6" t="s">
        <v>47</v>
      </c>
      <c r="E239" s="9" t="s">
        <v>528</v>
      </c>
      <c r="F239" s="14" t="s">
        <v>529</v>
      </c>
      <c r="G239" s="6">
        <v>10</v>
      </c>
      <c r="H239" s="6"/>
      <c r="I239" s="1" t="str">
        <f t="shared" si="191"/>
        <v>0</v>
      </c>
      <c r="J239" s="6" t="b">
        <f t="shared" si="192"/>
        <v>0</v>
      </c>
      <c r="K239" s="6"/>
      <c r="L239" s="6"/>
      <c r="M239" s="1" t="s">
        <v>14</v>
      </c>
      <c r="N239" s="6" t="b">
        <v>0</v>
      </c>
      <c r="O239" s="6"/>
      <c r="P239" s="6"/>
      <c r="Q239" s="1" t="b">
        <f t="shared" si="193"/>
        <v>1</v>
      </c>
      <c r="R239" s="6" t="b">
        <f t="shared" si="194"/>
        <v>1</v>
      </c>
      <c r="S239" s="6"/>
    </row>
    <row r="240" spans="2:19" x14ac:dyDescent="0.15">
      <c r="B240" s="6"/>
      <c r="C240" s="6"/>
      <c r="D240" t="s">
        <v>49</v>
      </c>
      <c r="E240" s="9" t="s">
        <v>530</v>
      </c>
      <c r="F240" s="14" t="s">
        <v>531</v>
      </c>
      <c r="G240">
        <v>16</v>
      </c>
      <c r="H240" s="6"/>
      <c r="I240" s="1" t="str">
        <f t="shared" si="191"/>
        <v>0</v>
      </c>
      <c r="J240" s="6" t="b">
        <f t="shared" si="192"/>
        <v>0</v>
      </c>
      <c r="K240" s="6"/>
      <c r="L240" s="6"/>
      <c r="M240" s="1" t="s">
        <v>14</v>
      </c>
      <c r="N240" s="6" t="b">
        <v>0</v>
      </c>
      <c r="O240" s="6"/>
      <c r="P240" s="6"/>
      <c r="Q240" s="1" t="b">
        <f t="shared" si="193"/>
        <v>1</v>
      </c>
      <c r="R240" s="6" t="b">
        <f t="shared" si="194"/>
        <v>1</v>
      </c>
      <c r="S240" s="6"/>
    </row>
    <row r="241" spans="2:19" x14ac:dyDescent="0.15">
      <c r="B241" s="6"/>
      <c r="C241" s="2" t="s">
        <v>239</v>
      </c>
      <c r="D241" s="2" t="s">
        <v>46</v>
      </c>
      <c r="E241" s="11" t="s">
        <v>532</v>
      </c>
      <c r="F241" s="13" t="s">
        <v>527</v>
      </c>
      <c r="G241" s="2">
        <v>2</v>
      </c>
      <c r="H241" s="2"/>
      <c r="I241" s="3" t="str">
        <f t="shared" ref="I241:I261" si="195">TESTsubtract(E241,F241,G241)</f>
        <v>011</v>
      </c>
      <c r="J241" s="2" t="b">
        <f t="shared" ref="J241:J261" si="196">TESTsubtractByRef1(E241,F241,G241)</f>
        <v>0</v>
      </c>
      <c r="K241" s="2"/>
      <c r="L241" s="2"/>
      <c r="M241" s="3" t="s">
        <v>78</v>
      </c>
      <c r="N241" s="2" t="b">
        <v>0</v>
      </c>
      <c r="O241" s="2"/>
      <c r="P241" s="2"/>
      <c r="Q241" s="3" t="b">
        <f t="shared" si="193"/>
        <v>1</v>
      </c>
      <c r="R241" s="2" t="b">
        <f t="shared" si="194"/>
        <v>1</v>
      </c>
      <c r="S241" s="6"/>
    </row>
    <row r="242" spans="2:19" x14ac:dyDescent="0.15">
      <c r="B242" s="6"/>
      <c r="C242" s="6"/>
      <c r="D242" s="6" t="s">
        <v>47</v>
      </c>
      <c r="E242" s="9" t="s">
        <v>545</v>
      </c>
      <c r="F242" s="14" t="s">
        <v>546</v>
      </c>
      <c r="G242" s="6">
        <v>10</v>
      </c>
      <c r="H242" s="6"/>
      <c r="I242" s="1" t="str">
        <f t="shared" si="195"/>
        <v>099</v>
      </c>
      <c r="J242" s="6" t="b">
        <f t="shared" si="196"/>
        <v>0</v>
      </c>
      <c r="K242" s="6"/>
      <c r="L242" s="6"/>
      <c r="M242" s="1" t="s">
        <v>154</v>
      </c>
      <c r="N242" s="6" t="b">
        <v>0</v>
      </c>
      <c r="O242" s="6"/>
      <c r="P242" s="6"/>
      <c r="Q242" s="1" t="b">
        <f t="shared" si="193"/>
        <v>1</v>
      </c>
      <c r="R242" s="6" t="b">
        <f t="shared" si="194"/>
        <v>1</v>
      </c>
      <c r="S242" s="6"/>
    </row>
    <row r="243" spans="2:19" x14ac:dyDescent="0.15">
      <c r="B243" s="6"/>
      <c r="C243" s="6"/>
      <c r="D243" t="s">
        <v>49</v>
      </c>
      <c r="E243" s="9" t="s">
        <v>547</v>
      </c>
      <c r="F243" s="14" t="s">
        <v>548</v>
      </c>
      <c r="G243">
        <v>16</v>
      </c>
      <c r="H243" s="6"/>
      <c r="I243" s="1" t="str">
        <f t="shared" si="195"/>
        <v>0FF</v>
      </c>
      <c r="J243" s="6" t="b">
        <f t="shared" si="196"/>
        <v>0</v>
      </c>
      <c r="K243" s="6"/>
      <c r="L243" s="6"/>
      <c r="M243" s="1" t="s">
        <v>157</v>
      </c>
      <c r="N243" s="6" t="b">
        <v>0</v>
      </c>
      <c r="O243" s="6"/>
      <c r="P243" s="6"/>
      <c r="Q243" s="1" t="b">
        <f t="shared" si="193"/>
        <v>1</v>
      </c>
      <c r="R243" s="6" t="b">
        <f t="shared" si="194"/>
        <v>1</v>
      </c>
      <c r="S243" s="6"/>
    </row>
    <row r="244" spans="2:19" x14ac:dyDescent="0.15">
      <c r="B244" s="6"/>
      <c r="C244" s="2" t="s">
        <v>240</v>
      </c>
      <c r="D244" s="2" t="s">
        <v>46</v>
      </c>
      <c r="E244" s="11" t="s">
        <v>549</v>
      </c>
      <c r="F244" s="13" t="s">
        <v>535</v>
      </c>
      <c r="G244" s="2">
        <v>2</v>
      </c>
      <c r="H244" s="2"/>
      <c r="I244" s="3" t="str">
        <f t="shared" si="195"/>
        <v>010</v>
      </c>
      <c r="J244" s="2" t="b">
        <f t="shared" si="196"/>
        <v>0</v>
      </c>
      <c r="K244" s="2"/>
      <c r="L244" s="2"/>
      <c r="M244" s="3" t="s">
        <v>79</v>
      </c>
      <c r="N244" s="2" t="b">
        <v>0</v>
      </c>
      <c r="O244" s="2"/>
      <c r="P244" s="2"/>
      <c r="Q244" s="3" t="b">
        <f t="shared" si="193"/>
        <v>1</v>
      </c>
      <c r="R244" s="2" t="b">
        <f t="shared" si="194"/>
        <v>1</v>
      </c>
      <c r="S244" s="6"/>
    </row>
    <row r="245" spans="2:19" x14ac:dyDescent="0.15">
      <c r="B245" s="6"/>
      <c r="C245" s="6"/>
      <c r="D245" s="6" t="s">
        <v>47</v>
      </c>
      <c r="E245" s="9" t="s">
        <v>541</v>
      </c>
      <c r="F245" s="14" t="s">
        <v>542</v>
      </c>
      <c r="G245" s="6">
        <v>10</v>
      </c>
      <c r="H245" s="6"/>
      <c r="I245" s="1" t="str">
        <f t="shared" si="195"/>
        <v>090</v>
      </c>
      <c r="J245" s="6" t="b">
        <f t="shared" si="196"/>
        <v>0</v>
      </c>
      <c r="K245" s="6"/>
      <c r="L245" s="6"/>
      <c r="M245" s="1" t="s">
        <v>559</v>
      </c>
      <c r="N245" s="6" t="b">
        <v>0</v>
      </c>
      <c r="O245" s="6"/>
      <c r="P245" s="6"/>
      <c r="Q245" s="1" t="b">
        <f t="shared" si="193"/>
        <v>1</v>
      </c>
      <c r="R245" s="6" t="b">
        <f t="shared" si="194"/>
        <v>1</v>
      </c>
      <c r="S245" s="6"/>
    </row>
    <row r="246" spans="2:19" x14ac:dyDescent="0.15">
      <c r="B246" s="6"/>
      <c r="C246" s="6"/>
      <c r="D246" t="s">
        <v>49</v>
      </c>
      <c r="E246" s="9" t="s">
        <v>544</v>
      </c>
      <c r="F246" s="14" t="s">
        <v>551</v>
      </c>
      <c r="G246">
        <v>16</v>
      </c>
      <c r="H246" s="6"/>
      <c r="I246" s="1" t="str">
        <f t="shared" si="195"/>
        <v>0F0</v>
      </c>
      <c r="J246" s="6" t="b">
        <f t="shared" si="196"/>
        <v>0</v>
      </c>
      <c r="K246" s="6"/>
      <c r="L246" s="6"/>
      <c r="M246" s="1" t="s">
        <v>560</v>
      </c>
      <c r="N246" s="6" t="b">
        <v>0</v>
      </c>
      <c r="O246" s="6"/>
      <c r="P246" s="6"/>
      <c r="Q246" s="1" t="b">
        <f t="shared" si="193"/>
        <v>1</v>
      </c>
      <c r="R246" s="6" t="b">
        <f t="shared" si="194"/>
        <v>1</v>
      </c>
      <c r="S246" s="6"/>
    </row>
    <row r="247" spans="2:19" x14ac:dyDescent="0.15">
      <c r="B247" s="6"/>
      <c r="C247" s="2" t="s">
        <v>241</v>
      </c>
      <c r="D247" s="2" t="s">
        <v>46</v>
      </c>
      <c r="E247" s="11" t="s">
        <v>533</v>
      </c>
      <c r="F247" s="13" t="s">
        <v>535</v>
      </c>
      <c r="G247" s="2">
        <v>2</v>
      </c>
      <c r="H247" s="2"/>
      <c r="I247" s="3" t="str">
        <f t="shared" si="195"/>
        <v>001</v>
      </c>
      <c r="J247" s="2" t="b">
        <f t="shared" si="196"/>
        <v>0</v>
      </c>
      <c r="K247" s="2"/>
      <c r="L247" s="2"/>
      <c r="M247" s="3" t="s">
        <v>82</v>
      </c>
      <c r="N247" s="2" t="b">
        <v>0</v>
      </c>
      <c r="O247" s="2"/>
      <c r="P247" s="2"/>
      <c r="Q247" s="3" t="b">
        <f t="shared" si="193"/>
        <v>1</v>
      </c>
      <c r="R247" s="2" t="b">
        <f t="shared" si="194"/>
        <v>1</v>
      </c>
      <c r="S247" s="6"/>
    </row>
    <row r="248" spans="2:19" x14ac:dyDescent="0.15">
      <c r="B248" s="6"/>
      <c r="C248" s="6"/>
      <c r="D248" s="6" t="s">
        <v>47</v>
      </c>
      <c r="E248" s="9" t="s">
        <v>545</v>
      </c>
      <c r="F248" s="14" t="s">
        <v>542</v>
      </c>
      <c r="G248" s="6">
        <v>10</v>
      </c>
      <c r="H248" s="6"/>
      <c r="I248" s="1" t="str">
        <f t="shared" si="195"/>
        <v>089</v>
      </c>
      <c r="J248" s="6" t="b">
        <f t="shared" si="196"/>
        <v>0</v>
      </c>
      <c r="K248" s="6"/>
      <c r="L248" s="6"/>
      <c r="M248" s="1" t="s">
        <v>561</v>
      </c>
      <c r="N248" s="6" t="b">
        <v>0</v>
      </c>
      <c r="O248" s="6"/>
      <c r="P248" s="6"/>
      <c r="Q248" s="1" t="b">
        <f t="shared" si="193"/>
        <v>1</v>
      </c>
      <c r="R248" s="6" t="b">
        <f t="shared" si="194"/>
        <v>1</v>
      </c>
      <c r="S248" s="6"/>
    </row>
    <row r="249" spans="2:19" x14ac:dyDescent="0.15">
      <c r="B249" s="6"/>
      <c r="C249" s="6"/>
      <c r="D249" t="s">
        <v>49</v>
      </c>
      <c r="E249" s="9" t="s">
        <v>552</v>
      </c>
      <c r="F249" s="14" t="s">
        <v>553</v>
      </c>
      <c r="G249">
        <v>16</v>
      </c>
      <c r="H249" s="6"/>
      <c r="I249" s="1" t="str">
        <f t="shared" si="195"/>
        <v>0EF</v>
      </c>
      <c r="J249" s="6" t="b">
        <f t="shared" si="196"/>
        <v>0</v>
      </c>
      <c r="K249" s="6"/>
      <c r="L249" s="6"/>
      <c r="M249" s="1" t="s">
        <v>562</v>
      </c>
      <c r="N249" s="6" t="b">
        <v>0</v>
      </c>
      <c r="O249" s="6"/>
      <c r="P249" s="6"/>
      <c r="Q249" s="1" t="b">
        <f t="shared" si="193"/>
        <v>1</v>
      </c>
      <c r="R249" s="6" t="b">
        <f t="shared" si="194"/>
        <v>1</v>
      </c>
      <c r="S249" s="6"/>
    </row>
    <row r="250" spans="2:19" x14ac:dyDescent="0.15">
      <c r="B250" s="6"/>
      <c r="C250" s="2" t="s">
        <v>242</v>
      </c>
      <c r="D250" s="2" t="s">
        <v>46</v>
      </c>
      <c r="E250" s="11" t="s">
        <v>535</v>
      </c>
      <c r="F250" s="13" t="s">
        <v>550</v>
      </c>
      <c r="G250" s="2">
        <v>2</v>
      </c>
      <c r="H250" s="2"/>
      <c r="I250" s="3" t="str">
        <f t="shared" si="195"/>
        <v>10</v>
      </c>
      <c r="J250" s="2" t="b">
        <f t="shared" si="196"/>
        <v>0</v>
      </c>
      <c r="K250" s="2"/>
      <c r="L250" s="2"/>
      <c r="M250" s="3" t="s">
        <v>15</v>
      </c>
      <c r="N250" s="2" t="b">
        <v>0</v>
      </c>
      <c r="O250" s="2"/>
      <c r="P250" s="2"/>
      <c r="Q250" s="3" t="b">
        <f t="shared" si="193"/>
        <v>1</v>
      </c>
      <c r="R250" s="2" t="b">
        <f t="shared" si="194"/>
        <v>1</v>
      </c>
      <c r="S250" s="6"/>
    </row>
    <row r="251" spans="2:19" x14ac:dyDescent="0.15">
      <c r="B251" s="6"/>
      <c r="C251" s="6"/>
      <c r="D251" s="6" t="s">
        <v>47</v>
      </c>
      <c r="E251" s="9" t="s">
        <v>542</v>
      </c>
      <c r="F251" s="14" t="s">
        <v>546</v>
      </c>
      <c r="G251" s="6">
        <v>10</v>
      </c>
      <c r="H251" s="6"/>
      <c r="I251" s="1" t="str">
        <f t="shared" si="195"/>
        <v>10</v>
      </c>
      <c r="J251" s="6" t="b">
        <f t="shared" si="196"/>
        <v>0</v>
      </c>
      <c r="K251" s="6"/>
      <c r="L251" s="6"/>
      <c r="M251" s="1" t="s">
        <v>15</v>
      </c>
      <c r="N251" s="6" t="b">
        <v>0</v>
      </c>
      <c r="O251" s="6"/>
      <c r="P251" s="6"/>
      <c r="Q251" s="1" t="b">
        <f t="shared" si="193"/>
        <v>1</v>
      </c>
      <c r="R251" s="6" t="b">
        <f t="shared" si="194"/>
        <v>1</v>
      </c>
      <c r="S251" s="6"/>
    </row>
    <row r="252" spans="2:19" x14ac:dyDescent="0.15">
      <c r="B252" s="6"/>
      <c r="C252" s="6"/>
      <c r="D252" t="s">
        <v>49</v>
      </c>
      <c r="E252" s="9" t="s">
        <v>554</v>
      </c>
      <c r="F252" s="14" t="s">
        <v>548</v>
      </c>
      <c r="G252">
        <v>16</v>
      </c>
      <c r="H252" s="6"/>
      <c r="I252" s="1" t="str">
        <f t="shared" si="195"/>
        <v>10</v>
      </c>
      <c r="J252" s="6" t="b">
        <f t="shared" si="196"/>
        <v>0</v>
      </c>
      <c r="K252" s="6"/>
      <c r="L252" s="6"/>
      <c r="M252" s="1" t="s">
        <v>15</v>
      </c>
      <c r="N252" s="6" t="b">
        <v>0</v>
      </c>
      <c r="O252" s="6"/>
      <c r="P252" s="6"/>
      <c r="Q252" s="1" t="b">
        <f t="shared" si="193"/>
        <v>1</v>
      </c>
      <c r="R252" s="6" t="b">
        <f t="shared" si="194"/>
        <v>1</v>
      </c>
      <c r="S252" s="6"/>
    </row>
    <row r="253" spans="2:19" x14ac:dyDescent="0.15">
      <c r="B253" s="6"/>
      <c r="C253" s="2" t="s">
        <v>243</v>
      </c>
      <c r="D253" s="2" t="s">
        <v>46</v>
      </c>
      <c r="E253" s="11" t="s">
        <v>536</v>
      </c>
      <c r="F253" s="13" t="s">
        <v>534</v>
      </c>
      <c r="G253" s="2">
        <v>2</v>
      </c>
      <c r="H253" s="2"/>
      <c r="I253" s="3" t="str">
        <f t="shared" si="195"/>
        <v>101</v>
      </c>
      <c r="J253" s="2" t="b">
        <f t="shared" si="196"/>
        <v>0</v>
      </c>
      <c r="K253" s="2"/>
      <c r="L253" s="2"/>
      <c r="M253" s="3" t="s">
        <v>280</v>
      </c>
      <c r="N253" s="2" t="b">
        <v>0</v>
      </c>
      <c r="O253" s="2"/>
      <c r="P253" s="2"/>
      <c r="Q253" s="3" t="b">
        <f t="shared" si="193"/>
        <v>1</v>
      </c>
      <c r="R253" s="2" t="b">
        <f t="shared" si="194"/>
        <v>1</v>
      </c>
      <c r="S253" s="6"/>
    </row>
    <row r="254" spans="2:19" x14ac:dyDescent="0.15">
      <c r="B254" s="6"/>
      <c r="C254" s="6"/>
      <c r="D254" s="6" t="s">
        <v>47</v>
      </c>
      <c r="E254" s="9" t="s">
        <v>556</v>
      </c>
      <c r="F254" s="14" t="s">
        <v>546</v>
      </c>
      <c r="G254" s="6">
        <v>10</v>
      </c>
      <c r="H254" s="6"/>
      <c r="I254" s="1" t="str">
        <f t="shared" si="195"/>
        <v>109</v>
      </c>
      <c r="J254" s="6" t="b">
        <f t="shared" si="196"/>
        <v>0</v>
      </c>
      <c r="K254" s="6"/>
      <c r="L254" s="6"/>
      <c r="M254" s="1" t="s">
        <v>540</v>
      </c>
      <c r="N254" s="6" t="b">
        <v>0</v>
      </c>
      <c r="O254" s="6"/>
      <c r="P254" s="6"/>
      <c r="Q254" s="1" t="b">
        <f t="shared" si="193"/>
        <v>1</v>
      </c>
      <c r="R254" s="6" t="b">
        <f t="shared" si="194"/>
        <v>1</v>
      </c>
      <c r="S254" s="6"/>
    </row>
    <row r="255" spans="2:19" x14ac:dyDescent="0.15">
      <c r="B255" s="6"/>
      <c r="C255" s="6"/>
      <c r="D255" t="s">
        <v>49</v>
      </c>
      <c r="E255" s="9" t="s">
        <v>557</v>
      </c>
      <c r="F255" s="14" t="s">
        <v>555</v>
      </c>
      <c r="G255">
        <v>16</v>
      </c>
      <c r="H255" s="6"/>
      <c r="I255" s="1" t="str">
        <f t="shared" si="195"/>
        <v>10F</v>
      </c>
      <c r="J255" s="6" t="b">
        <f t="shared" si="196"/>
        <v>0</v>
      </c>
      <c r="K255" s="6"/>
      <c r="L255" s="6"/>
      <c r="M255" s="1" t="s">
        <v>543</v>
      </c>
      <c r="N255" s="6" t="b">
        <v>0</v>
      </c>
      <c r="O255" s="6"/>
      <c r="P255" s="6"/>
      <c r="Q255" s="1" t="b">
        <f t="shared" si="193"/>
        <v>1</v>
      </c>
      <c r="R255" s="6" t="b">
        <f t="shared" si="194"/>
        <v>1</v>
      </c>
      <c r="S255" s="6"/>
    </row>
    <row r="256" spans="2:19" x14ac:dyDescent="0.15">
      <c r="B256" s="6"/>
      <c r="C256" s="2" t="s">
        <v>244</v>
      </c>
      <c r="D256" s="2" t="s">
        <v>46</v>
      </c>
      <c r="E256" s="11" t="s">
        <v>535</v>
      </c>
      <c r="F256" s="13" t="s">
        <v>535</v>
      </c>
      <c r="G256" s="2">
        <v>2</v>
      </c>
      <c r="H256" s="2"/>
      <c r="I256" s="3" t="str">
        <f t="shared" si="195"/>
        <v>00</v>
      </c>
      <c r="J256" s="2" t="b">
        <f t="shared" si="196"/>
        <v>0</v>
      </c>
      <c r="K256" s="2"/>
      <c r="L256" s="2"/>
      <c r="M256" s="3" t="s">
        <v>98</v>
      </c>
      <c r="N256" s="2" t="b">
        <v>0</v>
      </c>
      <c r="O256" s="2"/>
      <c r="P256" s="2"/>
      <c r="Q256" s="3" t="b">
        <f t="shared" si="193"/>
        <v>1</v>
      </c>
      <c r="R256" s="2" t="b">
        <f t="shared" si="194"/>
        <v>1</v>
      </c>
      <c r="S256" s="6"/>
    </row>
    <row r="257" spans="1:19" x14ac:dyDescent="0.15">
      <c r="B257" s="6"/>
      <c r="C257" s="6"/>
      <c r="D257" s="6" t="s">
        <v>47</v>
      </c>
      <c r="E257" s="9" t="s">
        <v>542</v>
      </c>
      <c r="F257" s="14" t="s">
        <v>542</v>
      </c>
      <c r="G257" s="6">
        <v>10</v>
      </c>
      <c r="H257" s="6"/>
      <c r="I257" s="1" t="str">
        <f t="shared" si="195"/>
        <v>00</v>
      </c>
      <c r="J257" s="6" t="b">
        <f t="shared" si="196"/>
        <v>0</v>
      </c>
      <c r="K257" s="6"/>
      <c r="L257" s="6"/>
      <c r="M257" s="1" t="s">
        <v>98</v>
      </c>
      <c r="N257" s="6" t="b">
        <v>0</v>
      </c>
      <c r="O257" s="6"/>
      <c r="P257" s="6"/>
      <c r="Q257" s="1" t="b">
        <f t="shared" si="193"/>
        <v>1</v>
      </c>
      <c r="R257" s="6" t="b">
        <f t="shared" si="194"/>
        <v>1</v>
      </c>
      <c r="S257" s="6"/>
    </row>
    <row r="258" spans="1:19" x14ac:dyDescent="0.15">
      <c r="B258" s="6"/>
      <c r="C258" s="6"/>
      <c r="D258" t="s">
        <v>49</v>
      </c>
      <c r="E258" s="9" t="s">
        <v>554</v>
      </c>
      <c r="F258" s="14" t="s">
        <v>554</v>
      </c>
      <c r="G258">
        <v>16</v>
      </c>
      <c r="H258" s="6"/>
      <c r="I258" s="1" t="str">
        <f t="shared" si="195"/>
        <v>00</v>
      </c>
      <c r="J258" s="6" t="b">
        <f t="shared" si="196"/>
        <v>0</v>
      </c>
      <c r="K258" s="6"/>
      <c r="L258" s="6"/>
      <c r="M258" s="1" t="s">
        <v>98</v>
      </c>
      <c r="N258" s="6" t="b">
        <v>0</v>
      </c>
      <c r="O258" s="6"/>
      <c r="P258" s="6"/>
      <c r="Q258" s="1" t="b">
        <f t="shared" si="193"/>
        <v>1</v>
      </c>
      <c r="R258" s="6" t="b">
        <f t="shared" si="194"/>
        <v>1</v>
      </c>
      <c r="S258" s="6"/>
    </row>
    <row r="259" spans="1:19" x14ac:dyDescent="0.15">
      <c r="B259" s="6"/>
      <c r="C259" s="2" t="s">
        <v>245</v>
      </c>
      <c r="D259" s="2" t="s">
        <v>46</v>
      </c>
      <c r="E259" s="11" t="s">
        <v>536</v>
      </c>
      <c r="F259" s="13" t="s">
        <v>535</v>
      </c>
      <c r="G259" s="2">
        <v>2</v>
      </c>
      <c r="H259" s="2"/>
      <c r="I259" s="3" t="str">
        <f t="shared" si="195"/>
        <v>011</v>
      </c>
      <c r="J259" s="2" t="b">
        <f t="shared" si="196"/>
        <v>0</v>
      </c>
      <c r="K259" s="2"/>
      <c r="L259" s="2"/>
      <c r="M259" s="3" t="s">
        <v>78</v>
      </c>
      <c r="N259" s="2" t="b">
        <v>0</v>
      </c>
      <c r="O259" s="2"/>
      <c r="P259" s="2"/>
      <c r="Q259" s="3" t="b">
        <f t="shared" si="193"/>
        <v>1</v>
      </c>
      <c r="R259" s="2" t="b">
        <f t="shared" si="194"/>
        <v>1</v>
      </c>
      <c r="S259" s="6"/>
    </row>
    <row r="260" spans="1:19" x14ac:dyDescent="0.15">
      <c r="B260" s="6"/>
      <c r="C260" s="6"/>
      <c r="D260" s="6" t="s">
        <v>47</v>
      </c>
      <c r="E260" s="9" t="s">
        <v>556</v>
      </c>
      <c r="F260" s="14" t="s">
        <v>542</v>
      </c>
      <c r="G260" s="6">
        <v>10</v>
      </c>
      <c r="H260" s="6"/>
      <c r="I260" s="1" t="str">
        <f t="shared" si="195"/>
        <v>099</v>
      </c>
      <c r="J260" s="6" t="b">
        <f t="shared" si="196"/>
        <v>0</v>
      </c>
      <c r="K260" s="6"/>
      <c r="L260" s="6"/>
      <c r="M260" s="1" t="s">
        <v>154</v>
      </c>
      <c r="N260" s="6" t="b">
        <v>0</v>
      </c>
      <c r="O260" s="6"/>
      <c r="P260" s="6"/>
      <c r="Q260" s="1" t="b">
        <f t="shared" si="193"/>
        <v>1</v>
      </c>
      <c r="R260" s="6" t="b">
        <f t="shared" si="194"/>
        <v>1</v>
      </c>
      <c r="S260" s="6"/>
    </row>
    <row r="261" spans="1:19" x14ac:dyDescent="0.15">
      <c r="B261" s="6"/>
      <c r="C261" s="6"/>
      <c r="D261" t="s">
        <v>49</v>
      </c>
      <c r="E261" s="9" t="s">
        <v>557</v>
      </c>
      <c r="F261" s="14" t="s">
        <v>554</v>
      </c>
      <c r="G261">
        <v>16</v>
      </c>
      <c r="H261" s="6"/>
      <c r="I261" s="1" t="str">
        <f t="shared" si="195"/>
        <v>0FF</v>
      </c>
      <c r="J261" s="6" t="b">
        <f t="shared" si="196"/>
        <v>0</v>
      </c>
      <c r="K261" s="6"/>
      <c r="L261" s="6"/>
      <c r="M261" s="1" t="s">
        <v>157</v>
      </c>
      <c r="N261" s="6" t="b">
        <v>0</v>
      </c>
      <c r="O261" s="6"/>
      <c r="P261" s="6"/>
      <c r="Q261" s="1" t="b">
        <f t="shared" si="193"/>
        <v>1</v>
      </c>
      <c r="R261" s="6" t="b">
        <f t="shared" si="194"/>
        <v>1</v>
      </c>
      <c r="S261" s="6"/>
    </row>
    <row r="262" spans="1:19" x14ac:dyDescent="0.15">
      <c r="B262" s="2" t="s">
        <v>563</v>
      </c>
      <c r="C262" s="2"/>
      <c r="D262" s="2" t="s">
        <v>46</v>
      </c>
      <c r="E262" s="11" t="s">
        <v>564</v>
      </c>
      <c r="F262" s="13" t="s">
        <v>565</v>
      </c>
      <c r="G262" s="2">
        <v>2</v>
      </c>
      <c r="H262" s="2"/>
      <c r="I262" s="3" t="str">
        <f t="shared" ref="I262:I264" si="197">TESTsubtract(E262,F262,G262)</f>
        <v>1</v>
      </c>
      <c r="J262" s="2" t="b">
        <f t="shared" ref="J262:J264" si="198">TESTsubtractByRef1(E262,F262,G262)</f>
        <v>1</v>
      </c>
      <c r="K262" s="2"/>
      <c r="L262" s="2"/>
      <c r="M262" s="3" t="s">
        <v>44</v>
      </c>
      <c r="N262" s="2" t="b">
        <v>1</v>
      </c>
      <c r="O262" s="2"/>
      <c r="P262" s="2"/>
      <c r="Q262" s="3" t="b">
        <f t="shared" ref="Q262:Q264" si="199">getText(I262)=getText(M262)</f>
        <v>1</v>
      </c>
      <c r="R262" s="2" t="b">
        <f t="shared" ref="R262:R264" si="200">getText(J262)=getText(N262)</f>
        <v>1</v>
      </c>
      <c r="S262" s="6"/>
    </row>
    <row r="263" spans="1:19" x14ac:dyDescent="0.15">
      <c r="B263" s="6"/>
      <c r="C263" s="6"/>
      <c r="D263" s="6" t="s">
        <v>47</v>
      </c>
      <c r="E263" s="9" t="s">
        <v>566</v>
      </c>
      <c r="F263" s="14" t="s">
        <v>567</v>
      </c>
      <c r="G263" s="6">
        <v>10</v>
      </c>
      <c r="H263" s="6"/>
      <c r="I263" s="1" t="str">
        <f t="shared" si="197"/>
        <v>1</v>
      </c>
      <c r="J263" s="6" t="b">
        <f t="shared" si="198"/>
        <v>1</v>
      </c>
      <c r="K263" s="6"/>
      <c r="L263" s="6"/>
      <c r="M263" s="1" t="s">
        <v>44</v>
      </c>
      <c r="N263" s="6" t="b">
        <v>1</v>
      </c>
      <c r="O263" s="6"/>
      <c r="P263" s="6"/>
      <c r="Q263" s="1" t="b">
        <f t="shared" si="199"/>
        <v>1</v>
      </c>
      <c r="R263" s="6" t="b">
        <f t="shared" si="200"/>
        <v>1</v>
      </c>
      <c r="S263" s="6"/>
    </row>
    <row r="264" spans="1:19" x14ac:dyDescent="0.15">
      <c r="B264" s="6"/>
      <c r="C264" s="6"/>
      <c r="D264" t="s">
        <v>49</v>
      </c>
      <c r="E264" s="9" t="s">
        <v>568</v>
      </c>
      <c r="F264" s="14" t="s">
        <v>569</v>
      </c>
      <c r="G264">
        <v>16</v>
      </c>
      <c r="H264" s="6"/>
      <c r="I264" s="1" t="str">
        <f t="shared" si="197"/>
        <v>1</v>
      </c>
      <c r="J264" s="6" t="b">
        <f t="shared" si="198"/>
        <v>1</v>
      </c>
      <c r="K264" s="6"/>
      <c r="L264" s="6"/>
      <c r="M264" s="1" t="s">
        <v>44</v>
      </c>
      <c r="N264" s="6" t="b">
        <v>1</v>
      </c>
      <c r="O264" s="6"/>
      <c r="P264" s="6"/>
      <c r="Q264" s="36" t="b">
        <f t="shared" si="199"/>
        <v>1</v>
      </c>
      <c r="R264" s="35" t="b">
        <f t="shared" si="200"/>
        <v>1</v>
      </c>
      <c r="S264" s="6"/>
    </row>
    <row r="265" spans="1:19" x14ac:dyDescent="0.15">
      <c r="A265" s="2" t="s">
        <v>387</v>
      </c>
      <c r="B265" s="2" t="s">
        <v>219</v>
      </c>
      <c r="C265" s="22">
        <v>0</v>
      </c>
      <c r="D265" s="2" t="s">
        <v>46</v>
      </c>
      <c r="E265" s="11" t="s">
        <v>392</v>
      </c>
      <c r="F265" s="13" t="s">
        <v>389</v>
      </c>
      <c r="G265" s="2">
        <v>2</v>
      </c>
      <c r="H265" s="2"/>
      <c r="I265" s="3" t="str">
        <f>TESTmultiple(E265,F265,G265)</f>
        <v>00</v>
      </c>
      <c r="J265" s="2"/>
      <c r="K265" s="2"/>
      <c r="L265" s="2"/>
      <c r="M265" s="3" t="s">
        <v>98</v>
      </c>
      <c r="N265" s="2"/>
      <c r="O265" s="2"/>
      <c r="P265" s="2"/>
      <c r="Q265" s="3" t="b">
        <f t="shared" ref="Q265:Q267" si="201">getText(I265)=getText(M265)</f>
        <v>1</v>
      </c>
      <c r="R265" s="2"/>
      <c r="S265" s="6"/>
    </row>
    <row r="266" spans="1:19" x14ac:dyDescent="0.15">
      <c r="C266" s="27"/>
      <c r="D266" s="6" t="s">
        <v>47</v>
      </c>
      <c r="E266" s="9" t="s">
        <v>391</v>
      </c>
      <c r="F266" s="14" t="s">
        <v>393</v>
      </c>
      <c r="G266" s="6">
        <v>10</v>
      </c>
      <c r="H266" s="6"/>
      <c r="I266" s="1" t="str">
        <f t="shared" ref="I266:I267" si="202">TESTmultiple(E266,F266,G266)</f>
        <v>00</v>
      </c>
      <c r="J266" s="6"/>
      <c r="K266" s="6"/>
      <c r="L266" s="6"/>
      <c r="M266" s="1" t="s">
        <v>98</v>
      </c>
      <c r="N266" s="6"/>
      <c r="O266" s="6"/>
      <c r="P266" s="6"/>
      <c r="Q266" s="1" t="b">
        <f t="shared" si="201"/>
        <v>1</v>
      </c>
      <c r="R266" s="6"/>
      <c r="S266" s="6"/>
    </row>
    <row r="267" spans="1:19" x14ac:dyDescent="0.15">
      <c r="C267" s="27"/>
      <c r="D267" s="6" t="s">
        <v>49</v>
      </c>
      <c r="E267" s="9" t="s">
        <v>391</v>
      </c>
      <c r="F267" s="14" t="s">
        <v>393</v>
      </c>
      <c r="G267" s="6">
        <v>16</v>
      </c>
      <c r="H267" s="6"/>
      <c r="I267" s="1" t="str">
        <f t="shared" si="202"/>
        <v>00</v>
      </c>
      <c r="J267" s="6"/>
      <c r="K267" s="6"/>
      <c r="L267" s="6"/>
      <c r="M267" s="1" t="s">
        <v>98</v>
      </c>
      <c r="N267" s="6"/>
      <c r="O267" s="6"/>
      <c r="P267" s="6"/>
      <c r="Q267" s="1" t="b">
        <f t="shared" si="201"/>
        <v>1</v>
      </c>
      <c r="R267" s="6"/>
      <c r="S267" s="6"/>
    </row>
    <row r="268" spans="1:19" x14ac:dyDescent="0.15">
      <c r="C268" s="22">
        <v>1</v>
      </c>
      <c r="D268" s="2" t="s">
        <v>46</v>
      </c>
      <c r="E268" s="11" t="s">
        <v>391</v>
      </c>
      <c r="F268" s="13" t="s">
        <v>394</v>
      </c>
      <c r="G268" s="2">
        <v>2</v>
      </c>
      <c r="H268" s="2"/>
      <c r="I268" s="3" t="str">
        <f t="shared" ref="I268:I270" si="203">TESTmultiple(E268,F268,G268)</f>
        <v>11</v>
      </c>
      <c r="J268" s="2"/>
      <c r="K268" s="2"/>
      <c r="L268" s="2"/>
      <c r="M268" s="3" t="s">
        <v>18</v>
      </c>
      <c r="N268" s="2"/>
      <c r="O268" s="2"/>
      <c r="P268" s="2"/>
      <c r="Q268" s="3" t="b">
        <f t="shared" ref="Q268:Q270" si="204">getText(I268)=getText(M268)</f>
        <v>1</v>
      </c>
      <c r="R268" s="6"/>
      <c r="S268" s="6"/>
    </row>
    <row r="269" spans="1:19" x14ac:dyDescent="0.15">
      <c r="C269" s="27"/>
      <c r="D269" s="6" t="s">
        <v>47</v>
      </c>
      <c r="E269" s="9" t="s">
        <v>391</v>
      </c>
      <c r="F269" s="14" t="s">
        <v>394</v>
      </c>
      <c r="G269" s="6">
        <v>10</v>
      </c>
      <c r="H269" s="6"/>
      <c r="I269" s="1" t="str">
        <f t="shared" si="203"/>
        <v>11</v>
      </c>
      <c r="J269" s="6"/>
      <c r="K269" s="6"/>
      <c r="L269" s="6"/>
      <c r="M269" s="1" t="s">
        <v>18</v>
      </c>
      <c r="N269" s="6"/>
      <c r="O269" s="6"/>
      <c r="P269" s="6"/>
      <c r="Q269" s="1" t="b">
        <f t="shared" si="204"/>
        <v>1</v>
      </c>
      <c r="R269" s="6"/>
      <c r="S269" s="6"/>
    </row>
    <row r="270" spans="1:19" x14ac:dyDescent="0.15">
      <c r="C270" s="27"/>
      <c r="D270" s="6" t="s">
        <v>49</v>
      </c>
      <c r="E270" s="9" t="s">
        <v>391</v>
      </c>
      <c r="F270" s="14" t="s">
        <v>394</v>
      </c>
      <c r="G270" s="6">
        <v>16</v>
      </c>
      <c r="H270" s="6"/>
      <c r="I270" s="1" t="str">
        <f t="shared" si="203"/>
        <v>11</v>
      </c>
      <c r="J270" s="6"/>
      <c r="K270" s="6"/>
      <c r="L270" s="6"/>
      <c r="M270" s="1" t="s">
        <v>18</v>
      </c>
      <c r="N270" s="6"/>
      <c r="O270" s="6"/>
      <c r="P270" s="6"/>
      <c r="Q270" s="1" t="b">
        <f t="shared" si="204"/>
        <v>1</v>
      </c>
      <c r="R270" s="6"/>
      <c r="S270" s="6"/>
    </row>
    <row r="271" spans="1:19" x14ac:dyDescent="0.15">
      <c r="C271" s="22" t="s">
        <v>390</v>
      </c>
      <c r="D271" s="2" t="s">
        <v>304</v>
      </c>
      <c r="E271" s="11" t="s">
        <v>391</v>
      </c>
      <c r="F271" s="13" t="s">
        <v>404</v>
      </c>
      <c r="G271" s="2">
        <v>3</v>
      </c>
      <c r="H271" s="2"/>
      <c r="I271" s="3" t="str">
        <f t="shared" ref="I271:I273" si="205">TESTmultiple(E271,F271,G271)</f>
        <v>22</v>
      </c>
      <c r="J271" s="2"/>
      <c r="K271" s="2"/>
      <c r="L271" s="2"/>
      <c r="M271" s="3" t="s">
        <v>402</v>
      </c>
      <c r="N271" s="2"/>
      <c r="O271" s="2"/>
      <c r="P271" s="2"/>
      <c r="Q271" s="3" t="b">
        <f t="shared" ref="Q271:Q276" si="206">getText(I271)=getText(M271)</f>
        <v>1</v>
      </c>
      <c r="R271" s="6"/>
      <c r="S271" s="6"/>
    </row>
    <row r="272" spans="1:19" x14ac:dyDescent="0.15">
      <c r="C272" s="6"/>
      <c r="D272" s="6" t="s">
        <v>47</v>
      </c>
      <c r="E272" s="9" t="s">
        <v>391</v>
      </c>
      <c r="F272" s="14" t="s">
        <v>395</v>
      </c>
      <c r="G272" s="6">
        <v>10</v>
      </c>
      <c r="H272" s="6"/>
      <c r="I272" s="1" t="str">
        <f t="shared" si="205"/>
        <v>99</v>
      </c>
      <c r="J272" s="6"/>
      <c r="K272" s="6"/>
      <c r="L272" s="6"/>
      <c r="M272" s="1" t="s">
        <v>228</v>
      </c>
      <c r="N272" s="6"/>
      <c r="O272" s="6"/>
      <c r="P272" s="6"/>
      <c r="Q272" s="1" t="b">
        <f t="shared" si="206"/>
        <v>1</v>
      </c>
      <c r="R272" s="6"/>
      <c r="S272" s="6"/>
    </row>
    <row r="273" spans="2:19" x14ac:dyDescent="0.15">
      <c r="C273" s="6"/>
      <c r="D273" s="6" t="s">
        <v>49</v>
      </c>
      <c r="E273" s="9" t="s">
        <v>391</v>
      </c>
      <c r="F273" s="14" t="s">
        <v>396</v>
      </c>
      <c r="G273" s="6">
        <v>16</v>
      </c>
      <c r="H273" s="6"/>
      <c r="I273" s="1" t="str">
        <f t="shared" si="205"/>
        <v>FF</v>
      </c>
      <c r="J273" s="6"/>
      <c r="K273" s="6"/>
      <c r="L273" s="6"/>
      <c r="M273" s="1" t="s">
        <v>22</v>
      </c>
      <c r="N273" s="6"/>
      <c r="O273" s="6"/>
      <c r="P273" s="6"/>
      <c r="Q273" s="1" t="b">
        <f t="shared" si="206"/>
        <v>1</v>
      </c>
      <c r="R273" s="6"/>
      <c r="S273" s="6"/>
    </row>
    <row r="274" spans="2:19" x14ac:dyDescent="0.15">
      <c r="B274" s="2" t="s">
        <v>224</v>
      </c>
      <c r="C274" s="22">
        <v>10</v>
      </c>
      <c r="D274" s="2" t="s">
        <v>46</v>
      </c>
      <c r="E274" s="11" t="s">
        <v>392</v>
      </c>
      <c r="F274" s="13" t="s">
        <v>397</v>
      </c>
      <c r="G274" s="2">
        <v>2</v>
      </c>
      <c r="H274" s="2"/>
      <c r="I274" s="3" t="str">
        <f>TESTmultiple(E274,F274,G274)</f>
        <v>110</v>
      </c>
      <c r="J274" s="2"/>
      <c r="K274" s="2"/>
      <c r="L274" s="2"/>
      <c r="M274" s="3" t="s">
        <v>291</v>
      </c>
      <c r="N274" s="2"/>
      <c r="O274" s="2"/>
      <c r="P274" s="2"/>
      <c r="Q274" s="3" t="b">
        <f t="shared" si="206"/>
        <v>1</v>
      </c>
      <c r="R274" s="6"/>
      <c r="S274" s="6"/>
    </row>
    <row r="275" spans="2:19" x14ac:dyDescent="0.15">
      <c r="C275" s="27"/>
      <c r="D275" s="6" t="s">
        <v>47</v>
      </c>
      <c r="E275" s="9" t="s">
        <v>391</v>
      </c>
      <c r="F275" s="14" t="s">
        <v>397</v>
      </c>
      <c r="G275" s="6">
        <v>10</v>
      </c>
      <c r="H275" s="6"/>
      <c r="I275" s="1" t="str">
        <f t="shared" ref="I275:I276" si="207">TESTmultiple(E275,F275,G275)</f>
        <v>110</v>
      </c>
      <c r="J275" s="6"/>
      <c r="K275" s="6"/>
      <c r="L275" s="6"/>
      <c r="M275" s="1" t="s">
        <v>291</v>
      </c>
      <c r="N275" s="6"/>
      <c r="O275" s="6"/>
      <c r="P275" s="6"/>
      <c r="Q275" s="1" t="b">
        <f t="shared" si="206"/>
        <v>1</v>
      </c>
      <c r="R275" s="6"/>
      <c r="S275" s="6"/>
    </row>
    <row r="276" spans="2:19" x14ac:dyDescent="0.15">
      <c r="C276" s="27"/>
      <c r="D276" s="6" t="s">
        <v>49</v>
      </c>
      <c r="E276" s="9" t="s">
        <v>391</v>
      </c>
      <c r="F276" s="14" t="s">
        <v>397</v>
      </c>
      <c r="G276" s="6">
        <v>16</v>
      </c>
      <c r="H276" s="6"/>
      <c r="I276" s="1" t="str">
        <f t="shared" si="207"/>
        <v>110</v>
      </c>
      <c r="J276" s="6"/>
      <c r="K276" s="6"/>
      <c r="L276" s="6"/>
      <c r="M276" s="1" t="s">
        <v>291</v>
      </c>
      <c r="N276" s="6"/>
      <c r="O276" s="6"/>
      <c r="P276" s="6"/>
      <c r="Q276" s="1" t="b">
        <f t="shared" si="206"/>
        <v>1</v>
      </c>
      <c r="R276" s="6"/>
      <c r="S276" s="6"/>
    </row>
    <row r="277" spans="2:19" x14ac:dyDescent="0.15">
      <c r="C277" s="22">
        <v>11</v>
      </c>
      <c r="D277" s="2" t="s">
        <v>46</v>
      </c>
      <c r="E277" s="11" t="s">
        <v>391</v>
      </c>
      <c r="F277" s="13" t="s">
        <v>391</v>
      </c>
      <c r="G277" s="2">
        <v>2</v>
      </c>
      <c r="H277" s="2"/>
      <c r="I277" s="3" t="str">
        <f t="shared" ref="I277:I279" si="208">TESTmultiple(E277,F277,G277)</f>
        <v>1001</v>
      </c>
      <c r="J277" s="2"/>
      <c r="K277" s="2"/>
      <c r="L277" s="2"/>
      <c r="M277" s="3" t="s">
        <v>401</v>
      </c>
      <c r="N277" s="2"/>
      <c r="O277" s="2"/>
      <c r="P277" s="2"/>
      <c r="Q277" s="3" t="b">
        <f t="shared" ref="Q277:Q279" si="209">getText(I277)=getText(M277)</f>
        <v>1</v>
      </c>
      <c r="R277" s="6"/>
      <c r="S277" s="6"/>
    </row>
    <row r="278" spans="2:19" x14ac:dyDescent="0.15">
      <c r="C278" s="6"/>
      <c r="D278" s="6" t="s">
        <v>47</v>
      </c>
      <c r="E278" s="9" t="s">
        <v>391</v>
      </c>
      <c r="F278" s="14" t="s">
        <v>391</v>
      </c>
      <c r="G278" s="6">
        <v>10</v>
      </c>
      <c r="H278" s="6"/>
      <c r="I278" s="1" t="str">
        <f t="shared" si="208"/>
        <v>121</v>
      </c>
      <c r="J278" s="6"/>
      <c r="K278" s="6"/>
      <c r="L278" s="6"/>
      <c r="M278" s="1" t="s">
        <v>319</v>
      </c>
      <c r="N278" s="6"/>
      <c r="O278" s="6"/>
      <c r="P278" s="6"/>
      <c r="Q278" s="1" t="b">
        <f t="shared" si="209"/>
        <v>1</v>
      </c>
      <c r="R278" s="6"/>
      <c r="S278" s="6"/>
    </row>
    <row r="279" spans="2:19" x14ac:dyDescent="0.15">
      <c r="C279" s="6"/>
      <c r="D279" s="6" t="s">
        <v>49</v>
      </c>
      <c r="E279" s="9" t="s">
        <v>391</v>
      </c>
      <c r="F279" s="14" t="s">
        <v>391</v>
      </c>
      <c r="G279" s="6">
        <v>16</v>
      </c>
      <c r="H279" s="6"/>
      <c r="I279" s="1" t="str">
        <f t="shared" si="208"/>
        <v>121</v>
      </c>
      <c r="J279" s="6"/>
      <c r="K279" s="6"/>
      <c r="L279" s="6"/>
      <c r="M279" s="1" t="s">
        <v>319</v>
      </c>
      <c r="N279" s="6"/>
      <c r="O279" s="6"/>
      <c r="P279" s="6"/>
      <c r="Q279" s="1" t="b">
        <f t="shared" si="209"/>
        <v>1</v>
      </c>
      <c r="R279" s="6"/>
      <c r="S279" s="6"/>
    </row>
    <row r="280" spans="2:19" x14ac:dyDescent="0.15">
      <c r="C280" s="22" t="s">
        <v>398</v>
      </c>
      <c r="D280" s="2" t="s">
        <v>304</v>
      </c>
      <c r="E280" s="11" t="s">
        <v>391</v>
      </c>
      <c r="F280" s="13" t="s">
        <v>403</v>
      </c>
      <c r="G280" s="2">
        <v>3</v>
      </c>
      <c r="H280" s="2"/>
      <c r="I280" s="3" t="str">
        <f t="shared" ref="I280:I282" si="210">TESTmultiple(E280,F280,G280)</f>
        <v>1012</v>
      </c>
      <c r="J280" s="2"/>
      <c r="K280" s="2"/>
      <c r="L280" s="2"/>
      <c r="M280" s="3" t="s">
        <v>405</v>
      </c>
      <c r="N280" s="2"/>
      <c r="O280" s="2"/>
      <c r="P280" s="2"/>
      <c r="Q280" s="3" t="b">
        <f t="shared" ref="Q280:Q282" si="211">getText(I280)=getText(M280)</f>
        <v>1</v>
      </c>
      <c r="R280" s="6"/>
      <c r="S280" s="6"/>
    </row>
    <row r="281" spans="2:19" x14ac:dyDescent="0.15">
      <c r="C281" s="6"/>
      <c r="D281" s="6" t="s">
        <v>47</v>
      </c>
      <c r="E281" s="9" t="s">
        <v>391</v>
      </c>
      <c r="F281" s="14" t="s">
        <v>399</v>
      </c>
      <c r="G281" s="6">
        <v>10</v>
      </c>
      <c r="H281" s="6"/>
      <c r="I281" s="1" t="str">
        <f t="shared" si="210"/>
        <v>1089</v>
      </c>
      <c r="J281" s="6"/>
      <c r="K281" s="6"/>
      <c r="L281" s="6"/>
      <c r="M281" s="1" t="s">
        <v>406</v>
      </c>
      <c r="N281" s="6"/>
      <c r="O281" s="6"/>
      <c r="P281" s="6"/>
      <c r="Q281" s="1" t="b">
        <f t="shared" si="211"/>
        <v>1</v>
      </c>
      <c r="R281" s="6"/>
      <c r="S281" s="6"/>
    </row>
    <row r="282" spans="2:19" x14ac:dyDescent="0.15">
      <c r="C282" s="6"/>
      <c r="D282" s="6" t="s">
        <v>49</v>
      </c>
      <c r="E282" s="9" t="s">
        <v>391</v>
      </c>
      <c r="F282" s="14" t="s">
        <v>400</v>
      </c>
      <c r="G282" s="6">
        <v>16</v>
      </c>
      <c r="H282" s="6"/>
      <c r="I282" s="1" t="str">
        <f t="shared" si="210"/>
        <v>10EF</v>
      </c>
      <c r="J282" s="6"/>
      <c r="K282" s="6"/>
      <c r="L282" s="6"/>
      <c r="M282" s="1" t="s">
        <v>407</v>
      </c>
      <c r="N282" s="6"/>
      <c r="O282" s="6"/>
      <c r="P282" s="6"/>
      <c r="Q282" s="1" t="b">
        <f t="shared" si="211"/>
        <v>1</v>
      </c>
      <c r="R282" s="6"/>
      <c r="S282" s="6"/>
    </row>
    <row r="283" spans="2:19" x14ac:dyDescent="0.15">
      <c r="C283" s="2" t="s">
        <v>421</v>
      </c>
      <c r="D283" s="2" t="s">
        <v>304</v>
      </c>
      <c r="E283" s="11" t="s">
        <v>409</v>
      </c>
      <c r="F283" s="13" t="s">
        <v>410</v>
      </c>
      <c r="G283" s="2">
        <v>3</v>
      </c>
      <c r="H283" s="2"/>
      <c r="I283" s="3" t="str">
        <f t="shared" ref="I283" si="212">TESTmultiple(E283,F283,G283)</f>
        <v>1010</v>
      </c>
      <c r="J283" s="2"/>
      <c r="K283" s="2"/>
      <c r="L283" s="2"/>
      <c r="M283" s="3" t="s">
        <v>388</v>
      </c>
      <c r="N283" s="2"/>
      <c r="O283" s="2"/>
      <c r="P283" s="2"/>
      <c r="Q283" s="3" t="b">
        <f t="shared" ref="Q283:Q284" si="213">getText(I283)=getText(M283)</f>
        <v>1</v>
      </c>
      <c r="R283" s="6"/>
      <c r="S283" s="6"/>
    </row>
    <row r="284" spans="2:19" x14ac:dyDescent="0.15">
      <c r="C284" s="6" t="s">
        <v>408</v>
      </c>
      <c r="D284" s="6" t="s">
        <v>47</v>
      </c>
      <c r="E284" s="9" t="s">
        <v>409</v>
      </c>
      <c r="F284" s="14" t="s">
        <v>411</v>
      </c>
      <c r="G284" s="6">
        <v>10</v>
      </c>
      <c r="H284" s="6"/>
      <c r="I284" s="1" t="str">
        <f t="shared" ref="I284:I285" si="214">TESTmultiple(E284,F284,G284)</f>
        <v>300</v>
      </c>
      <c r="J284" s="6"/>
      <c r="K284" s="6"/>
      <c r="L284" s="6"/>
      <c r="M284" s="1" t="s">
        <v>412</v>
      </c>
      <c r="N284" s="6"/>
      <c r="O284" s="6"/>
      <c r="P284" s="6"/>
      <c r="Q284" s="1" t="b">
        <f t="shared" si="213"/>
        <v>1</v>
      </c>
      <c r="R284" s="6"/>
      <c r="S284" s="6"/>
    </row>
    <row r="285" spans="2:19" x14ac:dyDescent="0.15">
      <c r="C285" s="6"/>
      <c r="D285" s="6" t="s">
        <v>49</v>
      </c>
      <c r="E285" s="9" t="s">
        <v>409</v>
      </c>
      <c r="F285" s="14" t="s">
        <v>413</v>
      </c>
      <c r="G285" s="6">
        <v>16</v>
      </c>
      <c r="H285" s="6"/>
      <c r="I285" s="1" t="str">
        <f t="shared" si="214"/>
        <v>300</v>
      </c>
      <c r="J285" s="6"/>
      <c r="K285" s="6"/>
      <c r="L285" s="6"/>
      <c r="M285" s="1" t="s">
        <v>412</v>
      </c>
      <c r="N285" s="6"/>
      <c r="O285" s="6"/>
      <c r="P285" s="6"/>
      <c r="Q285" s="1" t="b">
        <f t="shared" ref="Q285:Q299" si="215">getText(I285)=getText(M285)</f>
        <v>1</v>
      </c>
      <c r="R285" s="6"/>
      <c r="S285" s="6"/>
    </row>
    <row r="286" spans="2:19" x14ac:dyDescent="0.15">
      <c r="C286" s="2" t="s">
        <v>422</v>
      </c>
      <c r="D286" s="2" t="s">
        <v>304</v>
      </c>
      <c r="E286" s="11" t="s">
        <v>409</v>
      </c>
      <c r="F286" s="13" t="s">
        <v>415</v>
      </c>
      <c r="G286" s="2">
        <v>3</v>
      </c>
      <c r="H286" s="2"/>
      <c r="I286" s="3" t="str">
        <f t="shared" ref="I286:I287" si="216">TESTmultiple(E286,F286,G286)</f>
        <v>1120</v>
      </c>
      <c r="J286" s="2"/>
      <c r="K286" s="2"/>
      <c r="L286" s="2"/>
      <c r="M286" s="3" t="s">
        <v>416</v>
      </c>
      <c r="N286" s="2"/>
      <c r="O286" s="2"/>
      <c r="P286" s="2"/>
      <c r="Q286" s="3" t="b">
        <f t="shared" si="215"/>
        <v>1</v>
      </c>
      <c r="R286" s="6"/>
      <c r="S286" s="6"/>
    </row>
    <row r="287" spans="2:19" x14ac:dyDescent="0.15">
      <c r="C287" s="6" t="s">
        <v>414</v>
      </c>
      <c r="D287" s="6" t="s">
        <v>47</v>
      </c>
      <c r="E287" s="9" t="s">
        <v>409</v>
      </c>
      <c r="F287" s="14" t="s">
        <v>417</v>
      </c>
      <c r="G287" s="6">
        <v>10</v>
      </c>
      <c r="H287" s="6"/>
      <c r="I287" s="1" t="str">
        <f t="shared" si="216"/>
        <v>1020</v>
      </c>
      <c r="J287" s="6"/>
      <c r="K287" s="6"/>
      <c r="L287" s="6"/>
      <c r="M287" s="1" t="s">
        <v>419</v>
      </c>
      <c r="N287" s="6"/>
      <c r="O287" s="6"/>
      <c r="P287" s="6"/>
      <c r="Q287" s="1" t="b">
        <f t="shared" si="215"/>
        <v>1</v>
      </c>
      <c r="R287" s="6"/>
      <c r="S287" s="6"/>
    </row>
    <row r="288" spans="2:19" x14ac:dyDescent="0.15">
      <c r="C288" s="6"/>
      <c r="D288" s="6" t="s">
        <v>49</v>
      </c>
      <c r="E288" s="9" t="s">
        <v>409</v>
      </c>
      <c r="F288" s="14" t="s">
        <v>418</v>
      </c>
      <c r="G288" s="6">
        <v>16</v>
      </c>
      <c r="H288" s="6"/>
      <c r="I288" s="1" t="str">
        <f t="shared" ref="I288" si="217">TESTmultiple(E288,F288,G288)</f>
        <v>1020</v>
      </c>
      <c r="J288" s="6"/>
      <c r="K288" s="6"/>
      <c r="L288" s="6"/>
      <c r="M288" s="1" t="s">
        <v>419</v>
      </c>
      <c r="N288" s="6"/>
      <c r="O288" s="6"/>
      <c r="P288" s="6"/>
      <c r="Q288" s="1" t="b">
        <f t="shared" si="215"/>
        <v>1</v>
      </c>
      <c r="R288" s="6"/>
      <c r="S288" s="6"/>
    </row>
    <row r="289" spans="1:19" x14ac:dyDescent="0.15">
      <c r="C289" s="2" t="s">
        <v>421</v>
      </c>
      <c r="D289" s="2" t="s">
        <v>304</v>
      </c>
      <c r="E289" s="11" t="s">
        <v>403</v>
      </c>
      <c r="F289" s="13" t="s">
        <v>423</v>
      </c>
      <c r="G289" s="2">
        <v>3</v>
      </c>
      <c r="H289" s="2"/>
      <c r="I289" s="3" t="str">
        <f t="shared" ref="I289" si="218">TESTmultiple(E289,F289,G289)</f>
        <v>2101</v>
      </c>
      <c r="J289" s="2"/>
      <c r="K289" s="2"/>
      <c r="L289" s="2"/>
      <c r="M289" s="3" t="s">
        <v>424</v>
      </c>
      <c r="N289" s="2"/>
      <c r="O289" s="2"/>
      <c r="P289" s="2"/>
      <c r="Q289" s="3" t="b">
        <f t="shared" si="215"/>
        <v>1</v>
      </c>
      <c r="R289" s="6"/>
      <c r="S289" s="6"/>
    </row>
    <row r="290" spans="1:19" x14ac:dyDescent="0.15">
      <c r="C290" s="6" t="s">
        <v>420</v>
      </c>
      <c r="D290" s="6" t="s">
        <v>47</v>
      </c>
      <c r="E290" s="9" t="s">
        <v>423</v>
      </c>
      <c r="F290" s="14" t="s">
        <v>425</v>
      </c>
      <c r="G290" s="6">
        <v>10</v>
      </c>
      <c r="H290" s="6"/>
      <c r="I290" s="1" t="str">
        <f t="shared" ref="I290" si="219">TESTmultiple(E290,F290,G290)</f>
        <v>1210</v>
      </c>
      <c r="J290" s="6"/>
      <c r="K290" s="6"/>
      <c r="L290" s="6"/>
      <c r="M290" s="1" t="s">
        <v>426</v>
      </c>
      <c r="N290" s="6"/>
      <c r="O290" s="6"/>
      <c r="P290" s="6"/>
      <c r="Q290" s="1" t="b">
        <f t="shared" si="215"/>
        <v>1</v>
      </c>
      <c r="R290" s="6"/>
      <c r="S290" s="6"/>
    </row>
    <row r="291" spans="1:19" x14ac:dyDescent="0.15">
      <c r="C291" s="6"/>
      <c r="D291" s="6" t="s">
        <v>49</v>
      </c>
      <c r="E291" s="9" t="s">
        <v>423</v>
      </c>
      <c r="F291" s="14" t="s">
        <v>427</v>
      </c>
      <c r="G291" s="6">
        <v>16</v>
      </c>
      <c r="H291" s="6"/>
      <c r="I291" s="1" t="str">
        <f t="shared" ref="I291" si="220">TESTmultiple(E291,F291,G291)</f>
        <v>1210</v>
      </c>
      <c r="J291" s="6"/>
      <c r="K291" s="6"/>
      <c r="L291" s="6"/>
      <c r="M291" s="1" t="s">
        <v>426</v>
      </c>
      <c r="N291" s="6"/>
      <c r="O291" s="6"/>
      <c r="P291" s="6"/>
      <c r="Q291" s="1" t="b">
        <f t="shared" si="215"/>
        <v>1</v>
      </c>
      <c r="R291" s="6"/>
      <c r="S291" s="6"/>
    </row>
    <row r="292" spans="1:19" x14ac:dyDescent="0.15">
      <c r="B292" s="2" t="s">
        <v>428</v>
      </c>
      <c r="C292" s="24" t="s">
        <v>435</v>
      </c>
      <c r="D292" s="2" t="s">
        <v>304</v>
      </c>
      <c r="E292" s="11" t="s">
        <v>403</v>
      </c>
      <c r="F292" s="13" t="s">
        <v>436</v>
      </c>
      <c r="G292" s="2">
        <v>3</v>
      </c>
      <c r="H292" s="2"/>
      <c r="I292" s="3" t="str">
        <f t="shared" ref="I292:I294" si="221">TESTmultiple(E292,F292,G292)</f>
        <v>12100</v>
      </c>
      <c r="J292" s="2"/>
      <c r="K292" s="2"/>
      <c r="L292" s="2"/>
      <c r="M292" s="3" t="s">
        <v>439</v>
      </c>
      <c r="N292" s="2"/>
      <c r="O292" s="2"/>
      <c r="P292" s="2"/>
      <c r="Q292" s="3" t="b">
        <f t="shared" si="215"/>
        <v>1</v>
      </c>
      <c r="R292" s="6"/>
      <c r="S292" s="6"/>
    </row>
    <row r="293" spans="1:19" x14ac:dyDescent="0.15">
      <c r="C293" s="6"/>
      <c r="D293" s="6" t="s">
        <v>47</v>
      </c>
      <c r="E293" s="9" t="s">
        <v>403</v>
      </c>
      <c r="F293" s="14" t="s">
        <v>437</v>
      </c>
      <c r="G293" s="6">
        <v>10</v>
      </c>
      <c r="H293" s="6"/>
      <c r="I293" s="1" t="str">
        <f t="shared" si="221"/>
        <v>11000</v>
      </c>
      <c r="J293" s="6"/>
      <c r="K293" s="6"/>
      <c r="L293" s="6"/>
      <c r="M293" s="1" t="s">
        <v>440</v>
      </c>
      <c r="N293" s="6"/>
      <c r="O293" s="6"/>
      <c r="P293" s="6"/>
      <c r="Q293" s="1" t="b">
        <f t="shared" si="215"/>
        <v>1</v>
      </c>
      <c r="R293" s="6"/>
      <c r="S293" s="6"/>
    </row>
    <row r="294" spans="1:19" x14ac:dyDescent="0.15">
      <c r="C294" s="6"/>
      <c r="D294" s="6" t="s">
        <v>49</v>
      </c>
      <c r="E294" s="9" t="s">
        <v>403</v>
      </c>
      <c r="F294" s="14" t="s">
        <v>438</v>
      </c>
      <c r="G294" s="6">
        <v>16</v>
      </c>
      <c r="H294" s="6"/>
      <c r="I294" s="1" t="str">
        <f t="shared" si="221"/>
        <v>11000</v>
      </c>
      <c r="J294" s="6"/>
      <c r="K294" s="6"/>
      <c r="L294" s="6"/>
      <c r="M294" s="1" t="s">
        <v>440</v>
      </c>
      <c r="N294" s="6"/>
      <c r="O294" s="6"/>
      <c r="P294" s="6"/>
      <c r="Q294" s="1" t="b">
        <f t="shared" si="215"/>
        <v>1</v>
      </c>
      <c r="R294" s="6"/>
      <c r="S294" s="6"/>
    </row>
    <row r="295" spans="1:19" x14ac:dyDescent="0.15">
      <c r="C295" s="24" t="s">
        <v>429</v>
      </c>
      <c r="D295" s="2" t="s">
        <v>304</v>
      </c>
      <c r="E295" s="11" t="s">
        <v>403</v>
      </c>
      <c r="F295" s="13" t="s">
        <v>430</v>
      </c>
      <c r="G295" s="2">
        <v>3</v>
      </c>
      <c r="H295" s="2"/>
      <c r="I295" s="3" t="str">
        <f t="shared" ref="I295:I297" si="222">TESTmultiple(E295,F295,G295)</f>
        <v>21201</v>
      </c>
      <c r="J295" s="2"/>
      <c r="K295" s="2"/>
      <c r="L295" s="2"/>
      <c r="M295" s="3" t="s">
        <v>433</v>
      </c>
      <c r="N295" s="2"/>
      <c r="O295" s="2"/>
      <c r="P295" s="2"/>
      <c r="Q295" s="3" t="b">
        <f t="shared" si="215"/>
        <v>1</v>
      </c>
      <c r="R295" s="6"/>
      <c r="S295" s="6"/>
    </row>
    <row r="296" spans="1:19" x14ac:dyDescent="0.15">
      <c r="C296" s="6"/>
      <c r="D296" s="6" t="s">
        <v>47</v>
      </c>
      <c r="E296" s="9" t="s">
        <v>403</v>
      </c>
      <c r="F296" s="14" t="s">
        <v>431</v>
      </c>
      <c r="G296" s="6">
        <v>10</v>
      </c>
      <c r="H296" s="6"/>
      <c r="I296" s="1" t="str">
        <f t="shared" si="222"/>
        <v>12210</v>
      </c>
      <c r="J296" s="6"/>
      <c r="K296" s="6"/>
      <c r="L296" s="6"/>
      <c r="M296" s="1" t="s">
        <v>434</v>
      </c>
      <c r="N296" s="6"/>
      <c r="O296" s="6"/>
      <c r="P296" s="6"/>
      <c r="Q296" s="1" t="b">
        <f t="shared" si="215"/>
        <v>1</v>
      </c>
      <c r="R296" s="6"/>
      <c r="S296" s="6"/>
    </row>
    <row r="297" spans="1:19" x14ac:dyDescent="0.15">
      <c r="C297" s="6"/>
      <c r="D297" s="6" t="s">
        <v>49</v>
      </c>
      <c r="E297" s="9" t="s">
        <v>403</v>
      </c>
      <c r="F297" s="14" t="s">
        <v>432</v>
      </c>
      <c r="G297" s="6">
        <v>16</v>
      </c>
      <c r="H297" s="6"/>
      <c r="I297" s="1" t="str">
        <f t="shared" si="222"/>
        <v>12210</v>
      </c>
      <c r="J297" s="6"/>
      <c r="K297" s="6"/>
      <c r="L297" s="6"/>
      <c r="M297" s="1" t="s">
        <v>434</v>
      </c>
      <c r="N297" s="6"/>
      <c r="O297" s="6"/>
      <c r="P297" s="6"/>
      <c r="Q297" s="1" t="b">
        <f t="shared" si="215"/>
        <v>1</v>
      </c>
      <c r="R297" s="6"/>
      <c r="S297" s="6"/>
    </row>
    <row r="298" spans="1:19" x14ac:dyDescent="0.15">
      <c r="A298" s="2" t="s">
        <v>294</v>
      </c>
      <c r="B298" s="2" t="s">
        <v>295</v>
      </c>
      <c r="C298" s="2"/>
      <c r="D298" s="2"/>
      <c r="E298" s="11" t="s">
        <v>300</v>
      </c>
      <c r="F298" s="13" t="s">
        <v>297</v>
      </c>
      <c r="G298" s="24">
        <v>2</v>
      </c>
      <c r="H298" s="2"/>
      <c r="I298" s="3" t="str">
        <f t="shared" ref="I298:I299" si="223">TESTmultipleByOneDigit(E298,F298,G298)</f>
        <v>00</v>
      </c>
      <c r="J298" s="24"/>
      <c r="K298" s="2"/>
      <c r="L298" s="2"/>
      <c r="M298" s="3" t="s">
        <v>98</v>
      </c>
      <c r="N298" s="2"/>
      <c r="O298" s="2"/>
      <c r="P298" s="2"/>
      <c r="Q298" s="3" t="b">
        <f t="shared" si="215"/>
        <v>1</v>
      </c>
      <c r="R298" s="6"/>
      <c r="S298" s="6"/>
    </row>
    <row r="299" spans="1:19" x14ac:dyDescent="0.15">
      <c r="B299" s="28" t="s">
        <v>296</v>
      </c>
      <c r="C299" s="28"/>
      <c r="D299" s="28"/>
      <c r="E299" s="29" t="s">
        <v>301</v>
      </c>
      <c r="F299" s="30" t="s">
        <v>298</v>
      </c>
      <c r="G299" s="31">
        <v>2</v>
      </c>
      <c r="H299" s="28"/>
      <c r="I299" s="32" t="str">
        <f t="shared" si="223"/>
        <v>101</v>
      </c>
      <c r="J299" s="28"/>
      <c r="K299" s="28"/>
      <c r="L299" s="28"/>
      <c r="M299" s="32" t="s">
        <v>280</v>
      </c>
      <c r="N299" s="28"/>
      <c r="O299" s="28"/>
      <c r="P299" s="28"/>
      <c r="Q299" s="32" t="b">
        <f t="shared" si="215"/>
        <v>1</v>
      </c>
      <c r="R299" s="6"/>
      <c r="S299" s="6"/>
    </row>
    <row r="300" spans="1:19" x14ac:dyDescent="0.15">
      <c r="B300" t="s">
        <v>302</v>
      </c>
      <c r="C300" s="6" t="s">
        <v>303</v>
      </c>
      <c r="D300" s="7" t="s">
        <v>304</v>
      </c>
      <c r="E300" s="9" t="s">
        <v>308</v>
      </c>
      <c r="F300" s="14" t="s">
        <v>310</v>
      </c>
      <c r="G300" s="7">
        <v>3</v>
      </c>
      <c r="H300" s="6"/>
      <c r="I300" s="1" t="str">
        <f t="shared" ref="I300" si="224">TESTmultipleByOneDigit(E300,F300,G300)</f>
        <v>11</v>
      </c>
      <c r="J300" s="6"/>
      <c r="K300" s="6"/>
      <c r="L300" s="6"/>
      <c r="M300" s="1" t="s">
        <v>18</v>
      </c>
      <c r="N300" s="6"/>
      <c r="O300" s="6"/>
      <c r="P300" s="6"/>
      <c r="Q300" s="1" t="b">
        <f t="shared" ref="Q300:Q302" si="225">getText(I300)=getText(M300)</f>
        <v>1</v>
      </c>
      <c r="R300" s="6"/>
      <c r="S300" s="6"/>
    </row>
    <row r="301" spans="1:19" x14ac:dyDescent="0.15">
      <c r="C301" s="6"/>
      <c r="D301" s="7" t="s">
        <v>305</v>
      </c>
      <c r="E301" s="9" t="s">
        <v>308</v>
      </c>
      <c r="F301" s="14" t="s">
        <v>311</v>
      </c>
      <c r="G301" s="7">
        <v>10</v>
      </c>
      <c r="H301" s="6"/>
      <c r="I301" s="1" t="str">
        <f t="shared" ref="I301:I303" si="226">TESTmultipleByOneDigit(E301,F301,G301)</f>
        <v>4</v>
      </c>
      <c r="J301" s="6"/>
      <c r="K301" s="6"/>
      <c r="L301" s="6"/>
      <c r="M301" s="1" t="s">
        <v>314</v>
      </c>
      <c r="N301" s="6"/>
      <c r="O301" s="6"/>
      <c r="P301" s="6"/>
      <c r="Q301" s="1" t="b">
        <f t="shared" si="225"/>
        <v>1</v>
      </c>
      <c r="R301" s="6"/>
      <c r="S301" s="6"/>
    </row>
    <row r="302" spans="1:19" x14ac:dyDescent="0.15">
      <c r="C302" s="6"/>
      <c r="D302" s="7" t="s">
        <v>306</v>
      </c>
      <c r="E302" s="9" t="s">
        <v>313</v>
      </c>
      <c r="F302" s="14" t="s">
        <v>312</v>
      </c>
      <c r="G302" s="7">
        <v>16</v>
      </c>
      <c r="H302" s="6"/>
      <c r="I302" s="1" t="str">
        <f t="shared" si="226"/>
        <v>A</v>
      </c>
      <c r="J302" s="6"/>
      <c r="K302" s="6"/>
      <c r="L302" s="6"/>
      <c r="M302" s="1" t="s">
        <v>315</v>
      </c>
      <c r="N302" s="6"/>
      <c r="O302" s="6"/>
      <c r="P302" s="6"/>
      <c r="Q302" s="1" t="b">
        <f t="shared" si="225"/>
        <v>1</v>
      </c>
      <c r="R302" s="6"/>
      <c r="S302" s="6"/>
    </row>
    <row r="303" spans="1:19" x14ac:dyDescent="0.15">
      <c r="C303" s="2" t="s">
        <v>318</v>
      </c>
      <c r="D303" s="24" t="s">
        <v>304</v>
      </c>
      <c r="E303" s="11" t="s">
        <v>316</v>
      </c>
      <c r="F303" s="13" t="s">
        <v>310</v>
      </c>
      <c r="G303" s="24">
        <v>3</v>
      </c>
      <c r="H303" s="2"/>
      <c r="I303" s="3" t="str">
        <f t="shared" si="226"/>
        <v>121</v>
      </c>
      <c r="J303" s="2"/>
      <c r="K303" s="2"/>
      <c r="L303" s="2"/>
      <c r="M303" s="3" t="s">
        <v>319</v>
      </c>
      <c r="N303" s="2"/>
      <c r="O303" s="2"/>
      <c r="P303" s="2"/>
      <c r="Q303" s="3" t="b">
        <f t="shared" ref="Q303:Q305" si="227">getText(I303)=getText(M303)</f>
        <v>1</v>
      </c>
      <c r="R303" s="6"/>
      <c r="S303" s="6"/>
    </row>
    <row r="304" spans="1:19" x14ac:dyDescent="0.15">
      <c r="C304" s="6"/>
      <c r="D304" s="7" t="s">
        <v>305</v>
      </c>
      <c r="E304" s="9" t="s">
        <v>316</v>
      </c>
      <c r="F304" s="14" t="s">
        <v>311</v>
      </c>
      <c r="G304" s="7">
        <v>10</v>
      </c>
      <c r="H304" s="6"/>
      <c r="I304" s="1" t="str">
        <f t="shared" ref="I304:I306" si="228">TESTmultipleByOneDigit(E304,F304,G304)</f>
        <v>44</v>
      </c>
      <c r="J304" s="6"/>
      <c r="K304" s="6"/>
      <c r="L304" s="6"/>
      <c r="M304" s="1" t="s">
        <v>320</v>
      </c>
      <c r="N304" s="6"/>
      <c r="O304" s="6"/>
      <c r="P304" s="6"/>
      <c r="Q304" s="1" t="b">
        <f t="shared" si="227"/>
        <v>1</v>
      </c>
      <c r="R304" s="6"/>
      <c r="S304" s="6"/>
    </row>
    <row r="305" spans="2:19" x14ac:dyDescent="0.15">
      <c r="C305" s="6"/>
      <c r="D305" s="7" t="s">
        <v>306</v>
      </c>
      <c r="E305" s="9" t="s">
        <v>317</v>
      </c>
      <c r="F305" s="14" t="s">
        <v>312</v>
      </c>
      <c r="G305" s="7">
        <v>16</v>
      </c>
      <c r="H305" s="6"/>
      <c r="I305" s="1" t="str">
        <f t="shared" si="228"/>
        <v>AA</v>
      </c>
      <c r="J305" s="6"/>
      <c r="K305" s="6"/>
      <c r="L305" s="6"/>
      <c r="M305" s="1" t="s">
        <v>321</v>
      </c>
      <c r="N305" s="6"/>
      <c r="O305" s="6"/>
      <c r="P305" s="6"/>
      <c r="Q305" s="1" t="b">
        <f t="shared" si="227"/>
        <v>1</v>
      </c>
      <c r="R305" s="6"/>
      <c r="S305" s="6"/>
    </row>
    <row r="306" spans="2:19" x14ac:dyDescent="0.15">
      <c r="C306" s="2" t="s">
        <v>322</v>
      </c>
      <c r="D306" s="24" t="s">
        <v>304</v>
      </c>
      <c r="E306" s="11" t="s">
        <v>323</v>
      </c>
      <c r="F306" s="13" t="s">
        <v>310</v>
      </c>
      <c r="G306" s="24">
        <v>3</v>
      </c>
      <c r="H306" s="2"/>
      <c r="I306" s="3" t="str">
        <f t="shared" si="228"/>
        <v>1221</v>
      </c>
      <c r="J306" s="2"/>
      <c r="K306" s="2"/>
      <c r="L306" s="2"/>
      <c r="M306" s="3" t="s">
        <v>325</v>
      </c>
      <c r="N306" s="2"/>
      <c r="O306" s="2"/>
      <c r="P306" s="2"/>
      <c r="Q306" s="3" t="b">
        <f t="shared" ref="Q306:Q308" si="229">getText(I306)=getText(M306)</f>
        <v>1</v>
      </c>
      <c r="R306" s="6"/>
      <c r="S306" s="6"/>
    </row>
    <row r="307" spans="2:19" x14ac:dyDescent="0.15">
      <c r="C307" s="6"/>
      <c r="D307" s="7" t="s">
        <v>305</v>
      </c>
      <c r="E307" s="9" t="s">
        <v>323</v>
      </c>
      <c r="F307" s="14" t="s">
        <v>311</v>
      </c>
      <c r="G307" s="7">
        <v>10</v>
      </c>
      <c r="H307" s="6"/>
      <c r="I307" s="1" t="str">
        <f t="shared" ref="I307:I308" si="230">TESTmultipleByOneDigit(E307,F307,G307)</f>
        <v>444</v>
      </c>
      <c r="J307" s="6"/>
      <c r="K307" s="6"/>
      <c r="L307" s="6"/>
      <c r="M307" s="1" t="s">
        <v>326</v>
      </c>
      <c r="N307" s="6"/>
      <c r="O307" s="6"/>
      <c r="P307" s="6"/>
      <c r="Q307" s="1" t="b">
        <f t="shared" si="229"/>
        <v>1</v>
      </c>
      <c r="R307" s="6"/>
      <c r="S307" s="6"/>
    </row>
    <row r="308" spans="2:19" x14ac:dyDescent="0.15">
      <c r="C308" s="6"/>
      <c r="D308" s="7" t="s">
        <v>306</v>
      </c>
      <c r="E308" s="9" t="s">
        <v>324</v>
      </c>
      <c r="F308" s="14" t="s">
        <v>312</v>
      </c>
      <c r="G308" s="7">
        <v>16</v>
      </c>
      <c r="H308" s="6"/>
      <c r="I308" s="1" t="str">
        <f t="shared" si="230"/>
        <v>AAA</v>
      </c>
      <c r="J308" s="6"/>
      <c r="K308" s="6"/>
      <c r="L308" s="6"/>
      <c r="M308" s="1" t="s">
        <v>327</v>
      </c>
      <c r="N308" s="6"/>
      <c r="O308" s="6"/>
      <c r="P308" s="6"/>
      <c r="Q308" s="1" t="b">
        <f t="shared" si="229"/>
        <v>1</v>
      </c>
      <c r="R308" s="6"/>
      <c r="S308" s="6"/>
    </row>
    <row r="309" spans="2:19" x14ac:dyDescent="0.15">
      <c r="B309" s="2" t="s">
        <v>329</v>
      </c>
      <c r="C309" s="2" t="s">
        <v>328</v>
      </c>
      <c r="D309" s="24" t="s">
        <v>304</v>
      </c>
      <c r="E309" s="11" t="s">
        <v>330</v>
      </c>
      <c r="F309" s="13" t="s">
        <v>330</v>
      </c>
      <c r="G309" s="24">
        <v>3</v>
      </c>
      <c r="H309" s="2"/>
      <c r="I309" s="3" t="str">
        <f t="shared" ref="I309:I311" si="231">TESTmultipleByOneDigit(E309,F309,G309)</f>
        <v>0</v>
      </c>
      <c r="J309" s="2"/>
      <c r="K309" s="2"/>
      <c r="L309" s="2"/>
      <c r="M309" s="3" t="s">
        <v>14</v>
      </c>
      <c r="N309" s="2"/>
      <c r="O309" s="2"/>
      <c r="P309" s="2"/>
      <c r="Q309" s="3" t="b">
        <f t="shared" ref="Q309:Q311" si="232">getText(I309)=getText(M309)</f>
        <v>1</v>
      </c>
      <c r="R309" s="6"/>
      <c r="S309" s="6"/>
    </row>
    <row r="310" spans="2:19" x14ac:dyDescent="0.15">
      <c r="B310" t="s">
        <v>333</v>
      </c>
      <c r="C310" s="6"/>
      <c r="D310" s="7" t="s">
        <v>305</v>
      </c>
      <c r="E310" s="9" t="s">
        <v>331</v>
      </c>
      <c r="F310" s="14" t="s">
        <v>331</v>
      </c>
      <c r="G310" s="7">
        <v>10</v>
      </c>
      <c r="H310" s="6"/>
      <c r="I310" s="1" t="str">
        <f t="shared" si="231"/>
        <v>0</v>
      </c>
      <c r="J310" s="6"/>
      <c r="K310" s="6"/>
      <c r="L310" s="6"/>
      <c r="M310" s="1" t="s">
        <v>14</v>
      </c>
      <c r="N310" s="6"/>
      <c r="O310" s="6"/>
      <c r="P310" s="6"/>
      <c r="Q310" s="1" t="b">
        <f t="shared" si="232"/>
        <v>1</v>
      </c>
      <c r="R310" s="6"/>
      <c r="S310" s="6"/>
    </row>
    <row r="311" spans="2:19" x14ac:dyDescent="0.15">
      <c r="B311" t="s">
        <v>334</v>
      </c>
      <c r="C311" s="6"/>
      <c r="D311" s="7" t="s">
        <v>306</v>
      </c>
      <c r="E311" s="9" t="s">
        <v>331</v>
      </c>
      <c r="F311" s="14" t="s">
        <v>331</v>
      </c>
      <c r="G311" s="7">
        <v>16</v>
      </c>
      <c r="H311" s="6"/>
      <c r="I311" s="1" t="str">
        <f t="shared" si="231"/>
        <v>0</v>
      </c>
      <c r="J311" s="6"/>
      <c r="K311" s="6"/>
      <c r="L311" s="6"/>
      <c r="M311" s="1" t="s">
        <v>14</v>
      </c>
      <c r="N311" s="6"/>
      <c r="O311" s="6"/>
      <c r="P311" s="6"/>
      <c r="Q311" s="1" t="b">
        <f t="shared" si="232"/>
        <v>1</v>
      </c>
      <c r="R311" s="6"/>
      <c r="S311" s="6"/>
    </row>
    <row r="312" spans="2:19" x14ac:dyDescent="0.15">
      <c r="C312" s="2" t="s">
        <v>332</v>
      </c>
      <c r="D312" s="24" t="s">
        <v>304</v>
      </c>
      <c r="E312" s="11" t="s">
        <v>335</v>
      </c>
      <c r="F312" s="13" t="s">
        <v>336</v>
      </c>
      <c r="G312" s="24">
        <v>3</v>
      </c>
      <c r="H312" s="2"/>
      <c r="I312" s="3" t="str">
        <f t="shared" ref="I312:I314" si="233">TESTmultipleByOneDigit(E312,F312,G312)</f>
        <v>0</v>
      </c>
      <c r="J312" s="2"/>
      <c r="K312" s="2"/>
      <c r="L312" s="2"/>
      <c r="M312" s="3" t="s">
        <v>14</v>
      </c>
      <c r="N312" s="2"/>
      <c r="O312" s="2"/>
      <c r="P312" s="2"/>
      <c r="Q312" s="3" t="b">
        <f t="shared" ref="Q312:Q314" si="234">getText(I312)=getText(M312)</f>
        <v>1</v>
      </c>
      <c r="R312" s="6"/>
      <c r="S312" s="6"/>
    </row>
    <row r="313" spans="2:19" x14ac:dyDescent="0.15">
      <c r="C313" s="6"/>
      <c r="D313" s="7" t="s">
        <v>305</v>
      </c>
      <c r="E313" s="9" t="s">
        <v>335</v>
      </c>
      <c r="F313" s="14" t="s">
        <v>337</v>
      </c>
      <c r="G313" s="7">
        <v>10</v>
      </c>
      <c r="H313" s="6"/>
      <c r="I313" s="1" t="str">
        <f t="shared" si="233"/>
        <v>0</v>
      </c>
      <c r="J313" s="6"/>
      <c r="K313" s="6"/>
      <c r="L313" s="6"/>
      <c r="M313" s="1" t="s">
        <v>14</v>
      </c>
      <c r="N313" s="6"/>
      <c r="O313" s="6"/>
      <c r="P313" s="6"/>
      <c r="Q313" s="1" t="b">
        <f t="shared" si="234"/>
        <v>1</v>
      </c>
      <c r="R313" s="6"/>
      <c r="S313" s="6"/>
    </row>
    <row r="314" spans="2:19" x14ac:dyDescent="0.15">
      <c r="C314" s="6"/>
      <c r="D314" s="7" t="s">
        <v>306</v>
      </c>
      <c r="E314" s="9" t="s">
        <v>335</v>
      </c>
      <c r="F314" s="14" t="s">
        <v>338</v>
      </c>
      <c r="G314" s="7">
        <v>16</v>
      </c>
      <c r="H314" s="6"/>
      <c r="I314" s="1" t="str">
        <f t="shared" si="233"/>
        <v>0</v>
      </c>
      <c r="J314" s="6"/>
      <c r="K314" s="6"/>
      <c r="L314" s="6"/>
      <c r="M314" s="1" t="s">
        <v>14</v>
      </c>
      <c r="N314" s="6"/>
      <c r="O314" s="6"/>
      <c r="P314" s="6"/>
      <c r="Q314" s="1" t="b">
        <f t="shared" si="234"/>
        <v>1</v>
      </c>
      <c r="R314" s="6"/>
      <c r="S314" s="6"/>
    </row>
    <row r="315" spans="2:19" x14ac:dyDescent="0.15">
      <c r="C315" s="2" t="s">
        <v>339</v>
      </c>
      <c r="D315" s="24" t="s">
        <v>304</v>
      </c>
      <c r="E315" s="11" t="s">
        <v>340</v>
      </c>
      <c r="F315" s="13" t="s">
        <v>330</v>
      </c>
      <c r="G315" s="24">
        <v>3</v>
      </c>
      <c r="H315" s="2"/>
      <c r="I315" s="3" t="str">
        <f t="shared" ref="I315:I318" si="235">TESTmultipleByOneDigit(E315,F315,G315)</f>
        <v>0</v>
      </c>
      <c r="J315" s="2"/>
      <c r="K315" s="2"/>
      <c r="L315" s="2"/>
      <c r="M315" s="3" t="s">
        <v>14</v>
      </c>
      <c r="N315" s="2"/>
      <c r="O315" s="2"/>
      <c r="P315" s="2"/>
      <c r="Q315" s="3" t="b">
        <f t="shared" ref="Q315:Q317" si="236">getText(I315)=getText(M315)</f>
        <v>1</v>
      </c>
      <c r="R315" s="6"/>
      <c r="S315" s="6"/>
    </row>
    <row r="316" spans="2:19" x14ac:dyDescent="0.15">
      <c r="C316" s="6"/>
      <c r="D316" s="7" t="s">
        <v>305</v>
      </c>
      <c r="E316" s="9" t="s">
        <v>341</v>
      </c>
      <c r="F316" s="14" t="s">
        <v>330</v>
      </c>
      <c r="G316" s="7">
        <v>10</v>
      </c>
      <c r="H316" s="6"/>
      <c r="I316" s="1" t="str">
        <f t="shared" si="235"/>
        <v>0</v>
      </c>
      <c r="J316" s="6"/>
      <c r="K316" s="6"/>
      <c r="L316" s="6"/>
      <c r="M316" s="1" t="s">
        <v>14</v>
      </c>
      <c r="N316" s="6"/>
      <c r="O316" s="6"/>
      <c r="P316" s="6"/>
      <c r="Q316" s="1" t="b">
        <f t="shared" si="236"/>
        <v>1</v>
      </c>
      <c r="R316" s="6"/>
      <c r="S316" s="6"/>
    </row>
    <row r="317" spans="2:19" x14ac:dyDescent="0.15">
      <c r="C317" s="6"/>
      <c r="D317" s="7" t="s">
        <v>306</v>
      </c>
      <c r="E317" s="9" t="s">
        <v>342</v>
      </c>
      <c r="F317" s="14" t="s">
        <v>335</v>
      </c>
      <c r="G317" s="7">
        <v>16</v>
      </c>
      <c r="H317" s="6"/>
      <c r="I317" s="1" t="str">
        <f t="shared" si="235"/>
        <v>0</v>
      </c>
      <c r="J317" s="6"/>
      <c r="K317" s="6"/>
      <c r="L317" s="6"/>
      <c r="M317" s="1" t="s">
        <v>14</v>
      </c>
      <c r="N317" s="6"/>
      <c r="O317" s="6"/>
      <c r="P317" s="6"/>
      <c r="Q317" s="1" t="b">
        <f t="shared" si="236"/>
        <v>1</v>
      </c>
      <c r="R317" s="6"/>
      <c r="S317" s="6"/>
    </row>
    <row r="318" spans="2:19" x14ac:dyDescent="0.15">
      <c r="C318" s="2" t="s">
        <v>343</v>
      </c>
      <c r="D318" s="33" t="s">
        <v>590</v>
      </c>
      <c r="E318" s="11" t="s">
        <v>382</v>
      </c>
      <c r="F318" s="13" t="s">
        <v>383</v>
      </c>
      <c r="G318" s="24">
        <v>3</v>
      </c>
      <c r="H318" s="2"/>
      <c r="I318" s="3" t="str">
        <f t="shared" si="235"/>
        <v>2</v>
      </c>
      <c r="J318" s="2"/>
      <c r="K318" s="2"/>
      <c r="L318" s="2"/>
      <c r="M318" s="3" t="s">
        <v>307</v>
      </c>
      <c r="N318" s="2"/>
      <c r="O318" s="2"/>
      <c r="P318" s="2"/>
      <c r="Q318" s="3" t="b">
        <f t="shared" ref="Q318:Q324" si="237">getText(I318)=getText(M318)</f>
        <v>1</v>
      </c>
      <c r="R318" s="6"/>
      <c r="S318" s="6"/>
    </row>
    <row r="319" spans="2:19" x14ac:dyDescent="0.15">
      <c r="C319" s="6"/>
      <c r="D319" s="7" t="s">
        <v>591</v>
      </c>
      <c r="E319" s="9" t="s">
        <v>307</v>
      </c>
      <c r="F319" s="14" t="s">
        <v>307</v>
      </c>
      <c r="G319" s="7">
        <v>3</v>
      </c>
      <c r="H319" s="6"/>
      <c r="I319" s="1" t="str">
        <f t="shared" ref="I319" si="238">TESTmultipleByOneDigit(E319,F319,G319)</f>
        <v>11</v>
      </c>
      <c r="J319" s="6"/>
      <c r="K319" s="6"/>
      <c r="L319" s="6"/>
      <c r="M319" s="1" t="s">
        <v>18</v>
      </c>
      <c r="N319" s="6"/>
      <c r="O319" s="6"/>
      <c r="P319" s="6"/>
      <c r="Q319" s="1" t="b">
        <f t="shared" si="237"/>
        <v>1</v>
      </c>
      <c r="R319" s="6"/>
      <c r="S319" s="6"/>
    </row>
    <row r="320" spans="2:19" x14ac:dyDescent="0.15">
      <c r="C320" s="6"/>
      <c r="D320" s="7" t="s">
        <v>592</v>
      </c>
      <c r="E320" s="9" t="s">
        <v>384</v>
      </c>
      <c r="F320" s="14" t="s">
        <v>384</v>
      </c>
      <c r="G320" s="7">
        <v>10</v>
      </c>
      <c r="H320" s="6"/>
      <c r="I320" s="1" t="str">
        <f t="shared" ref="I320" si="239">TESTmultipleByOneDigit(E320,F320,G320)</f>
        <v>9</v>
      </c>
      <c r="J320" s="6"/>
      <c r="K320" s="6"/>
      <c r="L320" s="6"/>
      <c r="M320" s="1" t="s">
        <v>101</v>
      </c>
      <c r="N320" s="6"/>
      <c r="O320" s="6"/>
      <c r="P320" s="6"/>
      <c r="Q320" s="1" t="b">
        <f t="shared" si="237"/>
        <v>1</v>
      </c>
      <c r="R320" s="6"/>
      <c r="S320" s="6"/>
    </row>
    <row r="321" spans="2:19" x14ac:dyDescent="0.15">
      <c r="C321" s="6"/>
      <c r="D321" s="7" t="s">
        <v>593</v>
      </c>
      <c r="E321" s="9" t="s">
        <v>346</v>
      </c>
      <c r="F321" s="14" t="s">
        <v>347</v>
      </c>
      <c r="G321" s="7">
        <v>10</v>
      </c>
      <c r="H321" s="6"/>
      <c r="I321" s="1" t="str">
        <f t="shared" ref="I321" si="240">TESTmultipleByOneDigit(E321,F321,G321)</f>
        <v>10</v>
      </c>
      <c r="J321" s="6"/>
      <c r="K321" s="6"/>
      <c r="L321" s="6"/>
      <c r="M321" s="1" t="s">
        <v>15</v>
      </c>
      <c r="N321" s="6"/>
      <c r="O321" s="6"/>
      <c r="P321" s="6"/>
      <c r="Q321" s="1" t="b">
        <f t="shared" si="237"/>
        <v>1</v>
      </c>
      <c r="R321" s="6"/>
      <c r="S321" s="6"/>
    </row>
    <row r="322" spans="2:19" x14ac:dyDescent="0.15">
      <c r="C322" s="6"/>
      <c r="D322" s="7" t="s">
        <v>594</v>
      </c>
      <c r="E322" s="9" t="s">
        <v>341</v>
      </c>
      <c r="F322" s="14" t="s">
        <v>101</v>
      </c>
      <c r="G322" s="7">
        <v>10</v>
      </c>
      <c r="H322" s="6"/>
      <c r="I322" s="1" t="str">
        <f t="shared" ref="I322" si="241">TESTmultipleByOneDigit(E322,F322,G322)</f>
        <v>81</v>
      </c>
      <c r="J322" s="6"/>
      <c r="K322" s="6"/>
      <c r="L322" s="6"/>
      <c r="M322" s="1" t="s">
        <v>345</v>
      </c>
      <c r="N322" s="6"/>
      <c r="O322" s="6"/>
      <c r="P322" s="6"/>
      <c r="Q322" s="1" t="b">
        <f t="shared" si="237"/>
        <v>1</v>
      </c>
      <c r="R322" s="6"/>
      <c r="S322" s="6"/>
    </row>
    <row r="323" spans="2:19" x14ac:dyDescent="0.15">
      <c r="C323" s="6"/>
      <c r="D323" s="7" t="s">
        <v>595</v>
      </c>
      <c r="E323" s="9" t="s">
        <v>385</v>
      </c>
      <c r="F323" s="14" t="s">
        <v>386</v>
      </c>
      <c r="G323" s="7">
        <v>16</v>
      </c>
      <c r="H323" s="6"/>
      <c r="I323" s="1" t="str">
        <f t="shared" ref="I323" si="242">TESTmultipleByOneDigit(E323,F323,G323)</f>
        <v>F</v>
      </c>
      <c r="J323" s="6"/>
      <c r="K323" s="6"/>
      <c r="L323" s="6"/>
      <c r="M323" s="1" t="s">
        <v>99</v>
      </c>
      <c r="N323" s="6"/>
      <c r="O323" s="6"/>
      <c r="P323" s="6"/>
      <c r="Q323" s="1" t="b">
        <f t="shared" si="237"/>
        <v>1</v>
      </c>
      <c r="R323" s="6"/>
      <c r="S323" s="6"/>
    </row>
    <row r="324" spans="2:19" x14ac:dyDescent="0.15">
      <c r="C324" s="6"/>
      <c r="D324" s="7" t="s">
        <v>596</v>
      </c>
      <c r="E324" s="9" t="s">
        <v>348</v>
      </c>
      <c r="F324" s="14" t="s">
        <v>310</v>
      </c>
      <c r="G324" s="7">
        <v>16</v>
      </c>
      <c r="H324" s="6"/>
      <c r="I324" s="1" t="str">
        <f t="shared" ref="I324" si="243">TESTmultipleByOneDigit(E324,F324,G324)</f>
        <v>10</v>
      </c>
      <c r="J324" s="6"/>
      <c r="K324" s="6"/>
      <c r="L324" s="6"/>
      <c r="M324" s="1" t="s">
        <v>15</v>
      </c>
      <c r="N324" s="6"/>
      <c r="O324" s="6"/>
      <c r="P324" s="6"/>
      <c r="Q324" s="1" t="b">
        <f t="shared" si="237"/>
        <v>1</v>
      </c>
      <c r="R324" s="6"/>
      <c r="S324" s="6"/>
    </row>
    <row r="325" spans="2:19" x14ac:dyDescent="0.15">
      <c r="C325" s="6"/>
      <c r="D325" s="7" t="s">
        <v>597</v>
      </c>
      <c r="E325" s="9" t="s">
        <v>342</v>
      </c>
      <c r="F325" s="14" t="s">
        <v>99</v>
      </c>
      <c r="G325" s="7">
        <v>16</v>
      </c>
      <c r="H325" s="6"/>
      <c r="I325" s="1" t="str">
        <f>TESTmultipleByOneDigit(E325,F325,G325)</f>
        <v>E1</v>
      </c>
      <c r="J325" s="6"/>
      <c r="K325" s="6"/>
      <c r="L325" s="6"/>
      <c r="M325" s="1" t="s">
        <v>344</v>
      </c>
      <c r="N325" s="6"/>
      <c r="O325" s="6"/>
      <c r="P325" s="6"/>
      <c r="Q325" s="1" t="b">
        <f t="shared" ref="Q325" si="244">getText(I325)=getText(M325)</f>
        <v>1</v>
      </c>
      <c r="R325" s="6"/>
      <c r="S325" s="6"/>
    </row>
    <row r="326" spans="2:19" x14ac:dyDescent="0.15">
      <c r="C326" s="2" t="s">
        <v>349</v>
      </c>
      <c r="D326" s="24" t="s">
        <v>304</v>
      </c>
      <c r="E326" s="11" t="s">
        <v>358</v>
      </c>
      <c r="F326" s="13" t="s">
        <v>357</v>
      </c>
      <c r="G326" s="24">
        <v>3</v>
      </c>
      <c r="H326" s="2"/>
      <c r="I326" s="3" t="str">
        <f>TESTmultipleByOneDigit(E326,F326,G326)</f>
        <v>00</v>
      </c>
      <c r="J326" s="2"/>
      <c r="K326" s="2"/>
      <c r="L326" s="2"/>
      <c r="M326" s="3" t="s">
        <v>98</v>
      </c>
      <c r="N326" s="2"/>
      <c r="O326" s="2"/>
      <c r="P326" s="2"/>
      <c r="Q326" s="3" t="b">
        <f t="shared" ref="Q326:Q328" si="245">getText(I326)=getText(M326)</f>
        <v>1</v>
      </c>
      <c r="R326" s="6"/>
      <c r="S326" s="6"/>
    </row>
    <row r="327" spans="2:19" x14ac:dyDescent="0.15">
      <c r="C327" s="6"/>
      <c r="D327" s="7" t="s">
        <v>305</v>
      </c>
      <c r="E327" s="9" t="s">
        <v>98</v>
      </c>
      <c r="F327" s="14" t="s">
        <v>14</v>
      </c>
      <c r="G327" s="7">
        <v>10</v>
      </c>
      <c r="H327" s="6"/>
      <c r="I327" s="1" t="str">
        <f t="shared" ref="I327:I328" si="246">TESTmultipleByOneDigit(E327,F327,G327)</f>
        <v>00</v>
      </c>
      <c r="J327" s="6"/>
      <c r="K327" s="6"/>
      <c r="L327" s="6"/>
      <c r="M327" s="1" t="s">
        <v>98</v>
      </c>
      <c r="N327" s="6"/>
      <c r="O327" s="6"/>
      <c r="P327" s="6"/>
      <c r="Q327" s="1" t="b">
        <f t="shared" si="245"/>
        <v>1</v>
      </c>
      <c r="R327" s="6"/>
      <c r="S327" s="6"/>
    </row>
    <row r="328" spans="2:19" x14ac:dyDescent="0.15">
      <c r="C328" s="6"/>
      <c r="D328" s="7" t="s">
        <v>306</v>
      </c>
      <c r="E328" s="9" t="s">
        <v>98</v>
      </c>
      <c r="F328" s="14" t="s">
        <v>14</v>
      </c>
      <c r="G328" s="7">
        <v>16</v>
      </c>
      <c r="H328" s="6"/>
      <c r="I328" s="1" t="str">
        <f t="shared" si="246"/>
        <v>00</v>
      </c>
      <c r="J328" s="6"/>
      <c r="K328" s="6"/>
      <c r="L328" s="6"/>
      <c r="M328" s="1" t="s">
        <v>98</v>
      </c>
      <c r="N328" s="6"/>
      <c r="O328" s="6"/>
      <c r="P328" s="6"/>
      <c r="Q328" s="1" t="b">
        <f t="shared" si="245"/>
        <v>1</v>
      </c>
      <c r="R328" s="6"/>
      <c r="S328" s="6"/>
    </row>
    <row r="329" spans="2:19" x14ac:dyDescent="0.15">
      <c r="B329" s="4" t="s">
        <v>372</v>
      </c>
      <c r="C329" s="2" t="s">
        <v>350</v>
      </c>
      <c r="D329" s="24" t="s">
        <v>304</v>
      </c>
      <c r="E329" s="11" t="s">
        <v>360</v>
      </c>
      <c r="F329" s="13" t="s">
        <v>361</v>
      </c>
      <c r="G329" s="24">
        <v>3</v>
      </c>
      <c r="H329" s="2"/>
      <c r="I329" s="3"/>
      <c r="J329" s="2"/>
      <c r="K329" s="2"/>
      <c r="L329" s="2"/>
      <c r="M329" s="3"/>
      <c r="N329" s="2"/>
      <c r="O329" s="2"/>
      <c r="P329" s="2"/>
      <c r="Q329" s="3"/>
      <c r="R329" s="6"/>
      <c r="S329" s="6"/>
    </row>
    <row r="330" spans="2:19" x14ac:dyDescent="0.15">
      <c r="C330" s="6"/>
      <c r="D330" s="7" t="s">
        <v>305</v>
      </c>
      <c r="E330" s="9" t="s">
        <v>359</v>
      </c>
      <c r="F330" s="14" t="s">
        <v>359</v>
      </c>
      <c r="G330" s="7">
        <v>10</v>
      </c>
      <c r="H330" s="6"/>
      <c r="J330" s="6"/>
      <c r="K330" s="6"/>
      <c r="L330" s="6"/>
      <c r="N330" s="6"/>
      <c r="O330" s="6"/>
      <c r="P330" s="6"/>
      <c r="R330" s="6"/>
      <c r="S330" s="6"/>
    </row>
    <row r="331" spans="2:19" x14ac:dyDescent="0.15">
      <c r="C331" s="6"/>
      <c r="D331" s="7" t="s">
        <v>306</v>
      </c>
      <c r="E331" s="9" t="s">
        <v>359</v>
      </c>
      <c r="F331" s="14" t="s">
        <v>359</v>
      </c>
      <c r="G331" s="7">
        <v>16</v>
      </c>
      <c r="H331" s="6"/>
      <c r="J331" s="6"/>
      <c r="K331" s="6"/>
      <c r="L331" s="6"/>
      <c r="N331" s="6"/>
      <c r="O331" s="6"/>
      <c r="P331" s="6"/>
      <c r="R331" s="6"/>
      <c r="S331" s="6"/>
    </row>
    <row r="332" spans="2:19" x14ac:dyDescent="0.15">
      <c r="C332" s="2" t="s">
        <v>351</v>
      </c>
      <c r="D332" s="24" t="s">
        <v>304</v>
      </c>
      <c r="E332" s="11" t="s">
        <v>358</v>
      </c>
      <c r="F332" s="13" t="s">
        <v>362</v>
      </c>
      <c r="G332" s="24">
        <v>3</v>
      </c>
      <c r="H332" s="2"/>
      <c r="I332" s="3" t="str">
        <f t="shared" ref="I332:I334" si="247">TESTmultipleByOneDigit(E332,F332,G332)</f>
        <v>00</v>
      </c>
      <c r="J332" s="2"/>
      <c r="K332" s="2"/>
      <c r="L332" s="2"/>
      <c r="M332" s="3" t="s">
        <v>98</v>
      </c>
      <c r="N332" s="2"/>
      <c r="O332" s="2"/>
      <c r="P332" s="2"/>
      <c r="Q332" s="3" t="b">
        <f t="shared" ref="Q332:Q334" si="248">getText(I332)=getText(M332)</f>
        <v>1</v>
      </c>
      <c r="R332" s="6"/>
      <c r="S332" s="6"/>
    </row>
    <row r="333" spans="2:19" x14ac:dyDescent="0.15">
      <c r="C333" s="6"/>
      <c r="D333" s="7" t="s">
        <v>305</v>
      </c>
      <c r="E333" s="9" t="s">
        <v>358</v>
      </c>
      <c r="F333" s="14" t="s">
        <v>363</v>
      </c>
      <c r="G333" s="7">
        <v>10</v>
      </c>
      <c r="H333" s="6"/>
      <c r="I333" s="1" t="str">
        <f t="shared" si="247"/>
        <v>00</v>
      </c>
      <c r="J333" s="6"/>
      <c r="K333" s="6"/>
      <c r="L333" s="6"/>
      <c r="M333" s="1" t="s">
        <v>98</v>
      </c>
      <c r="N333" s="6"/>
      <c r="O333" s="6"/>
      <c r="P333" s="6"/>
      <c r="Q333" s="1" t="b">
        <f t="shared" si="248"/>
        <v>1</v>
      </c>
      <c r="R333" s="6"/>
      <c r="S333" s="6"/>
    </row>
    <row r="334" spans="2:19" x14ac:dyDescent="0.15">
      <c r="C334" s="6"/>
      <c r="D334" s="7" t="s">
        <v>306</v>
      </c>
      <c r="E334" s="9" t="s">
        <v>358</v>
      </c>
      <c r="F334" s="14" t="s">
        <v>364</v>
      </c>
      <c r="G334" s="7">
        <v>16</v>
      </c>
      <c r="H334" s="6"/>
      <c r="I334" s="1" t="str">
        <f t="shared" si="247"/>
        <v>00</v>
      </c>
      <c r="J334" s="6"/>
      <c r="K334" s="6"/>
      <c r="L334" s="6"/>
      <c r="M334" s="1" t="s">
        <v>98</v>
      </c>
      <c r="N334" s="6"/>
      <c r="O334" s="6"/>
      <c r="P334" s="6"/>
      <c r="Q334" s="1" t="b">
        <f t="shared" si="248"/>
        <v>1</v>
      </c>
      <c r="R334" s="6"/>
      <c r="S334" s="6"/>
    </row>
    <row r="335" spans="2:19" x14ac:dyDescent="0.15">
      <c r="C335" s="2" t="s">
        <v>352</v>
      </c>
      <c r="D335" s="24" t="s">
        <v>304</v>
      </c>
      <c r="E335" s="11" t="s">
        <v>366</v>
      </c>
      <c r="F335" s="13" t="s">
        <v>362</v>
      </c>
      <c r="G335" s="24">
        <v>3</v>
      </c>
      <c r="H335" s="2"/>
      <c r="I335" s="3" t="str">
        <f t="shared" ref="I335:I337" si="249">TESTmultipleByOneDigit(E335,F335,G335)</f>
        <v>11</v>
      </c>
      <c r="J335" s="2"/>
      <c r="K335" s="2"/>
      <c r="L335" s="2"/>
      <c r="M335" s="3" t="s">
        <v>18</v>
      </c>
      <c r="N335" s="2"/>
      <c r="O335" s="2"/>
      <c r="P335" s="2"/>
      <c r="Q335" s="3" t="b">
        <f t="shared" ref="Q335:Q337" si="250">getText(I335)=getText(M335)</f>
        <v>1</v>
      </c>
      <c r="R335" s="6"/>
      <c r="S335" s="6"/>
    </row>
    <row r="336" spans="2:19" x14ac:dyDescent="0.15">
      <c r="C336" s="6"/>
      <c r="D336" s="7" t="s">
        <v>305</v>
      </c>
      <c r="E336" s="9" t="s">
        <v>367</v>
      </c>
      <c r="F336" s="14" t="s">
        <v>363</v>
      </c>
      <c r="G336" s="7">
        <v>10</v>
      </c>
      <c r="H336" s="6"/>
      <c r="I336" s="1" t="str">
        <f t="shared" si="249"/>
        <v>81</v>
      </c>
      <c r="J336" s="6"/>
      <c r="K336" s="6"/>
      <c r="L336" s="6"/>
      <c r="M336" s="1" t="s">
        <v>345</v>
      </c>
      <c r="N336" s="6"/>
      <c r="O336" s="6"/>
      <c r="P336" s="6"/>
      <c r="Q336" s="1" t="b">
        <f t="shared" si="250"/>
        <v>1</v>
      </c>
      <c r="R336" s="6"/>
      <c r="S336" s="6"/>
    </row>
    <row r="337" spans="1:19" x14ac:dyDescent="0.15">
      <c r="C337" s="6"/>
      <c r="D337" s="7" t="s">
        <v>306</v>
      </c>
      <c r="E337" s="9" t="s">
        <v>368</v>
      </c>
      <c r="F337" s="14" t="s">
        <v>364</v>
      </c>
      <c r="G337" s="7">
        <v>16</v>
      </c>
      <c r="H337" s="6"/>
      <c r="I337" s="1" t="str">
        <f t="shared" si="249"/>
        <v>E1</v>
      </c>
      <c r="J337" s="6"/>
      <c r="K337" s="6"/>
      <c r="L337" s="6"/>
      <c r="M337" s="1" t="s">
        <v>344</v>
      </c>
      <c r="N337" s="6"/>
      <c r="O337" s="6"/>
      <c r="P337" s="6"/>
      <c r="Q337" s="1" t="b">
        <f t="shared" si="250"/>
        <v>1</v>
      </c>
      <c r="R337" s="6"/>
      <c r="S337" s="6"/>
    </row>
    <row r="338" spans="1:19" x14ac:dyDescent="0.15">
      <c r="C338" s="2" t="s">
        <v>353</v>
      </c>
      <c r="D338" s="24" t="s">
        <v>304</v>
      </c>
      <c r="E338" s="11" t="s">
        <v>299</v>
      </c>
      <c r="F338" s="13" t="s">
        <v>365</v>
      </c>
      <c r="G338" s="24">
        <v>3</v>
      </c>
      <c r="H338" s="2"/>
      <c r="I338" s="3" t="str">
        <f t="shared" ref="I338:I340" si="251">TESTmultipleByOneDigit(E338,F338,G338)</f>
        <v>00</v>
      </c>
      <c r="J338" s="2"/>
      <c r="K338" s="2"/>
      <c r="L338" s="2"/>
      <c r="M338" s="3" t="s">
        <v>98</v>
      </c>
      <c r="N338" s="2"/>
      <c r="O338" s="2"/>
      <c r="P338" s="2"/>
      <c r="Q338" s="3" t="b">
        <f t="shared" ref="Q338:Q340" si="252">getText(I338)=getText(M338)</f>
        <v>1</v>
      </c>
      <c r="R338" s="6"/>
      <c r="S338" s="6"/>
    </row>
    <row r="339" spans="1:19" x14ac:dyDescent="0.15">
      <c r="C339" s="6"/>
      <c r="D339" s="7" t="s">
        <v>305</v>
      </c>
      <c r="E339" s="9" t="s">
        <v>299</v>
      </c>
      <c r="F339" s="14" t="s">
        <v>369</v>
      </c>
      <c r="G339" s="7">
        <v>10</v>
      </c>
      <c r="H339" s="6"/>
      <c r="I339" s="1" t="str">
        <f t="shared" si="251"/>
        <v>00</v>
      </c>
      <c r="J339" s="6"/>
      <c r="K339" s="6"/>
      <c r="L339" s="6"/>
      <c r="M339" s="1" t="s">
        <v>98</v>
      </c>
      <c r="N339" s="6"/>
      <c r="O339" s="6"/>
      <c r="P339" s="6"/>
      <c r="Q339" s="1" t="b">
        <f t="shared" si="252"/>
        <v>1</v>
      </c>
      <c r="R339" s="6"/>
      <c r="S339" s="6"/>
    </row>
    <row r="340" spans="1:19" x14ac:dyDescent="0.15">
      <c r="C340" s="6"/>
      <c r="D340" s="7" t="s">
        <v>306</v>
      </c>
      <c r="E340" s="9" t="s">
        <v>299</v>
      </c>
      <c r="F340" s="14" t="s">
        <v>365</v>
      </c>
      <c r="G340" s="7">
        <v>16</v>
      </c>
      <c r="H340" s="6"/>
      <c r="I340" s="1" t="str">
        <f t="shared" si="251"/>
        <v>00</v>
      </c>
      <c r="J340" s="6"/>
      <c r="K340" s="6"/>
      <c r="L340" s="6"/>
      <c r="M340" s="1" t="s">
        <v>98</v>
      </c>
      <c r="N340" s="6"/>
      <c r="O340" s="6"/>
      <c r="P340" s="6"/>
      <c r="Q340" s="1" t="b">
        <f t="shared" si="252"/>
        <v>1</v>
      </c>
      <c r="R340" s="6"/>
      <c r="S340" s="6"/>
    </row>
    <row r="341" spans="1:19" x14ac:dyDescent="0.15">
      <c r="B341" s="4" t="s">
        <v>372</v>
      </c>
      <c r="C341" s="2" t="s">
        <v>354</v>
      </c>
      <c r="D341" s="24" t="s">
        <v>304</v>
      </c>
      <c r="E341" s="11" t="s">
        <v>370</v>
      </c>
      <c r="F341" s="13" t="s">
        <v>371</v>
      </c>
      <c r="G341" s="24">
        <v>3</v>
      </c>
      <c r="H341" s="2"/>
      <c r="I341" s="3"/>
      <c r="J341" s="2"/>
      <c r="K341" s="2"/>
      <c r="L341" s="2"/>
      <c r="M341" s="3"/>
      <c r="N341" s="2"/>
      <c r="O341" s="2"/>
      <c r="P341" s="2"/>
      <c r="Q341" s="3"/>
      <c r="R341" s="6"/>
      <c r="S341" s="6"/>
    </row>
    <row r="342" spans="1:19" x14ac:dyDescent="0.15">
      <c r="C342" s="6"/>
      <c r="D342" s="7" t="s">
        <v>305</v>
      </c>
      <c r="E342" s="9" t="s">
        <v>359</v>
      </c>
      <c r="F342" s="14" t="s">
        <v>359</v>
      </c>
      <c r="G342" s="7">
        <v>10</v>
      </c>
      <c r="H342" s="6"/>
      <c r="J342" s="6"/>
      <c r="K342" s="6"/>
      <c r="L342" s="6"/>
      <c r="N342" s="6"/>
      <c r="O342" s="6"/>
      <c r="P342" s="6"/>
      <c r="R342" s="6"/>
      <c r="S342" s="6"/>
    </row>
    <row r="343" spans="1:19" x14ac:dyDescent="0.15">
      <c r="C343" s="6"/>
      <c r="D343" s="7" t="s">
        <v>306</v>
      </c>
      <c r="E343" s="9" t="s">
        <v>359</v>
      </c>
      <c r="F343" s="14" t="s">
        <v>359</v>
      </c>
      <c r="G343" s="7">
        <v>16</v>
      </c>
      <c r="H343" s="6"/>
      <c r="J343" s="6"/>
      <c r="K343" s="6"/>
      <c r="L343" s="6"/>
      <c r="N343" s="6"/>
      <c r="O343" s="6"/>
      <c r="P343" s="6"/>
      <c r="R343" s="6"/>
      <c r="S343" s="6"/>
    </row>
    <row r="344" spans="1:19" x14ac:dyDescent="0.15">
      <c r="C344" s="2" t="s">
        <v>355</v>
      </c>
      <c r="D344" s="24" t="s">
        <v>304</v>
      </c>
      <c r="E344" s="11" t="s">
        <v>373</v>
      </c>
      <c r="F344" s="13" t="s">
        <v>362</v>
      </c>
      <c r="G344" s="24">
        <v>3</v>
      </c>
      <c r="H344" s="2"/>
      <c r="I344" s="3" t="str">
        <f t="shared" ref="I344:I346" si="253">TESTmultipleByOneDigit(E344,F344,G344)</f>
        <v>110</v>
      </c>
      <c r="J344" s="2"/>
      <c r="K344" s="2"/>
      <c r="L344" s="2"/>
      <c r="M344" s="3" t="s">
        <v>291</v>
      </c>
      <c r="N344" s="2"/>
      <c r="O344" s="2"/>
      <c r="P344" s="2"/>
      <c r="Q344" s="3" t="b">
        <f t="shared" ref="Q344:Q346" si="254">getText(I344)=getText(M344)</f>
        <v>1</v>
      </c>
      <c r="R344" s="6"/>
      <c r="S344" s="6"/>
    </row>
    <row r="345" spans="1:19" x14ac:dyDescent="0.15">
      <c r="C345" s="6"/>
      <c r="D345" s="7" t="s">
        <v>305</v>
      </c>
      <c r="E345" s="9" t="s">
        <v>374</v>
      </c>
      <c r="F345" s="14" t="s">
        <v>363</v>
      </c>
      <c r="G345" s="7">
        <v>10</v>
      </c>
      <c r="H345" s="6"/>
      <c r="I345" s="1" t="str">
        <f t="shared" si="253"/>
        <v>810</v>
      </c>
      <c r="J345" s="6"/>
      <c r="K345" s="6"/>
      <c r="L345" s="6"/>
      <c r="M345" s="1" t="s">
        <v>376</v>
      </c>
      <c r="N345" s="6"/>
      <c r="O345" s="6"/>
      <c r="P345" s="6"/>
      <c r="Q345" s="1" t="b">
        <f t="shared" si="254"/>
        <v>1</v>
      </c>
      <c r="R345" s="6"/>
      <c r="S345" s="6"/>
    </row>
    <row r="346" spans="1:19" x14ac:dyDescent="0.15">
      <c r="C346" s="6"/>
      <c r="D346" s="7" t="s">
        <v>306</v>
      </c>
      <c r="E346" s="9" t="s">
        <v>375</v>
      </c>
      <c r="F346" s="14" t="s">
        <v>364</v>
      </c>
      <c r="G346" s="7">
        <v>16</v>
      </c>
      <c r="H346" s="6"/>
      <c r="I346" s="1" t="str">
        <f t="shared" si="253"/>
        <v>E10</v>
      </c>
      <c r="J346" s="6"/>
      <c r="K346" s="6"/>
      <c r="L346" s="6"/>
      <c r="M346" s="1" t="s">
        <v>377</v>
      </c>
      <c r="N346" s="6"/>
      <c r="O346" s="6"/>
      <c r="P346" s="6"/>
      <c r="Q346" s="1" t="b">
        <f t="shared" si="254"/>
        <v>1</v>
      </c>
      <c r="R346" s="6"/>
      <c r="S346" s="6"/>
    </row>
    <row r="347" spans="1:19" x14ac:dyDescent="0.15">
      <c r="C347" s="2" t="s">
        <v>356</v>
      </c>
      <c r="D347" s="24" t="s">
        <v>304</v>
      </c>
      <c r="E347" s="11" t="s">
        <v>309</v>
      </c>
      <c r="F347" s="13" t="s">
        <v>307</v>
      </c>
      <c r="G347" s="24">
        <v>3</v>
      </c>
      <c r="H347" s="2"/>
      <c r="I347" s="3" t="str">
        <f t="shared" ref="I347:I349" si="255">TESTmultipleByOneDigit(E347,F347,G347)</f>
        <v>121</v>
      </c>
      <c r="J347" s="2"/>
      <c r="K347" s="2"/>
      <c r="L347" s="2"/>
      <c r="M347" s="3" t="s">
        <v>319</v>
      </c>
      <c r="N347" s="2"/>
      <c r="O347" s="2"/>
      <c r="P347" s="2"/>
      <c r="Q347" s="3" t="b">
        <f t="shared" ref="Q347:Q349" si="256">getText(I347)=getText(M347)</f>
        <v>1</v>
      </c>
      <c r="R347" s="6"/>
      <c r="S347" s="6"/>
    </row>
    <row r="348" spans="1:19" x14ac:dyDescent="0.15">
      <c r="C348" s="6"/>
      <c r="D348" s="7" t="s">
        <v>305</v>
      </c>
      <c r="E348" s="9" t="s">
        <v>378</v>
      </c>
      <c r="F348" s="14" t="s">
        <v>101</v>
      </c>
      <c r="G348" s="7">
        <v>10</v>
      </c>
      <c r="H348" s="6"/>
      <c r="I348" s="1" t="str">
        <f t="shared" si="255"/>
        <v>891</v>
      </c>
      <c r="J348" s="6"/>
      <c r="K348" s="6"/>
      <c r="L348" s="6"/>
      <c r="M348" s="1" t="s">
        <v>380</v>
      </c>
      <c r="N348" s="6"/>
      <c r="O348" s="6"/>
      <c r="P348" s="6"/>
      <c r="Q348" s="1" t="b">
        <f t="shared" si="256"/>
        <v>1</v>
      </c>
      <c r="R348" s="6"/>
      <c r="S348" s="6"/>
    </row>
    <row r="349" spans="1:19" x14ac:dyDescent="0.15">
      <c r="C349" s="6"/>
      <c r="D349" s="7" t="s">
        <v>306</v>
      </c>
      <c r="E349" s="9" t="s">
        <v>379</v>
      </c>
      <c r="F349" s="14" t="s">
        <v>99</v>
      </c>
      <c r="G349" s="7">
        <v>16</v>
      </c>
      <c r="H349" s="6"/>
      <c r="I349" s="1" t="str">
        <f t="shared" si="255"/>
        <v>EF1</v>
      </c>
      <c r="J349" s="6"/>
      <c r="K349" s="6"/>
      <c r="L349" s="6"/>
      <c r="M349" s="1" t="s">
        <v>381</v>
      </c>
      <c r="N349" s="6"/>
      <c r="O349" s="6"/>
      <c r="P349" s="6"/>
      <c r="Q349" s="1" t="b">
        <f t="shared" si="256"/>
        <v>1</v>
      </c>
      <c r="R349" s="35"/>
      <c r="S349" s="35"/>
    </row>
    <row r="350" spans="1:19" s="2" customFormat="1" x14ac:dyDescent="0.15">
      <c r="A350" s="2" t="s">
        <v>59</v>
      </c>
      <c r="B350" s="2" t="s">
        <v>36</v>
      </c>
      <c r="C350" s="2" t="s">
        <v>38</v>
      </c>
      <c r="D350" s="2" t="s">
        <v>46</v>
      </c>
      <c r="E350" s="3">
        <v>1</v>
      </c>
      <c r="F350" s="13" t="s">
        <v>40</v>
      </c>
      <c r="G350" s="2">
        <v>2</v>
      </c>
      <c r="H350" s="2">
        <v>0</v>
      </c>
      <c r="I350" s="3" t="str">
        <f t="shared" ref="I350:I358" si="257">TESTdivide(E350,F350,G350,H350)</f>
        <v>0</v>
      </c>
      <c r="J350" s="2" t="str">
        <f t="shared" ref="J350:J358" si="258">TESTdivideByRef1(E350,F350,G350,H350)</f>
        <v>1</v>
      </c>
      <c r="K350" s="2">
        <f t="shared" ref="K350:K358" si="259">TESTdivideByRef2(E350,F350,G350,H350)</f>
        <v>0</v>
      </c>
      <c r="M350" s="3" t="s">
        <v>14</v>
      </c>
      <c r="N350" s="2" t="s">
        <v>44</v>
      </c>
      <c r="O350" s="2">
        <v>0</v>
      </c>
      <c r="Q350" s="3" t="b">
        <f t="shared" ref="Q350" si="260">getText(I350)=getText(M350)</f>
        <v>1</v>
      </c>
      <c r="R350" s="2" t="b">
        <f t="shared" ref="R350" si="261">getText(J350)=getText(N350)</f>
        <v>1</v>
      </c>
      <c r="S350" s="2" t="b">
        <f t="shared" ref="S350" si="262">getText(K350)=getText(O350)</f>
        <v>1</v>
      </c>
    </row>
    <row r="351" spans="1:19" x14ac:dyDescent="0.15">
      <c r="C351" t="s">
        <v>51</v>
      </c>
      <c r="D351" t="s">
        <v>47</v>
      </c>
      <c r="E351" s="1">
        <v>1</v>
      </c>
      <c r="F351" s="17">
        <v>2147483647</v>
      </c>
      <c r="G351">
        <v>10</v>
      </c>
      <c r="H351">
        <v>0</v>
      </c>
      <c r="I351" s="1" t="str">
        <f t="shared" si="257"/>
        <v>0</v>
      </c>
      <c r="J351" t="str">
        <f t="shared" si="258"/>
        <v>1</v>
      </c>
      <c r="K351">
        <f t="shared" si="259"/>
        <v>0</v>
      </c>
      <c r="M351" s="1" t="s">
        <v>14</v>
      </c>
      <c r="N351" t="s">
        <v>44</v>
      </c>
      <c r="O351">
        <v>0</v>
      </c>
      <c r="Q351" s="1" t="b">
        <f t="shared" ref="Q351:Q355" si="263">getText(I351)=getText(M351)</f>
        <v>1</v>
      </c>
      <c r="R351" t="b">
        <f t="shared" ref="R351:R355" si="264">getText(J351)=getText(N351)</f>
        <v>1</v>
      </c>
      <c r="S351" t="b">
        <f t="shared" ref="S351:S355" si="265">getText(K351)=getText(O351)</f>
        <v>1</v>
      </c>
    </row>
    <row r="352" spans="1:19" x14ac:dyDescent="0.15">
      <c r="D352" t="s">
        <v>49</v>
      </c>
      <c r="E352" s="1">
        <v>1</v>
      </c>
      <c r="F352" s="17" t="s">
        <v>50</v>
      </c>
      <c r="G352">
        <v>16</v>
      </c>
      <c r="H352">
        <v>0</v>
      </c>
      <c r="I352" s="1" t="str">
        <f t="shared" si="257"/>
        <v>0</v>
      </c>
      <c r="J352" t="str">
        <f t="shared" si="258"/>
        <v>1</v>
      </c>
      <c r="K352">
        <f t="shared" si="259"/>
        <v>0</v>
      </c>
      <c r="M352" s="1" t="s">
        <v>14</v>
      </c>
      <c r="N352" t="s">
        <v>44</v>
      </c>
      <c r="O352">
        <v>0</v>
      </c>
      <c r="Q352" s="1" t="b">
        <f t="shared" si="263"/>
        <v>1</v>
      </c>
      <c r="R352" t="b">
        <f t="shared" si="264"/>
        <v>1</v>
      </c>
      <c r="S352" t="b">
        <f t="shared" si="265"/>
        <v>1</v>
      </c>
    </row>
    <row r="353" spans="2:19" x14ac:dyDescent="0.15">
      <c r="C353" s="2" t="s">
        <v>39</v>
      </c>
      <c r="D353" s="2" t="s">
        <v>46</v>
      </c>
      <c r="E353" s="3">
        <v>1</v>
      </c>
      <c r="F353" s="13" t="s">
        <v>41</v>
      </c>
      <c r="G353" s="2">
        <v>2</v>
      </c>
      <c r="H353" s="2">
        <v>0</v>
      </c>
      <c r="I353" s="3" t="str">
        <f t="shared" si="257"/>
        <v/>
      </c>
      <c r="J353" s="2" t="str">
        <f t="shared" si="258"/>
        <v/>
      </c>
      <c r="K353" s="2" t="e">
        <f t="shared" si="259"/>
        <v>#NUM!</v>
      </c>
      <c r="L353" s="2"/>
      <c r="M353" s="3" t="s">
        <v>45</v>
      </c>
      <c r="N353" s="2" t="s">
        <v>45</v>
      </c>
      <c r="O353" s="2" t="e">
        <v>#NUM!</v>
      </c>
      <c r="P353" s="2"/>
      <c r="Q353" s="3" t="b">
        <f t="shared" si="263"/>
        <v>1</v>
      </c>
      <c r="R353" s="2" t="b">
        <f t="shared" si="264"/>
        <v>1</v>
      </c>
      <c r="S353" s="2" t="b">
        <f t="shared" si="265"/>
        <v>1</v>
      </c>
    </row>
    <row r="354" spans="2:19" x14ac:dyDescent="0.15">
      <c r="C354" t="s">
        <v>52</v>
      </c>
      <c r="D354" t="s">
        <v>47</v>
      </c>
      <c r="E354" s="1">
        <v>1</v>
      </c>
      <c r="F354">
        <v>2147483648</v>
      </c>
      <c r="G354">
        <v>10</v>
      </c>
      <c r="H354">
        <v>0</v>
      </c>
      <c r="I354" s="1" t="str">
        <f t="shared" si="257"/>
        <v/>
      </c>
      <c r="J354" t="str">
        <f t="shared" si="258"/>
        <v/>
      </c>
      <c r="K354" t="e">
        <f t="shared" si="259"/>
        <v>#NUM!</v>
      </c>
      <c r="M354" s="1" t="s">
        <v>45</v>
      </c>
      <c r="N354" t="s">
        <v>45</v>
      </c>
      <c r="O354" t="e">
        <v>#NUM!</v>
      </c>
      <c r="Q354" s="1" t="b">
        <f t="shared" si="263"/>
        <v>1</v>
      </c>
      <c r="R354" t="b">
        <f t="shared" si="264"/>
        <v>1</v>
      </c>
      <c r="S354" t="b">
        <f t="shared" si="265"/>
        <v>1</v>
      </c>
    </row>
    <row r="355" spans="2:19" x14ac:dyDescent="0.15">
      <c r="D355" t="s">
        <v>49</v>
      </c>
      <c r="E355" s="1">
        <v>1</v>
      </c>
      <c r="F355">
        <v>80000000</v>
      </c>
      <c r="G355">
        <v>16</v>
      </c>
      <c r="H355">
        <v>0</v>
      </c>
      <c r="I355" s="1" t="str">
        <f t="shared" si="257"/>
        <v/>
      </c>
      <c r="J355" t="str">
        <f t="shared" si="258"/>
        <v/>
      </c>
      <c r="K355" t="e">
        <f t="shared" si="259"/>
        <v>#NUM!</v>
      </c>
      <c r="M355" s="1" t="s">
        <v>45</v>
      </c>
      <c r="N355" t="s">
        <v>45</v>
      </c>
      <c r="O355" t="e">
        <v>#NUM!</v>
      </c>
      <c r="Q355" s="1" t="b">
        <f t="shared" si="263"/>
        <v>1</v>
      </c>
      <c r="R355" t="b">
        <f t="shared" si="264"/>
        <v>1</v>
      </c>
      <c r="S355" t="b">
        <f t="shared" si="265"/>
        <v>1</v>
      </c>
    </row>
    <row r="356" spans="2:19" x14ac:dyDescent="0.15">
      <c r="B356" s="2" t="s">
        <v>42</v>
      </c>
      <c r="C356" s="2"/>
      <c r="D356" s="2" t="s">
        <v>46</v>
      </c>
      <c r="E356" s="3">
        <v>1</v>
      </c>
      <c r="F356" s="2">
        <v>0</v>
      </c>
      <c r="G356" s="2">
        <v>2</v>
      </c>
      <c r="H356" s="2">
        <v>0</v>
      </c>
      <c r="I356" s="3" t="str">
        <f t="shared" si="257"/>
        <v/>
      </c>
      <c r="J356" s="2" t="str">
        <f t="shared" si="258"/>
        <v/>
      </c>
      <c r="K356" s="2" t="e">
        <f t="shared" si="259"/>
        <v>#DIV/0!</v>
      </c>
      <c r="L356" s="2"/>
      <c r="M356" s="3" t="s">
        <v>45</v>
      </c>
      <c r="N356" s="2" t="s">
        <v>45</v>
      </c>
      <c r="O356" s="2" t="e">
        <v>#DIV/0!</v>
      </c>
      <c r="P356" s="2"/>
      <c r="Q356" s="3" t="b">
        <f t="shared" ref="Q356:Q358" si="266">getText(I356)=getText(M356)</f>
        <v>1</v>
      </c>
      <c r="R356" s="2" t="b">
        <f t="shared" ref="R356:R358" si="267">getText(J356)=getText(N356)</f>
        <v>1</v>
      </c>
      <c r="S356" s="2" t="b">
        <f t="shared" ref="S356:S358" si="268">getText(K356)=getText(O356)</f>
        <v>1</v>
      </c>
    </row>
    <row r="357" spans="2:19" x14ac:dyDescent="0.15">
      <c r="B357" s="6"/>
      <c r="C357" s="6"/>
      <c r="D357" s="6" t="s">
        <v>47</v>
      </c>
      <c r="E357" s="1">
        <v>1</v>
      </c>
      <c r="F357" s="6">
        <v>0</v>
      </c>
      <c r="G357" s="6">
        <v>10</v>
      </c>
      <c r="H357" s="6">
        <v>0</v>
      </c>
      <c r="I357" s="1" t="str">
        <f t="shared" si="257"/>
        <v/>
      </c>
      <c r="J357" s="6" t="str">
        <f t="shared" si="258"/>
        <v/>
      </c>
      <c r="K357" s="6" t="e">
        <f t="shared" si="259"/>
        <v>#DIV/0!</v>
      </c>
      <c r="L357" s="6"/>
      <c r="M357" s="1" t="s">
        <v>45</v>
      </c>
      <c r="N357" s="6" t="s">
        <v>45</v>
      </c>
      <c r="O357" s="6" t="e">
        <v>#DIV/0!</v>
      </c>
      <c r="P357" s="6"/>
      <c r="Q357" s="1" t="b">
        <f t="shared" si="266"/>
        <v>1</v>
      </c>
      <c r="R357" s="6" t="b">
        <f t="shared" si="267"/>
        <v>1</v>
      </c>
      <c r="S357" s="6" t="b">
        <f t="shared" si="268"/>
        <v>1</v>
      </c>
    </row>
    <row r="358" spans="2:19" x14ac:dyDescent="0.15">
      <c r="B358" s="6"/>
      <c r="C358" s="6"/>
      <c r="D358" s="6" t="s">
        <v>49</v>
      </c>
      <c r="E358" s="1">
        <v>1</v>
      </c>
      <c r="F358" s="6">
        <v>0</v>
      </c>
      <c r="G358" s="6">
        <v>16</v>
      </c>
      <c r="H358" s="6">
        <v>0</v>
      </c>
      <c r="I358" s="1" t="str">
        <f t="shared" si="257"/>
        <v/>
      </c>
      <c r="J358" s="6" t="str">
        <f t="shared" si="258"/>
        <v/>
      </c>
      <c r="K358" s="6" t="e">
        <f t="shared" si="259"/>
        <v>#DIV/0!</v>
      </c>
      <c r="L358" s="6"/>
      <c r="M358" s="1" t="s">
        <v>45</v>
      </c>
      <c r="N358" s="6" t="s">
        <v>45</v>
      </c>
      <c r="O358" s="6" t="e">
        <v>#DIV/0!</v>
      </c>
      <c r="P358" s="6"/>
      <c r="Q358" s="1" t="b">
        <f t="shared" si="266"/>
        <v>1</v>
      </c>
      <c r="R358" s="6" t="b">
        <f t="shared" si="267"/>
        <v>1</v>
      </c>
      <c r="S358" s="6" t="b">
        <f t="shared" si="268"/>
        <v>1</v>
      </c>
    </row>
    <row r="359" spans="2:19" x14ac:dyDescent="0.15">
      <c r="B359" s="2" t="s">
        <v>43</v>
      </c>
      <c r="C359" s="2"/>
      <c r="D359" s="16" t="s">
        <v>46</v>
      </c>
      <c r="E359" s="11" t="s">
        <v>65</v>
      </c>
      <c r="F359" s="2">
        <v>1</v>
      </c>
      <c r="G359" s="2">
        <v>2</v>
      </c>
      <c r="H359" s="2">
        <v>0</v>
      </c>
      <c r="I359" s="3" t="str">
        <f t="shared" ref="I359:I361" si="269">TESTdivide(E359,F359,G359,H359)</f>
        <v>001000000000000000000000000000000000</v>
      </c>
      <c r="J359" s="2" t="str">
        <f t="shared" ref="J359:J361" si="270">TESTdivideByRef1(E359,F359,G359,H359)</f>
        <v/>
      </c>
      <c r="K359" s="2">
        <f t="shared" ref="K359:K361" si="271">TESTdivideByRef2(E359,F359,G359,H359)</f>
        <v>0</v>
      </c>
      <c r="L359" s="2"/>
      <c r="M359" s="20" t="s">
        <v>64</v>
      </c>
      <c r="N359" s="2"/>
      <c r="O359" s="2">
        <v>0</v>
      </c>
      <c r="P359" s="2"/>
      <c r="Q359" s="3" t="b">
        <f t="shared" ref="Q359:Q361" si="272">getText(I359)=getText(M359)</f>
        <v>1</v>
      </c>
      <c r="R359" s="2" t="b">
        <f t="shared" ref="R359:R361" si="273">getText(J359)=getText(N359)</f>
        <v>1</v>
      </c>
      <c r="S359" s="2" t="b">
        <f t="shared" ref="S359:S361" si="274">getText(K359)=getText(O359)</f>
        <v>1</v>
      </c>
    </row>
    <row r="360" spans="2:19" x14ac:dyDescent="0.15">
      <c r="D360" s="15" t="s">
        <v>47</v>
      </c>
      <c r="E360" s="9" t="s">
        <v>67</v>
      </c>
      <c r="F360">
        <v>1</v>
      </c>
      <c r="G360">
        <v>10</v>
      </c>
      <c r="H360">
        <v>0</v>
      </c>
      <c r="I360" s="1" t="str">
        <f t="shared" si="269"/>
        <v>00214748364800</v>
      </c>
      <c r="J360" t="str">
        <f t="shared" si="270"/>
        <v/>
      </c>
      <c r="K360">
        <f t="shared" si="271"/>
        <v>0</v>
      </c>
      <c r="M360" s="21" t="s">
        <v>66</v>
      </c>
      <c r="O360">
        <v>0</v>
      </c>
      <c r="Q360" s="1" t="b">
        <f t="shared" si="272"/>
        <v>1</v>
      </c>
      <c r="R360" t="b">
        <f t="shared" si="273"/>
        <v>1</v>
      </c>
      <c r="S360" t="b">
        <f t="shared" si="274"/>
        <v>1</v>
      </c>
    </row>
    <row r="361" spans="2:19" x14ac:dyDescent="0.15">
      <c r="D361" s="15" t="s">
        <v>49</v>
      </c>
      <c r="E361" s="9" t="s">
        <v>69</v>
      </c>
      <c r="F361">
        <v>1</v>
      </c>
      <c r="G361">
        <v>16</v>
      </c>
      <c r="H361">
        <v>0</v>
      </c>
      <c r="I361" s="1" t="str">
        <f t="shared" si="269"/>
        <v>008000000000</v>
      </c>
      <c r="J361" t="str">
        <f t="shared" si="270"/>
        <v/>
      </c>
      <c r="K361">
        <f t="shared" si="271"/>
        <v>0</v>
      </c>
      <c r="M361" s="21" t="s">
        <v>68</v>
      </c>
      <c r="O361">
        <v>0</v>
      </c>
      <c r="Q361" s="1" t="b">
        <f t="shared" si="272"/>
        <v>1</v>
      </c>
      <c r="R361" t="b">
        <f t="shared" si="273"/>
        <v>1</v>
      </c>
      <c r="S361" t="b">
        <f t="shared" si="274"/>
        <v>1</v>
      </c>
    </row>
    <row r="362" spans="2:19" x14ac:dyDescent="0.15">
      <c r="B362" s="2" t="s">
        <v>37</v>
      </c>
      <c r="C362" s="2" t="s">
        <v>38</v>
      </c>
      <c r="D362" s="2" t="s">
        <v>46</v>
      </c>
      <c r="E362" s="11" t="s">
        <v>103</v>
      </c>
      <c r="F362" s="13" t="s">
        <v>103</v>
      </c>
      <c r="G362" s="2">
        <v>2</v>
      </c>
      <c r="H362" s="2">
        <v>0</v>
      </c>
      <c r="I362" s="3" t="str">
        <f t="shared" ref="I362" si="275">TESTdivide(E362,F362,G362,H362)</f>
        <v>0000000000000000000000000000001</v>
      </c>
      <c r="J362" s="2" t="str">
        <f t="shared" ref="J362" si="276">TESTdivideByRef1(E362,F362,G362,H362)</f>
        <v>0</v>
      </c>
      <c r="K362" s="2">
        <f t="shared" ref="K362" si="277">TESTdivideByRef2(E362,F362,G362,H362)</f>
        <v>0</v>
      </c>
      <c r="L362" s="2"/>
      <c r="M362" s="3" t="s">
        <v>108</v>
      </c>
      <c r="N362" s="2" t="s">
        <v>14</v>
      </c>
      <c r="O362" s="2">
        <v>0</v>
      </c>
      <c r="P362" s="2"/>
      <c r="Q362" s="3" t="b">
        <f t="shared" ref="Q362:Q364" si="278">getText(I362)=getText(M362)</f>
        <v>1</v>
      </c>
      <c r="R362" s="2" t="b">
        <f t="shared" ref="R362:R364" si="279">getText(J362)=getText(N362)</f>
        <v>1</v>
      </c>
      <c r="S362" s="2" t="b">
        <f t="shared" ref="S362:S364" si="280">getText(K362)=getText(O362)</f>
        <v>1</v>
      </c>
    </row>
    <row r="363" spans="2:19" x14ac:dyDescent="0.15">
      <c r="C363" t="s">
        <v>51</v>
      </c>
      <c r="D363" t="s">
        <v>47</v>
      </c>
      <c r="E363" s="9" t="s">
        <v>104</v>
      </c>
      <c r="F363" s="14" t="s">
        <v>104</v>
      </c>
      <c r="G363">
        <v>10</v>
      </c>
      <c r="H363" s="7">
        <v>0</v>
      </c>
      <c r="I363" s="1" t="str">
        <f t="shared" ref="I363:I364" si="281">TESTdivide(E363,F363,G363,H363)</f>
        <v>0000000001</v>
      </c>
      <c r="J363" t="str">
        <f t="shared" ref="J363:J364" si="282">TESTdivideByRef1(E363,F363,G363,H363)</f>
        <v>0</v>
      </c>
      <c r="K363">
        <f t="shared" ref="K363:K364" si="283">TESTdivideByRef2(E363,F363,G363,H363)</f>
        <v>0</v>
      </c>
      <c r="M363" s="1" t="s">
        <v>109</v>
      </c>
      <c r="N363" t="s">
        <v>14</v>
      </c>
      <c r="O363">
        <v>0</v>
      </c>
      <c r="Q363" s="1" t="b">
        <f t="shared" si="278"/>
        <v>1</v>
      </c>
      <c r="R363" t="b">
        <f t="shared" si="279"/>
        <v>1</v>
      </c>
      <c r="S363" t="b">
        <f t="shared" si="280"/>
        <v>1</v>
      </c>
    </row>
    <row r="364" spans="2:19" x14ac:dyDescent="0.15">
      <c r="D364" t="s">
        <v>49</v>
      </c>
      <c r="E364" s="18" t="s">
        <v>50</v>
      </c>
      <c r="F364" s="19" t="s">
        <v>50</v>
      </c>
      <c r="G364">
        <v>16</v>
      </c>
      <c r="H364" s="7">
        <v>0</v>
      </c>
      <c r="I364" s="1" t="str">
        <f t="shared" si="281"/>
        <v>00000001</v>
      </c>
      <c r="J364" t="str">
        <f t="shared" si="282"/>
        <v>0</v>
      </c>
      <c r="K364">
        <f t="shared" si="283"/>
        <v>0</v>
      </c>
      <c r="M364" s="1" t="s">
        <v>110</v>
      </c>
      <c r="N364" t="s">
        <v>14</v>
      </c>
      <c r="O364">
        <v>0</v>
      </c>
      <c r="Q364" s="1" t="b">
        <f t="shared" si="278"/>
        <v>1</v>
      </c>
      <c r="R364" t="b">
        <f t="shared" si="279"/>
        <v>1</v>
      </c>
      <c r="S364" t="b">
        <f t="shared" si="280"/>
        <v>1</v>
      </c>
    </row>
    <row r="365" spans="2:19" x14ac:dyDescent="0.15">
      <c r="C365" s="2" t="s">
        <v>39</v>
      </c>
      <c r="D365" s="2" t="s">
        <v>46</v>
      </c>
      <c r="E365" s="11" t="s">
        <v>105</v>
      </c>
      <c r="F365" s="13" t="s">
        <v>103</v>
      </c>
      <c r="G365" s="2">
        <v>2</v>
      </c>
      <c r="H365" s="2">
        <v>0</v>
      </c>
      <c r="I365" s="3" t="str">
        <f t="shared" ref="I365:I370" si="284">TESTdivide(E365,F365,G365,H365)</f>
        <v/>
      </c>
      <c r="J365" s="2" t="str">
        <f t="shared" ref="J365:J370" si="285">TESTdivideByRef1(E365,F365,G365,H365)</f>
        <v/>
      </c>
      <c r="K365" s="2" t="e">
        <f t="shared" ref="K365:K370" si="286">TESTdivideByRef2(E365,F365,G365,H365)</f>
        <v>#NUM!</v>
      </c>
      <c r="L365" s="2"/>
      <c r="M365" s="3" t="s">
        <v>45</v>
      </c>
      <c r="N365" s="2" t="s">
        <v>45</v>
      </c>
      <c r="O365" s="2" t="e">
        <v>#NUM!</v>
      </c>
      <c r="P365" s="2"/>
      <c r="Q365" s="3" t="b">
        <f t="shared" ref="Q365:Q370" si="287">getText(I365)=getText(M365)</f>
        <v>1</v>
      </c>
      <c r="R365" s="2" t="b">
        <f t="shared" ref="R365:R370" si="288">getText(J365)=getText(N365)</f>
        <v>1</v>
      </c>
      <c r="S365" s="2" t="b">
        <f t="shared" ref="S365:S370" si="289">getText(K365)=getText(O365)</f>
        <v>1</v>
      </c>
    </row>
    <row r="366" spans="2:19" x14ac:dyDescent="0.15">
      <c r="C366" t="s">
        <v>52</v>
      </c>
      <c r="D366" t="s">
        <v>47</v>
      </c>
      <c r="E366" s="9" t="s">
        <v>106</v>
      </c>
      <c r="F366" s="14" t="s">
        <v>104</v>
      </c>
      <c r="G366">
        <v>10</v>
      </c>
      <c r="H366" s="7">
        <v>0</v>
      </c>
      <c r="I366" s="1" t="str">
        <f t="shared" si="284"/>
        <v/>
      </c>
      <c r="J366" t="str">
        <f t="shared" si="285"/>
        <v/>
      </c>
      <c r="K366" t="e">
        <f t="shared" si="286"/>
        <v>#NUM!</v>
      </c>
      <c r="M366" s="1" t="s">
        <v>45</v>
      </c>
      <c r="N366" t="s">
        <v>45</v>
      </c>
      <c r="O366" t="e">
        <v>#NUM!</v>
      </c>
      <c r="Q366" s="1" t="b">
        <f t="shared" si="287"/>
        <v>1</v>
      </c>
      <c r="R366" t="b">
        <f t="shared" si="288"/>
        <v>1</v>
      </c>
      <c r="S366" t="b">
        <f t="shared" si="289"/>
        <v>1</v>
      </c>
    </row>
    <row r="367" spans="2:19" x14ac:dyDescent="0.15">
      <c r="D367" t="s">
        <v>49</v>
      </c>
      <c r="E367" s="9" t="s">
        <v>107</v>
      </c>
      <c r="F367" s="14" t="s">
        <v>50</v>
      </c>
      <c r="G367">
        <v>16</v>
      </c>
      <c r="H367" s="7">
        <v>0</v>
      </c>
      <c r="I367" s="1" t="str">
        <f t="shared" si="284"/>
        <v/>
      </c>
      <c r="J367" t="str">
        <f t="shared" si="285"/>
        <v/>
      </c>
      <c r="K367" t="e">
        <f t="shared" si="286"/>
        <v>#NUM!</v>
      </c>
      <c r="M367" s="1" t="s">
        <v>45</v>
      </c>
      <c r="N367" t="s">
        <v>45</v>
      </c>
      <c r="O367" t="e">
        <v>#NUM!</v>
      </c>
      <c r="Q367" s="1" t="b">
        <f t="shared" si="287"/>
        <v>1</v>
      </c>
      <c r="R367" t="b">
        <f t="shared" si="288"/>
        <v>1</v>
      </c>
      <c r="S367" t="b">
        <f t="shared" si="289"/>
        <v>1</v>
      </c>
    </row>
    <row r="368" spans="2:19" x14ac:dyDescent="0.15">
      <c r="B368" s="2" t="s">
        <v>102</v>
      </c>
      <c r="C368" s="2"/>
      <c r="D368" s="2" t="s">
        <v>46</v>
      </c>
      <c r="E368" s="11" t="s">
        <v>70</v>
      </c>
      <c r="F368" s="13" t="s">
        <v>61</v>
      </c>
      <c r="G368" s="2">
        <v>2</v>
      </c>
      <c r="H368" s="2">
        <v>0</v>
      </c>
      <c r="I368" s="3" t="str">
        <f t="shared" si="284"/>
        <v>00000000000000000000000000000000100</v>
      </c>
      <c r="J368" s="2" t="str">
        <f t="shared" si="285"/>
        <v>0</v>
      </c>
      <c r="K368" s="2">
        <f t="shared" si="286"/>
        <v>0</v>
      </c>
      <c r="L368" s="2"/>
      <c r="M368" s="3" t="s">
        <v>73</v>
      </c>
      <c r="N368" s="2" t="s">
        <v>14</v>
      </c>
      <c r="O368" s="2">
        <v>0</v>
      </c>
      <c r="P368" s="2"/>
      <c r="Q368" s="3" t="b">
        <f t="shared" si="287"/>
        <v>1</v>
      </c>
      <c r="R368" s="2" t="b">
        <f t="shared" si="288"/>
        <v>1</v>
      </c>
      <c r="S368" s="2" t="b">
        <f t="shared" si="289"/>
        <v>1</v>
      </c>
    </row>
    <row r="369" spans="1:19" x14ac:dyDescent="0.15">
      <c r="D369" t="s">
        <v>47</v>
      </c>
      <c r="E369" s="9" t="s">
        <v>71</v>
      </c>
      <c r="F369" s="14" t="s">
        <v>62</v>
      </c>
      <c r="G369">
        <v>10</v>
      </c>
      <c r="H369" s="7">
        <v>0</v>
      </c>
      <c r="I369" s="1" t="str">
        <f t="shared" si="284"/>
        <v>00000000000100</v>
      </c>
      <c r="J369" t="str">
        <f t="shared" si="285"/>
        <v>0</v>
      </c>
      <c r="K369">
        <f t="shared" si="286"/>
        <v>0</v>
      </c>
      <c r="M369" s="1" t="s">
        <v>74</v>
      </c>
      <c r="N369" t="s">
        <v>14</v>
      </c>
      <c r="O369">
        <v>0</v>
      </c>
      <c r="Q369" s="1" t="b">
        <f t="shared" si="287"/>
        <v>1</v>
      </c>
      <c r="R369" t="b">
        <f t="shared" si="288"/>
        <v>1</v>
      </c>
      <c r="S369" t="b">
        <f t="shared" si="289"/>
        <v>1</v>
      </c>
    </row>
    <row r="370" spans="1:19" x14ac:dyDescent="0.15">
      <c r="D370" t="s">
        <v>49</v>
      </c>
      <c r="E370" s="18" t="s">
        <v>72</v>
      </c>
      <c r="F370" s="19" t="s">
        <v>63</v>
      </c>
      <c r="G370">
        <v>16</v>
      </c>
      <c r="H370" s="7">
        <v>0</v>
      </c>
      <c r="I370" s="1" t="str">
        <f t="shared" si="284"/>
        <v>000000000100</v>
      </c>
      <c r="J370" t="str">
        <f t="shared" si="285"/>
        <v>0</v>
      </c>
      <c r="K370">
        <f t="shared" si="286"/>
        <v>0</v>
      </c>
      <c r="M370" s="1" t="s">
        <v>75</v>
      </c>
      <c r="N370" t="s">
        <v>14</v>
      </c>
      <c r="O370">
        <v>0</v>
      </c>
      <c r="Q370" s="1" t="b">
        <f t="shared" si="287"/>
        <v>1</v>
      </c>
      <c r="R370" t="b">
        <f t="shared" si="288"/>
        <v>1</v>
      </c>
      <c r="S370" t="b">
        <f t="shared" si="289"/>
        <v>1</v>
      </c>
    </row>
    <row r="371" spans="1:19" x14ac:dyDescent="0.15">
      <c r="B371" s="22" t="s">
        <v>84</v>
      </c>
      <c r="C371" s="2" t="s">
        <v>87</v>
      </c>
      <c r="D371" s="2" t="s">
        <v>46</v>
      </c>
      <c r="E371" s="11" t="s">
        <v>111</v>
      </c>
      <c r="F371" s="13" t="s">
        <v>114</v>
      </c>
      <c r="G371" s="2">
        <v>2</v>
      </c>
      <c r="H371" s="2">
        <v>0</v>
      </c>
      <c r="I371" s="3" t="str">
        <f t="shared" ref="I371:I373" si="290">TESTdivide(E371,F371,G371,H371)</f>
        <v>0</v>
      </c>
      <c r="J371" s="2" t="str">
        <f t="shared" ref="J371:J373" si="291">TESTdivideByRef1(E371,F371,G371,H371)</f>
        <v>1</v>
      </c>
      <c r="K371" s="2">
        <f t="shared" ref="K371:K373" si="292">TESTdivideByRef2(E371,F371,G371,H371)</f>
        <v>0</v>
      </c>
      <c r="L371" s="2"/>
      <c r="M371" s="10">
        <v>0</v>
      </c>
      <c r="N371" s="2" t="s">
        <v>44</v>
      </c>
      <c r="O371" s="2">
        <v>0</v>
      </c>
      <c r="P371" s="2"/>
      <c r="Q371" s="3" t="b">
        <f t="shared" ref="Q371:Q373" si="293">getText(I371)=getText(M371)</f>
        <v>1</v>
      </c>
      <c r="R371" s="2" t="b">
        <f t="shared" ref="R371:R373" si="294">getText(J371)=getText(N371)</f>
        <v>1</v>
      </c>
      <c r="S371" s="2" t="b">
        <f t="shared" ref="S371:S373" si="295">getText(K371)=getText(O371)</f>
        <v>1</v>
      </c>
    </row>
    <row r="372" spans="1:19" x14ac:dyDescent="0.15">
      <c r="B372" s="23"/>
      <c r="D372" t="s">
        <v>47</v>
      </c>
      <c r="E372" s="9" t="s">
        <v>112</v>
      </c>
      <c r="F372" s="14" t="s">
        <v>15</v>
      </c>
      <c r="G372">
        <v>10</v>
      </c>
      <c r="H372" s="7">
        <v>0</v>
      </c>
      <c r="I372" s="1" t="str">
        <f t="shared" si="290"/>
        <v>0</v>
      </c>
      <c r="J372" t="str">
        <f t="shared" si="291"/>
        <v>1</v>
      </c>
      <c r="K372">
        <f t="shared" si="292"/>
        <v>0</v>
      </c>
      <c r="M372" s="12">
        <v>0</v>
      </c>
      <c r="N372" t="s">
        <v>44</v>
      </c>
      <c r="O372">
        <v>0</v>
      </c>
      <c r="Q372" s="1" t="b">
        <f t="shared" si="293"/>
        <v>1</v>
      </c>
      <c r="R372" t="b">
        <f t="shared" si="294"/>
        <v>1</v>
      </c>
      <c r="S372" t="b">
        <f t="shared" si="295"/>
        <v>1</v>
      </c>
    </row>
    <row r="373" spans="1:19" x14ac:dyDescent="0.15">
      <c r="D373" t="s">
        <v>49</v>
      </c>
      <c r="E373" s="9" t="s">
        <v>112</v>
      </c>
      <c r="F373" s="14" t="s">
        <v>15</v>
      </c>
      <c r="G373">
        <v>16</v>
      </c>
      <c r="H373" s="7">
        <v>0</v>
      </c>
      <c r="I373" s="1" t="str">
        <f t="shared" si="290"/>
        <v>0</v>
      </c>
      <c r="J373" t="str">
        <f t="shared" si="291"/>
        <v>1</v>
      </c>
      <c r="K373">
        <f t="shared" si="292"/>
        <v>0</v>
      </c>
      <c r="M373" s="12">
        <v>0</v>
      </c>
      <c r="N373" t="s">
        <v>44</v>
      </c>
      <c r="O373">
        <v>0</v>
      </c>
      <c r="Q373" s="1" t="b">
        <f t="shared" si="293"/>
        <v>1</v>
      </c>
      <c r="R373" t="b">
        <f t="shared" si="294"/>
        <v>1</v>
      </c>
      <c r="S373" t="b">
        <f t="shared" si="295"/>
        <v>1</v>
      </c>
    </row>
    <row r="374" spans="1:19" x14ac:dyDescent="0.15">
      <c r="C374" s="2" t="s">
        <v>97</v>
      </c>
      <c r="D374" s="2" t="s">
        <v>47</v>
      </c>
      <c r="E374" s="11" t="s">
        <v>113</v>
      </c>
      <c r="F374" s="13" t="s">
        <v>15</v>
      </c>
      <c r="G374" s="2">
        <v>10</v>
      </c>
      <c r="H374" s="24">
        <v>0</v>
      </c>
      <c r="I374" s="3" t="str">
        <f t="shared" ref="I374:I375" si="296">TESTdivide(E374,F374,G374,H374)</f>
        <v>0</v>
      </c>
      <c r="J374" s="2" t="str">
        <f t="shared" ref="J374:J375" si="297">TESTdivideByRef1(E374,F374,G374,H374)</f>
        <v>9</v>
      </c>
      <c r="K374" s="2">
        <f t="shared" ref="K374:K375" si="298">TESTdivideByRef2(E374,F374,G374,H374)</f>
        <v>0</v>
      </c>
      <c r="L374" s="2"/>
      <c r="M374" s="10">
        <v>0</v>
      </c>
      <c r="N374" s="2" t="s">
        <v>101</v>
      </c>
      <c r="O374" s="2">
        <v>0</v>
      </c>
      <c r="P374" s="2"/>
      <c r="Q374" s="3" t="b">
        <f t="shared" ref="Q374:Q375" si="299">getText(I374)=getText(M374)</f>
        <v>1</v>
      </c>
      <c r="R374" s="2" t="b">
        <f t="shared" ref="R374:R375" si="300">getText(J374)=getText(N374)</f>
        <v>1</v>
      </c>
      <c r="S374" s="2" t="b">
        <f t="shared" ref="S374:S375" si="301">getText(K374)=getText(O374)</f>
        <v>1</v>
      </c>
    </row>
    <row r="375" spans="1:19" x14ac:dyDescent="0.15">
      <c r="D375" t="s">
        <v>49</v>
      </c>
      <c r="E375" s="9" t="s">
        <v>100</v>
      </c>
      <c r="F375" s="14" t="s">
        <v>15</v>
      </c>
      <c r="G375">
        <v>16</v>
      </c>
      <c r="H375" s="7">
        <v>0</v>
      </c>
      <c r="I375" s="1" t="str">
        <f t="shared" si="296"/>
        <v>0</v>
      </c>
      <c r="J375" t="str">
        <f t="shared" si="297"/>
        <v>F</v>
      </c>
      <c r="K375">
        <f t="shared" si="298"/>
        <v>0</v>
      </c>
      <c r="M375" s="12" t="s">
        <v>14</v>
      </c>
      <c r="N375" t="s">
        <v>99</v>
      </c>
      <c r="O375">
        <v>0</v>
      </c>
      <c r="Q375" s="1" t="b">
        <f t="shared" si="299"/>
        <v>1</v>
      </c>
      <c r="R375" t="b">
        <f t="shared" si="300"/>
        <v>1</v>
      </c>
      <c r="S375" t="b">
        <f t="shared" si="301"/>
        <v>1</v>
      </c>
    </row>
    <row r="376" spans="1:19" x14ac:dyDescent="0.15">
      <c r="A376" s="23"/>
      <c r="B376" s="22" t="s">
        <v>85</v>
      </c>
      <c r="C376" s="2" t="s">
        <v>86</v>
      </c>
      <c r="D376" s="2" t="s">
        <v>46</v>
      </c>
      <c r="E376" s="11" t="s">
        <v>114</v>
      </c>
      <c r="F376" s="13" t="s">
        <v>15</v>
      </c>
      <c r="G376" s="2">
        <v>2</v>
      </c>
      <c r="H376" s="2">
        <v>0</v>
      </c>
      <c r="I376" s="3" t="str">
        <f t="shared" ref="I376:I378" si="302">TESTdivide(E376,F376,G376,H376)</f>
        <v>01</v>
      </c>
      <c r="J376" s="2" t="str">
        <f t="shared" ref="J376:J378" si="303">TESTdivideByRef1(E376,F376,G376,H376)</f>
        <v>0</v>
      </c>
      <c r="K376" s="2">
        <f t="shared" ref="K376:K378" si="304">TESTdivideByRef2(E376,F376,G376,H376)</f>
        <v>0</v>
      </c>
      <c r="L376" s="2"/>
      <c r="M376" s="10" t="s">
        <v>119</v>
      </c>
      <c r="N376" s="2" t="s">
        <v>14</v>
      </c>
      <c r="O376" s="2">
        <v>0</v>
      </c>
      <c r="P376" s="2"/>
      <c r="Q376" s="3" t="b">
        <f t="shared" ref="Q376:Q378" si="305">getText(I376)=getText(M376)</f>
        <v>1</v>
      </c>
      <c r="R376" s="2" t="b">
        <f t="shared" ref="R376:R378" si="306">getText(J376)=getText(N376)</f>
        <v>1</v>
      </c>
      <c r="S376" s="2" t="b">
        <f t="shared" ref="S376:S378" si="307">getText(K376)=getText(O376)</f>
        <v>1</v>
      </c>
    </row>
    <row r="377" spans="1:19" x14ac:dyDescent="0.15">
      <c r="B377" s="23"/>
      <c r="D377" t="s">
        <v>47</v>
      </c>
      <c r="E377" s="9" t="s">
        <v>114</v>
      </c>
      <c r="F377" s="14" t="s">
        <v>15</v>
      </c>
      <c r="G377">
        <v>10</v>
      </c>
      <c r="H377" s="7">
        <v>0</v>
      </c>
      <c r="I377" s="1" t="str">
        <f t="shared" si="302"/>
        <v>01</v>
      </c>
      <c r="J377" t="str">
        <f t="shared" si="303"/>
        <v>0</v>
      </c>
      <c r="K377">
        <f t="shared" si="304"/>
        <v>0</v>
      </c>
      <c r="M377" s="12" t="s">
        <v>119</v>
      </c>
      <c r="N377" t="s">
        <v>14</v>
      </c>
      <c r="O377">
        <v>0</v>
      </c>
      <c r="Q377" s="1" t="b">
        <f t="shared" si="305"/>
        <v>1</v>
      </c>
      <c r="R377" t="b">
        <f t="shared" si="306"/>
        <v>1</v>
      </c>
      <c r="S377" t="b">
        <f t="shared" si="307"/>
        <v>1</v>
      </c>
    </row>
    <row r="378" spans="1:19" x14ac:dyDescent="0.15">
      <c r="B378" s="23"/>
      <c r="D378" t="s">
        <v>49</v>
      </c>
      <c r="E378" s="9" t="s">
        <v>114</v>
      </c>
      <c r="F378" s="14" t="s">
        <v>15</v>
      </c>
      <c r="G378">
        <v>16</v>
      </c>
      <c r="H378" s="7">
        <v>0</v>
      </c>
      <c r="I378" s="1" t="str">
        <f t="shared" si="302"/>
        <v>01</v>
      </c>
      <c r="J378" t="str">
        <f t="shared" si="303"/>
        <v>0</v>
      </c>
      <c r="K378">
        <f t="shared" si="304"/>
        <v>0</v>
      </c>
      <c r="M378" s="12" t="s">
        <v>119</v>
      </c>
      <c r="N378" t="s">
        <v>14</v>
      </c>
      <c r="O378">
        <v>0</v>
      </c>
      <c r="Q378" s="1" t="b">
        <f t="shared" si="305"/>
        <v>1</v>
      </c>
      <c r="R378" t="b">
        <f t="shared" si="306"/>
        <v>1</v>
      </c>
      <c r="S378" t="b">
        <f t="shared" si="307"/>
        <v>1</v>
      </c>
    </row>
    <row r="379" spans="1:19" x14ac:dyDescent="0.15">
      <c r="B379" s="23"/>
      <c r="C379" s="2" t="s">
        <v>87</v>
      </c>
      <c r="D379" s="2" t="s">
        <v>46</v>
      </c>
      <c r="E379" s="11" t="s">
        <v>115</v>
      </c>
      <c r="F379" s="13" t="s">
        <v>15</v>
      </c>
      <c r="G379" s="2">
        <v>2</v>
      </c>
      <c r="H379" s="2">
        <v>0</v>
      </c>
      <c r="I379" s="3" t="str">
        <f t="shared" ref="I379:I381" si="308">TESTdivide(E379,F379,G379,H379)</f>
        <v>01</v>
      </c>
      <c r="J379" s="2" t="str">
        <f t="shared" ref="J379:J381" si="309">TESTdivideByRef1(E379,F379,G379,H379)</f>
        <v>1</v>
      </c>
      <c r="K379" s="2">
        <f t="shared" ref="K379:K381" si="310">TESTdivideByRef2(E379,F379,G379,H379)</f>
        <v>0</v>
      </c>
      <c r="L379" s="2"/>
      <c r="M379" s="10" t="s">
        <v>120</v>
      </c>
      <c r="N379" s="2" t="s">
        <v>44</v>
      </c>
      <c r="O379" s="2">
        <v>0</v>
      </c>
      <c r="P379" s="2"/>
      <c r="Q379" s="3" t="b">
        <f t="shared" ref="Q379:Q381" si="311">getText(I379)=getText(M379)</f>
        <v>1</v>
      </c>
      <c r="R379" s="2" t="b">
        <f t="shared" ref="R379:R381" si="312">getText(J379)=getText(N379)</f>
        <v>1</v>
      </c>
      <c r="S379" s="2" t="b">
        <f t="shared" ref="S379:S381" si="313">getText(K379)=getText(O379)</f>
        <v>1</v>
      </c>
    </row>
    <row r="380" spans="1:19" x14ac:dyDescent="0.15">
      <c r="B380" s="23"/>
      <c r="D380" t="s">
        <v>47</v>
      </c>
      <c r="E380" s="9" t="s">
        <v>115</v>
      </c>
      <c r="F380" s="14" t="s">
        <v>15</v>
      </c>
      <c r="G380">
        <v>10</v>
      </c>
      <c r="H380" s="7">
        <v>0</v>
      </c>
      <c r="I380" s="1" t="str">
        <f t="shared" si="308"/>
        <v>01</v>
      </c>
      <c r="J380" t="str">
        <f t="shared" si="309"/>
        <v>1</v>
      </c>
      <c r="K380">
        <f t="shared" si="310"/>
        <v>0</v>
      </c>
      <c r="M380" s="12" t="s">
        <v>120</v>
      </c>
      <c r="N380" t="s">
        <v>44</v>
      </c>
      <c r="O380">
        <v>0</v>
      </c>
      <c r="Q380" s="1" t="b">
        <f t="shared" si="311"/>
        <v>1</v>
      </c>
      <c r="R380" t="b">
        <f t="shared" si="312"/>
        <v>1</v>
      </c>
      <c r="S380" t="b">
        <f t="shared" si="313"/>
        <v>1</v>
      </c>
    </row>
    <row r="381" spans="1:19" x14ac:dyDescent="0.15">
      <c r="D381" t="s">
        <v>49</v>
      </c>
      <c r="E381" s="9" t="s">
        <v>115</v>
      </c>
      <c r="F381" s="14" t="s">
        <v>15</v>
      </c>
      <c r="G381">
        <v>16</v>
      </c>
      <c r="H381" s="7">
        <v>0</v>
      </c>
      <c r="I381" s="1" t="str">
        <f t="shared" si="308"/>
        <v>01</v>
      </c>
      <c r="J381" t="str">
        <f t="shared" si="309"/>
        <v>1</v>
      </c>
      <c r="K381">
        <f t="shared" si="310"/>
        <v>0</v>
      </c>
      <c r="M381" s="12" t="s">
        <v>120</v>
      </c>
      <c r="N381" t="s">
        <v>44</v>
      </c>
      <c r="O381">
        <v>0</v>
      </c>
      <c r="Q381" s="1" t="b">
        <f t="shared" si="311"/>
        <v>1</v>
      </c>
      <c r="R381" t="b">
        <f t="shared" si="312"/>
        <v>1</v>
      </c>
      <c r="S381" t="b">
        <f t="shared" si="313"/>
        <v>1</v>
      </c>
    </row>
    <row r="382" spans="1:19" x14ac:dyDescent="0.15">
      <c r="C382" s="2" t="s">
        <v>97</v>
      </c>
      <c r="D382" s="2" t="s">
        <v>47</v>
      </c>
      <c r="E382" s="11" t="s">
        <v>117</v>
      </c>
      <c r="F382" s="13" t="s">
        <v>15</v>
      </c>
      <c r="G382" s="2">
        <v>10</v>
      </c>
      <c r="H382" s="24">
        <v>0</v>
      </c>
      <c r="I382" s="3" t="str">
        <f t="shared" ref="I382:I383" si="314">TESTdivide(E382,F382,G382,H382)</f>
        <v>01</v>
      </c>
      <c r="J382" s="2" t="str">
        <f t="shared" ref="J382:J383" si="315">TESTdivideByRef1(E382,F382,G382,H382)</f>
        <v>9</v>
      </c>
      <c r="K382" s="2">
        <f t="shared" ref="K382:K383" si="316">TESTdivideByRef2(E382,F382,G382,H382)</f>
        <v>0</v>
      </c>
      <c r="L382" s="2"/>
      <c r="M382" s="10" t="s">
        <v>120</v>
      </c>
      <c r="N382" s="2" t="s">
        <v>101</v>
      </c>
      <c r="O382" s="2">
        <v>0</v>
      </c>
      <c r="P382" s="2"/>
      <c r="Q382" s="3" t="b">
        <f t="shared" ref="Q382:Q383" si="317">getText(I382)=getText(M382)</f>
        <v>1</v>
      </c>
      <c r="R382" s="2" t="b">
        <f t="shared" ref="R382:R383" si="318">getText(J382)=getText(N382)</f>
        <v>1</v>
      </c>
      <c r="S382" s="2" t="b">
        <f t="shared" ref="S382:S383" si="319">getText(K382)=getText(O382)</f>
        <v>1</v>
      </c>
    </row>
    <row r="383" spans="1:19" x14ac:dyDescent="0.15">
      <c r="D383" t="s">
        <v>49</v>
      </c>
      <c r="E383" s="9" t="s">
        <v>118</v>
      </c>
      <c r="F383" s="14" t="s">
        <v>15</v>
      </c>
      <c r="G383">
        <v>16</v>
      </c>
      <c r="H383" s="7">
        <v>0</v>
      </c>
      <c r="I383" s="1" t="str">
        <f t="shared" si="314"/>
        <v>01</v>
      </c>
      <c r="J383" t="str">
        <f t="shared" si="315"/>
        <v>F</v>
      </c>
      <c r="K383">
        <f t="shared" si="316"/>
        <v>0</v>
      </c>
      <c r="M383" s="12" t="s">
        <v>120</v>
      </c>
      <c r="N383" t="s">
        <v>99</v>
      </c>
      <c r="O383">
        <v>0</v>
      </c>
      <c r="Q383" s="1" t="b">
        <f t="shared" si="317"/>
        <v>1</v>
      </c>
      <c r="R383" t="b">
        <f t="shared" si="318"/>
        <v>1</v>
      </c>
      <c r="S383" t="b">
        <f t="shared" si="319"/>
        <v>1</v>
      </c>
    </row>
    <row r="384" spans="1:19" x14ac:dyDescent="0.15">
      <c r="B384" s="22" t="s">
        <v>88</v>
      </c>
      <c r="C384" s="2" t="s">
        <v>86</v>
      </c>
      <c r="D384" s="2" t="s">
        <v>46</v>
      </c>
      <c r="E384" s="11" t="s">
        <v>114</v>
      </c>
      <c r="F384" s="13" t="s">
        <v>15</v>
      </c>
      <c r="G384" s="2">
        <v>2</v>
      </c>
      <c r="H384" s="2">
        <v>0</v>
      </c>
      <c r="I384" s="3" t="str">
        <f t="shared" ref="I384:I386" si="320">TESTdivide(E384,F384,G384,H384)</f>
        <v>01</v>
      </c>
      <c r="J384" s="2" t="str">
        <f t="shared" ref="J384:J386" si="321">TESTdivideByRef1(E384,F384,G384,H384)</f>
        <v>0</v>
      </c>
      <c r="K384" s="2">
        <f t="shared" ref="K384:K386" si="322">TESTdivideByRef2(E384,F384,G384,H384)</f>
        <v>0</v>
      </c>
      <c r="L384" s="2"/>
      <c r="M384" s="20" t="s">
        <v>119</v>
      </c>
      <c r="N384" s="25" t="s">
        <v>121</v>
      </c>
      <c r="O384" s="2">
        <v>0</v>
      </c>
      <c r="P384" s="2"/>
      <c r="Q384" s="3" t="b">
        <f t="shared" ref="Q384:Q385" si="323">getText(I384)=getText(M384)</f>
        <v>1</v>
      </c>
      <c r="R384" s="2" t="b">
        <f t="shared" ref="R384:R385" si="324">getText(J384)=getText(N384)</f>
        <v>1</v>
      </c>
      <c r="S384" s="2" t="b">
        <f t="shared" ref="S384:S385" si="325">getText(K384)=getText(O384)</f>
        <v>1</v>
      </c>
    </row>
    <row r="385" spans="1:19" x14ac:dyDescent="0.15">
      <c r="B385" s="23"/>
      <c r="D385" t="s">
        <v>47</v>
      </c>
      <c r="E385" s="9" t="s">
        <v>123</v>
      </c>
      <c r="F385" s="14" t="s">
        <v>15</v>
      </c>
      <c r="G385">
        <v>10</v>
      </c>
      <c r="H385" s="7">
        <v>0</v>
      </c>
      <c r="I385" s="1" t="str">
        <f t="shared" si="320"/>
        <v>09</v>
      </c>
      <c r="J385" t="str">
        <f t="shared" si="321"/>
        <v>0</v>
      </c>
      <c r="K385">
        <f t="shared" si="322"/>
        <v>0</v>
      </c>
      <c r="M385" s="21" t="s">
        <v>125</v>
      </c>
      <c r="N385" s="26" t="s">
        <v>122</v>
      </c>
      <c r="O385">
        <v>0</v>
      </c>
      <c r="Q385" s="1" t="b">
        <f t="shared" si="323"/>
        <v>1</v>
      </c>
      <c r="R385" t="b">
        <f t="shared" si="324"/>
        <v>1</v>
      </c>
      <c r="S385" t="b">
        <f t="shared" si="325"/>
        <v>1</v>
      </c>
    </row>
    <row r="386" spans="1:19" x14ac:dyDescent="0.15">
      <c r="B386" s="23"/>
      <c r="D386" t="s">
        <v>49</v>
      </c>
      <c r="E386" s="9" t="s">
        <v>124</v>
      </c>
      <c r="F386" s="14" t="s">
        <v>15</v>
      </c>
      <c r="G386">
        <v>16</v>
      </c>
      <c r="H386" s="7">
        <v>0</v>
      </c>
      <c r="I386" s="1" t="str">
        <f t="shared" si="320"/>
        <v>0F</v>
      </c>
      <c r="J386" t="str">
        <f t="shared" si="321"/>
        <v>0</v>
      </c>
      <c r="K386">
        <f t="shared" si="322"/>
        <v>0</v>
      </c>
      <c r="M386" s="21" t="s">
        <v>126</v>
      </c>
      <c r="N386" s="26" t="s">
        <v>122</v>
      </c>
      <c r="O386">
        <v>0</v>
      </c>
      <c r="Q386" s="1" t="b">
        <f t="shared" ref="Q386:Q388" si="326">getText(I386)=getText(M386)</f>
        <v>1</v>
      </c>
      <c r="R386" t="b">
        <f t="shared" ref="R386:R388" si="327">getText(J386)=getText(N386)</f>
        <v>1</v>
      </c>
      <c r="S386" t="b">
        <f t="shared" ref="S386:S388" si="328">getText(K386)=getText(O386)</f>
        <v>1</v>
      </c>
    </row>
    <row r="387" spans="1:19" x14ac:dyDescent="0.15">
      <c r="B387" s="23"/>
      <c r="C387" s="2" t="s">
        <v>87</v>
      </c>
      <c r="D387" s="2" t="s">
        <v>46</v>
      </c>
      <c r="E387" s="11" t="s">
        <v>115</v>
      </c>
      <c r="F387" s="13" t="s">
        <v>15</v>
      </c>
      <c r="G387" s="2">
        <v>2</v>
      </c>
      <c r="H387" s="2">
        <v>0</v>
      </c>
      <c r="I387" s="3" t="str">
        <f t="shared" ref="I387:I388" si="329">TESTdivide(E387,F387,G387,H387)</f>
        <v>01</v>
      </c>
      <c r="J387" s="2" t="str">
        <f t="shared" ref="J387:J388" si="330">TESTdivideByRef1(E387,F387,G387,H387)</f>
        <v>1</v>
      </c>
      <c r="K387" s="2">
        <f t="shared" ref="K387:K388" si="331">TESTdivideByRef2(E387,F387,G387,H387)</f>
        <v>0</v>
      </c>
      <c r="L387" s="2"/>
      <c r="M387" s="20" t="s">
        <v>119</v>
      </c>
      <c r="N387" s="25" t="s">
        <v>116</v>
      </c>
      <c r="O387" s="2">
        <v>0</v>
      </c>
      <c r="P387" s="2"/>
      <c r="Q387" s="3" t="b">
        <f t="shared" si="326"/>
        <v>1</v>
      </c>
      <c r="R387" s="2" t="b">
        <f t="shared" si="327"/>
        <v>1</v>
      </c>
      <c r="S387" s="2" t="b">
        <f t="shared" si="328"/>
        <v>1</v>
      </c>
    </row>
    <row r="388" spans="1:19" x14ac:dyDescent="0.15">
      <c r="B388" s="23"/>
      <c r="D388" t="s">
        <v>47</v>
      </c>
      <c r="E388" s="9" t="s">
        <v>127</v>
      </c>
      <c r="F388" s="14" t="s">
        <v>15</v>
      </c>
      <c r="G388">
        <v>10</v>
      </c>
      <c r="H388" s="7">
        <v>0</v>
      </c>
      <c r="I388" s="1" t="str">
        <f t="shared" si="329"/>
        <v>09</v>
      </c>
      <c r="J388" t="str">
        <f t="shared" si="330"/>
        <v>1</v>
      </c>
      <c r="K388">
        <f t="shared" si="331"/>
        <v>0</v>
      </c>
      <c r="M388" s="21" t="s">
        <v>125</v>
      </c>
      <c r="N388" s="26" t="s">
        <v>129</v>
      </c>
      <c r="O388">
        <v>0</v>
      </c>
      <c r="Q388" s="1" t="b">
        <f t="shared" si="326"/>
        <v>1</v>
      </c>
      <c r="R388" t="b">
        <f t="shared" si="327"/>
        <v>1</v>
      </c>
      <c r="S388" t="b">
        <f t="shared" si="328"/>
        <v>1</v>
      </c>
    </row>
    <row r="389" spans="1:19" x14ac:dyDescent="0.15">
      <c r="D389" t="s">
        <v>49</v>
      </c>
      <c r="E389" s="9" t="s">
        <v>128</v>
      </c>
      <c r="F389" s="14" t="s">
        <v>15</v>
      </c>
      <c r="G389">
        <v>16</v>
      </c>
      <c r="H389" s="7">
        <v>0</v>
      </c>
      <c r="I389" s="1" t="str">
        <f t="shared" ref="I389:I391" si="332">TESTdivide(E389,F389,G389,H389)</f>
        <v>0F</v>
      </c>
      <c r="J389" t="str">
        <f t="shared" ref="J389:J391" si="333">TESTdivideByRef1(E389,F389,G389,H389)</f>
        <v>1</v>
      </c>
      <c r="K389">
        <f t="shared" ref="K389:K391" si="334">TESTdivideByRef2(E389,F389,G389,H389)</f>
        <v>0</v>
      </c>
      <c r="M389" s="21" t="s">
        <v>126</v>
      </c>
      <c r="N389" s="26" t="s">
        <v>129</v>
      </c>
      <c r="O389">
        <v>0</v>
      </c>
      <c r="Q389" s="1" t="b">
        <f t="shared" ref="Q389:Q391" si="335">getText(I389)=getText(M389)</f>
        <v>1</v>
      </c>
      <c r="R389" t="b">
        <f t="shared" ref="R389:R391" si="336">getText(J389)=getText(N389)</f>
        <v>1</v>
      </c>
      <c r="S389" t="b">
        <f t="shared" ref="S389:S391" si="337">getText(K389)=getText(O389)</f>
        <v>1</v>
      </c>
    </row>
    <row r="390" spans="1:19" x14ac:dyDescent="0.15">
      <c r="A390" s="23"/>
      <c r="C390" s="2" t="s">
        <v>97</v>
      </c>
      <c r="D390" s="2" t="s">
        <v>47</v>
      </c>
      <c r="E390" s="11" t="s">
        <v>130</v>
      </c>
      <c r="F390" s="13" t="s">
        <v>15</v>
      </c>
      <c r="G390" s="2">
        <v>10</v>
      </c>
      <c r="H390" s="24">
        <v>0</v>
      </c>
      <c r="I390" s="3" t="str">
        <f t="shared" si="332"/>
        <v>09</v>
      </c>
      <c r="J390" s="2" t="str">
        <f t="shared" si="333"/>
        <v>9</v>
      </c>
      <c r="K390" s="2">
        <f t="shared" si="334"/>
        <v>0</v>
      </c>
      <c r="L390" s="2"/>
      <c r="M390" s="20" t="s">
        <v>125</v>
      </c>
      <c r="N390" s="25" t="s">
        <v>132</v>
      </c>
      <c r="O390" s="2">
        <v>0</v>
      </c>
      <c r="P390" s="2"/>
      <c r="Q390" s="3" t="b">
        <f t="shared" si="335"/>
        <v>1</v>
      </c>
      <c r="R390" s="2" t="b">
        <f t="shared" si="336"/>
        <v>1</v>
      </c>
      <c r="S390" s="2" t="b">
        <f t="shared" si="337"/>
        <v>1</v>
      </c>
    </row>
    <row r="391" spans="1:19" x14ac:dyDescent="0.15">
      <c r="D391" t="s">
        <v>49</v>
      </c>
      <c r="E391" s="9" t="s">
        <v>131</v>
      </c>
      <c r="F391" s="14" t="s">
        <v>15</v>
      </c>
      <c r="G391">
        <v>16</v>
      </c>
      <c r="H391" s="7">
        <v>0</v>
      </c>
      <c r="I391" s="1" t="str">
        <f t="shared" si="332"/>
        <v>0F</v>
      </c>
      <c r="J391" t="str">
        <f t="shared" si="333"/>
        <v>F</v>
      </c>
      <c r="K391">
        <f t="shared" si="334"/>
        <v>0</v>
      </c>
      <c r="M391" s="21" t="s">
        <v>126</v>
      </c>
      <c r="N391" s="26" t="s">
        <v>133</v>
      </c>
      <c r="O391">
        <v>0</v>
      </c>
      <c r="Q391" s="1" t="b">
        <f t="shared" si="335"/>
        <v>1</v>
      </c>
      <c r="R391" t="b">
        <f t="shared" si="336"/>
        <v>1</v>
      </c>
      <c r="S391" t="b">
        <f t="shared" si="337"/>
        <v>1</v>
      </c>
    </row>
    <row r="392" spans="1:19" x14ac:dyDescent="0.15">
      <c r="B392" s="22" t="s">
        <v>89</v>
      </c>
      <c r="C392" s="2" t="s">
        <v>86</v>
      </c>
      <c r="D392" s="2" t="s">
        <v>46</v>
      </c>
      <c r="E392" s="11" t="s">
        <v>136</v>
      </c>
      <c r="F392" s="13" t="s">
        <v>15</v>
      </c>
      <c r="G392" s="2">
        <v>2</v>
      </c>
      <c r="H392" s="2">
        <v>0</v>
      </c>
      <c r="I392" s="3" t="str">
        <f t="shared" ref="I392:I394" si="338">TESTdivide(E392,F392,G392,H392)</f>
        <v>010</v>
      </c>
      <c r="J392" s="2" t="str">
        <f t="shared" ref="J392:J394" si="339">TESTdivideByRef1(E392,F392,G392,H392)</f>
        <v>0</v>
      </c>
      <c r="K392" s="2">
        <f t="shared" ref="K392:K394" si="340">TESTdivideByRef2(E392,F392,G392,H392)</f>
        <v>0</v>
      </c>
      <c r="L392" s="2"/>
      <c r="M392" s="20" t="s">
        <v>79</v>
      </c>
      <c r="N392" s="25" t="s">
        <v>134</v>
      </c>
      <c r="O392" s="2">
        <v>0</v>
      </c>
      <c r="P392" s="2"/>
      <c r="Q392" s="3" t="b">
        <f t="shared" ref="Q392:Q394" si="341">getText(I392)=getText(M392)</f>
        <v>1</v>
      </c>
      <c r="R392" s="2" t="b">
        <f t="shared" ref="R392:R394" si="342">getText(J392)=getText(N392)</f>
        <v>1</v>
      </c>
      <c r="S392" s="2" t="b">
        <f t="shared" ref="S392:S394" si="343">getText(K392)=getText(O392)</f>
        <v>1</v>
      </c>
    </row>
    <row r="393" spans="1:19" x14ac:dyDescent="0.15">
      <c r="B393" s="23"/>
      <c r="D393" t="s">
        <v>47</v>
      </c>
      <c r="E393" s="9" t="s">
        <v>136</v>
      </c>
      <c r="F393" s="14" t="s">
        <v>15</v>
      </c>
      <c r="G393">
        <v>10</v>
      </c>
      <c r="H393" s="7">
        <v>0</v>
      </c>
      <c r="I393" s="1" t="str">
        <f t="shared" si="338"/>
        <v>010</v>
      </c>
      <c r="J393" t="str">
        <f t="shared" si="339"/>
        <v>0</v>
      </c>
      <c r="K393">
        <f t="shared" si="340"/>
        <v>0</v>
      </c>
      <c r="M393" s="21" t="s">
        <v>79</v>
      </c>
      <c r="N393" s="26" t="s">
        <v>135</v>
      </c>
      <c r="O393" s="7">
        <v>0</v>
      </c>
      <c r="P393" s="7"/>
      <c r="Q393" s="1" t="b">
        <f t="shared" si="341"/>
        <v>1</v>
      </c>
      <c r="R393" t="b">
        <f t="shared" si="342"/>
        <v>1</v>
      </c>
      <c r="S393" t="b">
        <f t="shared" si="343"/>
        <v>1</v>
      </c>
    </row>
    <row r="394" spans="1:19" x14ac:dyDescent="0.15">
      <c r="B394" s="23"/>
      <c r="D394" t="s">
        <v>49</v>
      </c>
      <c r="E394" s="9" t="s">
        <v>136</v>
      </c>
      <c r="F394" s="14" t="s">
        <v>15</v>
      </c>
      <c r="G394">
        <v>16</v>
      </c>
      <c r="H394" s="7">
        <v>0</v>
      </c>
      <c r="I394" s="1" t="str">
        <f t="shared" si="338"/>
        <v>010</v>
      </c>
      <c r="J394" t="str">
        <f t="shared" si="339"/>
        <v>0</v>
      </c>
      <c r="K394">
        <f t="shared" si="340"/>
        <v>0</v>
      </c>
      <c r="M394" s="21" t="s">
        <v>79</v>
      </c>
      <c r="N394" s="26" t="s">
        <v>134</v>
      </c>
      <c r="O394" s="7">
        <v>0</v>
      </c>
      <c r="P394" s="7"/>
      <c r="Q394" s="1" t="b">
        <f t="shared" si="341"/>
        <v>1</v>
      </c>
      <c r="R394" t="b">
        <f t="shared" si="342"/>
        <v>1</v>
      </c>
      <c r="S394" t="b">
        <f t="shared" si="343"/>
        <v>1</v>
      </c>
    </row>
    <row r="395" spans="1:19" x14ac:dyDescent="0.15">
      <c r="B395" s="23"/>
      <c r="C395" s="2" t="s">
        <v>87</v>
      </c>
      <c r="D395" s="2" t="s">
        <v>46</v>
      </c>
      <c r="E395" s="11" t="s">
        <v>141</v>
      </c>
      <c r="F395" s="13" t="s">
        <v>15</v>
      </c>
      <c r="G395" s="2">
        <v>2</v>
      </c>
      <c r="H395" s="2">
        <v>0</v>
      </c>
      <c r="I395" s="3" t="str">
        <f t="shared" ref="I395:I399" si="344">TESTdivide(E395,F395,G395,H395)</f>
        <v>010</v>
      </c>
      <c r="J395" s="2" t="str">
        <f t="shared" ref="J395:J399" si="345">TESTdivideByRef1(E395,F395,G395,H395)</f>
        <v>1</v>
      </c>
      <c r="K395" s="2">
        <f t="shared" ref="K395:K399" si="346">TESTdivideByRef2(E395,F395,G395,H395)</f>
        <v>0</v>
      </c>
      <c r="L395" s="2"/>
      <c r="M395" s="20" t="s">
        <v>79</v>
      </c>
      <c r="N395" s="25" t="s">
        <v>137</v>
      </c>
      <c r="O395" s="2">
        <v>0</v>
      </c>
      <c r="P395" s="2"/>
      <c r="Q395" s="3" t="b">
        <f t="shared" ref="Q395:Q399" si="347">getText(I395)=getText(M395)</f>
        <v>1</v>
      </c>
      <c r="R395" s="2" t="b">
        <f t="shared" ref="R395:R399" si="348">getText(J395)=getText(N395)</f>
        <v>1</v>
      </c>
      <c r="S395" s="2" t="b">
        <f t="shared" ref="S395:S399" si="349">getText(K395)=getText(O395)</f>
        <v>1</v>
      </c>
    </row>
    <row r="396" spans="1:19" x14ac:dyDescent="0.15">
      <c r="B396" s="23"/>
      <c r="D396" t="s">
        <v>47</v>
      </c>
      <c r="E396" s="9" t="s">
        <v>144</v>
      </c>
      <c r="F396" s="14" t="s">
        <v>15</v>
      </c>
      <c r="G396">
        <v>10</v>
      </c>
      <c r="H396" s="7">
        <v>0</v>
      </c>
      <c r="I396" s="1" t="str">
        <f t="shared" si="344"/>
        <v>010</v>
      </c>
      <c r="J396" t="str">
        <f t="shared" si="345"/>
        <v>1</v>
      </c>
      <c r="K396">
        <f t="shared" si="346"/>
        <v>0</v>
      </c>
      <c r="M396" s="21" t="s">
        <v>79</v>
      </c>
      <c r="N396" s="26" t="s">
        <v>137</v>
      </c>
      <c r="O396">
        <v>0</v>
      </c>
      <c r="Q396" s="1" t="b">
        <f t="shared" si="347"/>
        <v>1</v>
      </c>
      <c r="R396" t="b">
        <f t="shared" si="348"/>
        <v>1</v>
      </c>
      <c r="S396" t="b">
        <f t="shared" si="349"/>
        <v>1</v>
      </c>
    </row>
    <row r="397" spans="1:19" x14ac:dyDescent="0.15">
      <c r="D397" t="s">
        <v>49</v>
      </c>
      <c r="E397" s="9" t="s">
        <v>141</v>
      </c>
      <c r="F397" s="14" t="s">
        <v>15</v>
      </c>
      <c r="G397">
        <v>16</v>
      </c>
      <c r="H397" s="7">
        <v>0</v>
      </c>
      <c r="I397" s="1" t="str">
        <f t="shared" si="344"/>
        <v>010</v>
      </c>
      <c r="J397" t="str">
        <f t="shared" si="345"/>
        <v>1</v>
      </c>
      <c r="K397">
        <f t="shared" si="346"/>
        <v>0</v>
      </c>
      <c r="M397" s="21" t="s">
        <v>79</v>
      </c>
      <c r="N397" s="26" t="s">
        <v>138</v>
      </c>
      <c r="O397">
        <v>0</v>
      </c>
      <c r="Q397" s="1" t="b">
        <f t="shared" si="347"/>
        <v>1</v>
      </c>
      <c r="R397" t="b">
        <f t="shared" si="348"/>
        <v>1</v>
      </c>
      <c r="S397" t="b">
        <f t="shared" si="349"/>
        <v>1</v>
      </c>
    </row>
    <row r="398" spans="1:19" x14ac:dyDescent="0.15">
      <c r="C398" s="2" t="s">
        <v>97</v>
      </c>
      <c r="D398" s="2" t="s">
        <v>47</v>
      </c>
      <c r="E398" s="11" t="s">
        <v>142</v>
      </c>
      <c r="F398" s="13" t="s">
        <v>15</v>
      </c>
      <c r="G398" s="2">
        <v>10</v>
      </c>
      <c r="H398" s="24">
        <v>0</v>
      </c>
      <c r="I398" s="3" t="str">
        <f t="shared" si="344"/>
        <v>010</v>
      </c>
      <c r="J398" s="2" t="str">
        <f t="shared" si="345"/>
        <v>9</v>
      </c>
      <c r="K398" s="2">
        <f t="shared" si="346"/>
        <v>0</v>
      </c>
      <c r="L398" s="2"/>
      <c r="M398" s="20" t="s">
        <v>79</v>
      </c>
      <c r="N398" s="25" t="s">
        <v>139</v>
      </c>
      <c r="O398" s="2">
        <v>0</v>
      </c>
      <c r="P398" s="2"/>
      <c r="Q398" s="3" t="b">
        <f t="shared" si="347"/>
        <v>1</v>
      </c>
      <c r="R398" s="2" t="b">
        <f t="shared" si="348"/>
        <v>1</v>
      </c>
      <c r="S398" s="2" t="b">
        <f t="shared" si="349"/>
        <v>1</v>
      </c>
    </row>
    <row r="399" spans="1:19" x14ac:dyDescent="0.15">
      <c r="D399" t="s">
        <v>49</v>
      </c>
      <c r="E399" s="9" t="s">
        <v>143</v>
      </c>
      <c r="F399" s="14" t="s">
        <v>15</v>
      </c>
      <c r="G399">
        <v>16</v>
      </c>
      <c r="H399" s="7">
        <v>0</v>
      </c>
      <c r="I399" s="1" t="str">
        <f t="shared" si="344"/>
        <v>010</v>
      </c>
      <c r="J399" t="str">
        <f t="shared" si="345"/>
        <v>F</v>
      </c>
      <c r="K399">
        <f t="shared" si="346"/>
        <v>0</v>
      </c>
      <c r="M399" s="21" t="s">
        <v>79</v>
      </c>
      <c r="N399" s="26" t="s">
        <v>140</v>
      </c>
      <c r="O399">
        <v>0</v>
      </c>
      <c r="Q399" s="1" t="b">
        <f t="shared" si="347"/>
        <v>1</v>
      </c>
      <c r="R399" t="b">
        <f t="shared" si="348"/>
        <v>1</v>
      </c>
      <c r="S399" t="b">
        <f t="shared" si="349"/>
        <v>1</v>
      </c>
    </row>
    <row r="400" spans="1:19" x14ac:dyDescent="0.15">
      <c r="B400" s="22" t="s">
        <v>90</v>
      </c>
      <c r="C400" s="2" t="s">
        <v>86</v>
      </c>
      <c r="D400" s="2" t="s">
        <v>46</v>
      </c>
      <c r="E400" s="11" t="s">
        <v>148</v>
      </c>
      <c r="F400" s="13" t="s">
        <v>15</v>
      </c>
      <c r="G400" s="2">
        <v>2</v>
      </c>
      <c r="H400" s="2">
        <v>0</v>
      </c>
      <c r="I400" s="3" t="str">
        <f t="shared" ref="I400:I402" si="350">TESTdivide(E400,F400,G400,H400)</f>
        <v>011</v>
      </c>
      <c r="J400" s="2" t="str">
        <f t="shared" ref="J400:J402" si="351">TESTdivideByRef1(E400,F400,G400,H400)</f>
        <v>0</v>
      </c>
      <c r="K400" s="2">
        <f t="shared" ref="K400:K402" si="352">TESTdivideByRef2(E400,F400,G400,H400)</f>
        <v>0</v>
      </c>
      <c r="L400" s="2"/>
      <c r="M400" s="20" t="s">
        <v>149</v>
      </c>
      <c r="N400" s="25" t="s">
        <v>145</v>
      </c>
      <c r="O400" s="2">
        <v>0</v>
      </c>
      <c r="P400" s="2"/>
      <c r="Q400" s="3" t="b">
        <f t="shared" ref="Q400:Q402" si="353">getText(I400)=getText(M400)</f>
        <v>1</v>
      </c>
      <c r="R400" s="2" t="b">
        <f t="shared" ref="R400:R402" si="354">getText(J400)=getText(N400)</f>
        <v>1</v>
      </c>
      <c r="S400" s="2" t="b">
        <f t="shared" ref="S400:S402" si="355">getText(K400)=getText(O400)</f>
        <v>1</v>
      </c>
    </row>
    <row r="401" spans="2:19" x14ac:dyDescent="0.15">
      <c r="B401" s="23"/>
      <c r="D401" t="s">
        <v>47</v>
      </c>
      <c r="E401" s="9" t="s">
        <v>148</v>
      </c>
      <c r="F401" s="14" t="s">
        <v>15</v>
      </c>
      <c r="G401">
        <v>10</v>
      </c>
      <c r="H401" s="7">
        <v>0</v>
      </c>
      <c r="I401" s="1" t="str">
        <f t="shared" si="350"/>
        <v>011</v>
      </c>
      <c r="J401" t="str">
        <f t="shared" si="351"/>
        <v>0</v>
      </c>
      <c r="K401">
        <f t="shared" si="352"/>
        <v>0</v>
      </c>
      <c r="M401" s="21" t="s">
        <v>78</v>
      </c>
      <c r="N401" s="26" t="s">
        <v>146</v>
      </c>
      <c r="O401">
        <v>0</v>
      </c>
      <c r="Q401" s="1" t="b">
        <f t="shared" si="353"/>
        <v>1</v>
      </c>
      <c r="R401" t="b">
        <f t="shared" si="354"/>
        <v>1</v>
      </c>
      <c r="S401" t="b">
        <f t="shared" si="355"/>
        <v>1</v>
      </c>
    </row>
    <row r="402" spans="2:19" x14ac:dyDescent="0.15">
      <c r="B402" s="23"/>
      <c r="D402" t="s">
        <v>49</v>
      </c>
      <c r="E402" s="9" t="s">
        <v>148</v>
      </c>
      <c r="F402" s="14" t="s">
        <v>15</v>
      </c>
      <c r="G402">
        <v>16</v>
      </c>
      <c r="H402" s="7">
        <v>0</v>
      </c>
      <c r="I402" s="1" t="str">
        <f t="shared" si="350"/>
        <v>011</v>
      </c>
      <c r="J402" t="str">
        <f t="shared" si="351"/>
        <v>0</v>
      </c>
      <c r="K402">
        <f t="shared" si="352"/>
        <v>0</v>
      </c>
      <c r="M402" s="21" t="s">
        <v>78</v>
      </c>
      <c r="N402" s="26" t="s">
        <v>147</v>
      </c>
      <c r="O402">
        <v>0</v>
      </c>
      <c r="Q402" s="1" t="b">
        <f t="shared" si="353"/>
        <v>1</v>
      </c>
      <c r="R402" t="b">
        <f t="shared" si="354"/>
        <v>1</v>
      </c>
      <c r="S402" t="b">
        <f t="shared" si="355"/>
        <v>1</v>
      </c>
    </row>
    <row r="403" spans="2:19" x14ac:dyDescent="0.15">
      <c r="B403" s="23"/>
      <c r="C403" s="2" t="s">
        <v>87</v>
      </c>
      <c r="D403" s="2" t="s">
        <v>46</v>
      </c>
      <c r="E403" s="11" t="s">
        <v>150</v>
      </c>
      <c r="F403" s="13" t="s">
        <v>15</v>
      </c>
      <c r="G403" s="2">
        <v>2</v>
      </c>
      <c r="H403" s="2">
        <v>0</v>
      </c>
      <c r="I403" s="3" t="str">
        <f t="shared" ref="I403:I407" si="356">TESTdivide(E403,F403,G403,H403)</f>
        <v>011</v>
      </c>
      <c r="J403" s="2" t="str">
        <f t="shared" ref="J403:J407" si="357">TESTdivideByRef1(E403,F403,G403,H403)</f>
        <v>1</v>
      </c>
      <c r="K403" s="2">
        <f t="shared" ref="K403:K407" si="358">TESTdivideByRef2(E403,F403,G403,H403)</f>
        <v>0</v>
      </c>
      <c r="L403" s="2"/>
      <c r="M403" s="20" t="s">
        <v>78</v>
      </c>
      <c r="N403" s="25" t="s">
        <v>44</v>
      </c>
      <c r="O403" s="2">
        <v>0</v>
      </c>
      <c r="P403" s="2"/>
      <c r="Q403" s="3" t="b">
        <f t="shared" ref="Q403:Q405" si="359">getText(I403)=getText(M403)</f>
        <v>1</v>
      </c>
      <c r="R403" s="2" t="b">
        <f t="shared" ref="R403:R405" si="360">getText(J403)=getText(N403)</f>
        <v>1</v>
      </c>
      <c r="S403" s="2" t="b">
        <f t="shared" ref="S403:S405" si="361">getText(K403)=getText(O403)</f>
        <v>1</v>
      </c>
    </row>
    <row r="404" spans="2:19" x14ac:dyDescent="0.15">
      <c r="B404" s="23"/>
      <c r="D404" t="s">
        <v>47</v>
      </c>
      <c r="E404" s="9" t="s">
        <v>31</v>
      </c>
      <c r="F404" s="14" t="s">
        <v>15</v>
      </c>
      <c r="G404">
        <v>10</v>
      </c>
      <c r="H404" s="7">
        <v>0</v>
      </c>
      <c r="I404" s="1" t="str">
        <f t="shared" si="356"/>
        <v>011</v>
      </c>
      <c r="J404" t="str">
        <f t="shared" si="357"/>
        <v>1</v>
      </c>
      <c r="K404">
        <f t="shared" si="358"/>
        <v>0</v>
      </c>
      <c r="M404" s="21" t="s">
        <v>78</v>
      </c>
      <c r="N404" s="26" t="s">
        <v>44</v>
      </c>
      <c r="O404">
        <v>0</v>
      </c>
      <c r="Q404" s="1" t="b">
        <f t="shared" si="359"/>
        <v>1</v>
      </c>
      <c r="R404" t="b">
        <f t="shared" si="360"/>
        <v>1</v>
      </c>
      <c r="S404" t="b">
        <f t="shared" si="361"/>
        <v>1</v>
      </c>
    </row>
    <row r="405" spans="2:19" x14ac:dyDescent="0.15">
      <c r="D405" t="s">
        <v>49</v>
      </c>
      <c r="E405" s="9" t="s">
        <v>31</v>
      </c>
      <c r="F405" s="14" t="s">
        <v>15</v>
      </c>
      <c r="G405">
        <v>16</v>
      </c>
      <c r="H405" s="7">
        <v>0</v>
      </c>
      <c r="I405" s="1" t="str">
        <f t="shared" si="356"/>
        <v>011</v>
      </c>
      <c r="J405" t="str">
        <f t="shared" si="357"/>
        <v>1</v>
      </c>
      <c r="K405">
        <f t="shared" si="358"/>
        <v>0</v>
      </c>
      <c r="M405" s="21" t="s">
        <v>78</v>
      </c>
      <c r="N405" s="26" t="s">
        <v>44</v>
      </c>
      <c r="O405">
        <v>0</v>
      </c>
      <c r="Q405" s="1" t="b">
        <f t="shared" si="359"/>
        <v>1</v>
      </c>
      <c r="R405" t="b">
        <f t="shared" si="360"/>
        <v>1</v>
      </c>
      <c r="S405" t="b">
        <f t="shared" si="361"/>
        <v>1</v>
      </c>
    </row>
    <row r="406" spans="2:19" x14ac:dyDescent="0.15">
      <c r="C406" s="2" t="s">
        <v>97</v>
      </c>
      <c r="D406" s="2" t="s">
        <v>47</v>
      </c>
      <c r="E406" s="11" t="s">
        <v>151</v>
      </c>
      <c r="F406" s="13" t="s">
        <v>15</v>
      </c>
      <c r="G406" s="2">
        <v>10</v>
      </c>
      <c r="H406" s="24">
        <v>0</v>
      </c>
      <c r="I406" s="3" t="str">
        <f t="shared" si="356"/>
        <v>011</v>
      </c>
      <c r="J406" s="2" t="str">
        <f t="shared" si="357"/>
        <v>9</v>
      </c>
      <c r="K406" s="2">
        <f t="shared" si="358"/>
        <v>0</v>
      </c>
      <c r="L406" s="2"/>
      <c r="M406" s="20" t="s">
        <v>78</v>
      </c>
      <c r="N406" s="25" t="s">
        <v>101</v>
      </c>
      <c r="O406" s="2">
        <v>0</v>
      </c>
      <c r="P406" s="2"/>
      <c r="Q406" s="3" t="b">
        <f t="shared" ref="Q406:Q407" si="362">getText(I406)=getText(M406)</f>
        <v>1</v>
      </c>
      <c r="R406" s="2" t="b">
        <f t="shared" ref="R406:R407" si="363">getText(J406)=getText(N406)</f>
        <v>1</v>
      </c>
      <c r="S406" s="2" t="b">
        <f t="shared" ref="S406:S407" si="364">getText(K406)=getText(O406)</f>
        <v>1</v>
      </c>
    </row>
    <row r="407" spans="2:19" x14ac:dyDescent="0.15">
      <c r="D407" t="s">
        <v>49</v>
      </c>
      <c r="E407" s="9" t="s">
        <v>152</v>
      </c>
      <c r="F407" s="14" t="s">
        <v>15</v>
      </c>
      <c r="G407">
        <v>16</v>
      </c>
      <c r="H407" s="7">
        <v>0</v>
      </c>
      <c r="I407" s="1" t="str">
        <f t="shared" si="356"/>
        <v>011</v>
      </c>
      <c r="J407" t="str">
        <f t="shared" si="357"/>
        <v>F</v>
      </c>
      <c r="K407">
        <f t="shared" si="358"/>
        <v>0</v>
      </c>
      <c r="M407" s="21" t="s">
        <v>78</v>
      </c>
      <c r="N407" s="26" t="s">
        <v>99</v>
      </c>
      <c r="O407">
        <v>0</v>
      </c>
      <c r="Q407" s="1" t="b">
        <f t="shared" si="362"/>
        <v>1</v>
      </c>
      <c r="R407" t="b">
        <f t="shared" si="363"/>
        <v>1</v>
      </c>
      <c r="S407" t="b">
        <f t="shared" si="364"/>
        <v>1</v>
      </c>
    </row>
    <row r="408" spans="2:19" x14ac:dyDescent="0.15">
      <c r="B408" s="22" t="s">
        <v>91</v>
      </c>
      <c r="C408" s="2" t="s">
        <v>86</v>
      </c>
      <c r="D408" s="2" t="s">
        <v>46</v>
      </c>
      <c r="E408" s="11" t="s">
        <v>148</v>
      </c>
      <c r="F408" s="13" t="s">
        <v>15</v>
      </c>
      <c r="G408" s="2">
        <v>2</v>
      </c>
      <c r="H408" s="2">
        <v>0</v>
      </c>
      <c r="I408" s="3" t="str">
        <f t="shared" ref="I408:I410" si="365">TESTdivide(E408,F408,G408,H408)</f>
        <v>011</v>
      </c>
      <c r="J408" s="2" t="str">
        <f t="shared" ref="J408:J410" si="366">TESTdivideByRef1(E408,F408,G408,H408)</f>
        <v>0</v>
      </c>
      <c r="K408" s="2">
        <f t="shared" ref="K408:K410" si="367">TESTdivideByRef2(E408,F408,G408,H408)</f>
        <v>0</v>
      </c>
      <c r="L408" s="2"/>
      <c r="M408" s="20" t="s">
        <v>149</v>
      </c>
      <c r="N408" s="25" t="s">
        <v>156</v>
      </c>
      <c r="O408" s="2">
        <v>0</v>
      </c>
      <c r="P408" s="2"/>
      <c r="Q408" s="3" t="b">
        <f t="shared" ref="Q408:Q410" si="368">getText(I408)=getText(M408)</f>
        <v>1</v>
      </c>
      <c r="R408" s="2" t="b">
        <f t="shared" ref="R408:R410" si="369">getText(J408)=getText(N408)</f>
        <v>1</v>
      </c>
      <c r="S408" s="2" t="b">
        <f t="shared" ref="S408:S410" si="370">getText(K408)=getText(O408)</f>
        <v>1</v>
      </c>
    </row>
    <row r="409" spans="2:19" x14ac:dyDescent="0.15">
      <c r="B409" s="23"/>
      <c r="D409" t="s">
        <v>47</v>
      </c>
      <c r="E409" s="9" t="s">
        <v>153</v>
      </c>
      <c r="F409" s="14" t="s">
        <v>15</v>
      </c>
      <c r="G409">
        <v>10</v>
      </c>
      <c r="H409" s="7">
        <v>0</v>
      </c>
      <c r="I409" s="1" t="str">
        <f t="shared" si="365"/>
        <v>099</v>
      </c>
      <c r="J409" t="str">
        <f t="shared" si="366"/>
        <v>0</v>
      </c>
      <c r="K409">
        <f t="shared" si="367"/>
        <v>0</v>
      </c>
      <c r="M409" s="21" t="s">
        <v>155</v>
      </c>
      <c r="N409" s="26" t="s">
        <v>146</v>
      </c>
      <c r="O409">
        <v>0</v>
      </c>
      <c r="Q409" s="1" t="b">
        <f t="shared" si="368"/>
        <v>1</v>
      </c>
      <c r="R409" t="b">
        <f t="shared" si="369"/>
        <v>1</v>
      </c>
      <c r="S409" t="b">
        <f t="shared" si="370"/>
        <v>1</v>
      </c>
    </row>
    <row r="410" spans="2:19" x14ac:dyDescent="0.15">
      <c r="B410" s="23"/>
      <c r="D410" t="s">
        <v>49</v>
      </c>
      <c r="E410" s="9" t="s">
        <v>160</v>
      </c>
      <c r="F410" s="14" t="s">
        <v>15</v>
      </c>
      <c r="G410">
        <v>16</v>
      </c>
      <c r="H410" s="7">
        <v>0</v>
      </c>
      <c r="I410" s="1" t="str">
        <f t="shared" si="365"/>
        <v>0FF</v>
      </c>
      <c r="J410" t="str">
        <f t="shared" si="366"/>
        <v>0</v>
      </c>
      <c r="K410">
        <f t="shared" si="367"/>
        <v>0</v>
      </c>
      <c r="M410" s="21" t="s">
        <v>158</v>
      </c>
      <c r="N410" s="26" t="s">
        <v>159</v>
      </c>
      <c r="O410">
        <v>0</v>
      </c>
      <c r="Q410" s="1" t="b">
        <f t="shared" si="368"/>
        <v>1</v>
      </c>
      <c r="R410" t="b">
        <f t="shared" si="369"/>
        <v>1</v>
      </c>
      <c r="S410" t="b">
        <f t="shared" si="370"/>
        <v>1</v>
      </c>
    </row>
    <row r="411" spans="2:19" x14ac:dyDescent="0.15">
      <c r="B411" s="23"/>
      <c r="C411" s="2" t="s">
        <v>87</v>
      </c>
      <c r="D411" s="2" t="s">
        <v>46</v>
      </c>
      <c r="E411" s="11" t="s">
        <v>161</v>
      </c>
      <c r="F411" s="13" t="s">
        <v>15</v>
      </c>
      <c r="G411" s="2">
        <v>2</v>
      </c>
      <c r="H411" s="2">
        <v>0</v>
      </c>
      <c r="I411" s="3" t="str">
        <f t="shared" ref="I411:I413" si="371">TESTdivide(E411,F411,G411,H411)</f>
        <v>011</v>
      </c>
      <c r="J411" s="2" t="str">
        <f t="shared" ref="J411:J413" si="372">TESTdivideByRef1(E411,F411,G411,H411)</f>
        <v>1</v>
      </c>
      <c r="K411" s="2">
        <f t="shared" ref="K411:K413" si="373">TESTdivideByRef2(E411,F411,G411,H411)</f>
        <v>0</v>
      </c>
      <c r="L411" s="2"/>
      <c r="M411" s="20" t="s">
        <v>78</v>
      </c>
      <c r="N411" s="25" t="s">
        <v>44</v>
      </c>
      <c r="O411" s="2">
        <v>0</v>
      </c>
      <c r="P411" s="2"/>
      <c r="Q411" s="3" t="b">
        <f t="shared" ref="Q411:Q413" si="374">getText(I411)=getText(M411)</f>
        <v>1</v>
      </c>
      <c r="R411" s="2" t="b">
        <f t="shared" ref="R411:R413" si="375">getText(J411)=getText(N411)</f>
        <v>1</v>
      </c>
      <c r="S411" s="2" t="b">
        <f t="shared" ref="S411:S413" si="376">getText(K411)=getText(O411)</f>
        <v>1</v>
      </c>
    </row>
    <row r="412" spans="2:19" x14ac:dyDescent="0.15">
      <c r="B412" s="23"/>
      <c r="D412" t="s">
        <v>47</v>
      </c>
      <c r="E412" s="9" t="s">
        <v>162</v>
      </c>
      <c r="F412" s="14" t="s">
        <v>15</v>
      </c>
      <c r="G412">
        <v>10</v>
      </c>
      <c r="H412" s="7">
        <v>0</v>
      </c>
      <c r="I412" s="1" t="str">
        <f t="shared" si="371"/>
        <v>099</v>
      </c>
      <c r="J412" t="str">
        <f t="shared" si="372"/>
        <v>1</v>
      </c>
      <c r="K412">
        <f t="shared" si="373"/>
        <v>0</v>
      </c>
      <c r="M412" s="21" t="s">
        <v>154</v>
      </c>
      <c r="N412" s="26" t="s">
        <v>44</v>
      </c>
      <c r="O412">
        <v>0</v>
      </c>
      <c r="Q412" s="1" t="b">
        <f t="shared" si="374"/>
        <v>1</v>
      </c>
      <c r="R412" t="b">
        <f t="shared" si="375"/>
        <v>1</v>
      </c>
      <c r="S412" t="b">
        <f t="shared" si="376"/>
        <v>1</v>
      </c>
    </row>
    <row r="413" spans="2:19" x14ac:dyDescent="0.15">
      <c r="D413" t="s">
        <v>49</v>
      </c>
      <c r="E413" s="9" t="s">
        <v>163</v>
      </c>
      <c r="F413" s="14" t="s">
        <v>15</v>
      </c>
      <c r="G413">
        <v>16</v>
      </c>
      <c r="H413" s="7">
        <v>0</v>
      </c>
      <c r="I413" s="1" t="str">
        <f t="shared" si="371"/>
        <v>0FF</v>
      </c>
      <c r="J413" t="str">
        <f t="shared" si="372"/>
        <v>1</v>
      </c>
      <c r="K413">
        <f t="shared" si="373"/>
        <v>0</v>
      </c>
      <c r="M413" s="21" t="s">
        <v>157</v>
      </c>
      <c r="N413" s="26" t="s">
        <v>44</v>
      </c>
      <c r="O413">
        <v>0</v>
      </c>
      <c r="Q413" s="1" t="b">
        <f t="shared" si="374"/>
        <v>1</v>
      </c>
      <c r="R413" t="b">
        <f t="shared" si="375"/>
        <v>1</v>
      </c>
      <c r="S413" t="b">
        <f t="shared" si="376"/>
        <v>1</v>
      </c>
    </row>
    <row r="414" spans="2:19" x14ac:dyDescent="0.15">
      <c r="C414" s="2" t="s">
        <v>97</v>
      </c>
      <c r="D414" s="2" t="s">
        <v>47</v>
      </c>
      <c r="E414" s="11" t="s">
        <v>164</v>
      </c>
      <c r="F414" s="13" t="s">
        <v>15</v>
      </c>
      <c r="G414" s="2">
        <v>10</v>
      </c>
      <c r="H414" s="24">
        <v>0</v>
      </c>
      <c r="I414" s="3" t="str">
        <f t="shared" ref="I414:I415" si="377">TESTdivide(E414,F414,G414,H414)</f>
        <v>099</v>
      </c>
      <c r="J414" s="2" t="str">
        <f t="shared" ref="J414:J415" si="378">TESTdivideByRef1(E414,F414,G414,H414)</f>
        <v>9</v>
      </c>
      <c r="K414" s="2">
        <f t="shared" ref="K414:K415" si="379">TESTdivideByRef2(E414,F414,G414,H414)</f>
        <v>0</v>
      </c>
      <c r="L414" s="2"/>
      <c r="M414" s="20" t="s">
        <v>154</v>
      </c>
      <c r="N414" s="25" t="s">
        <v>101</v>
      </c>
      <c r="O414" s="2">
        <v>0</v>
      </c>
      <c r="P414" s="2"/>
      <c r="Q414" s="3" t="b">
        <f t="shared" ref="Q414:Q415" si="380">getText(I414)=getText(M414)</f>
        <v>1</v>
      </c>
      <c r="R414" s="2" t="b">
        <f t="shared" ref="R414:R415" si="381">getText(J414)=getText(N414)</f>
        <v>1</v>
      </c>
      <c r="S414" s="2" t="b">
        <f t="shared" ref="S414:S415" si="382">getText(K414)=getText(O414)</f>
        <v>1</v>
      </c>
    </row>
    <row r="415" spans="2:19" x14ac:dyDescent="0.15">
      <c r="D415" t="s">
        <v>49</v>
      </c>
      <c r="E415" s="9" t="s">
        <v>165</v>
      </c>
      <c r="F415" s="14" t="s">
        <v>15</v>
      </c>
      <c r="G415">
        <v>16</v>
      </c>
      <c r="H415" s="7">
        <v>0</v>
      </c>
      <c r="I415" s="1" t="str">
        <f t="shared" si="377"/>
        <v>0FF</v>
      </c>
      <c r="J415" t="str">
        <f t="shared" si="378"/>
        <v>F</v>
      </c>
      <c r="K415">
        <f t="shared" si="379"/>
        <v>0</v>
      </c>
      <c r="M415" s="21" t="s">
        <v>157</v>
      </c>
      <c r="N415" s="26" t="s">
        <v>99</v>
      </c>
      <c r="O415">
        <v>0</v>
      </c>
      <c r="Q415" s="1" t="b">
        <f t="shared" si="380"/>
        <v>1</v>
      </c>
      <c r="R415" t="b">
        <f t="shared" si="381"/>
        <v>1</v>
      </c>
      <c r="S415" t="b">
        <f t="shared" si="382"/>
        <v>1</v>
      </c>
    </row>
    <row r="416" spans="2:19" x14ac:dyDescent="0.15">
      <c r="B416" s="22" t="s">
        <v>92</v>
      </c>
      <c r="C416" s="2" t="s">
        <v>86</v>
      </c>
      <c r="D416" s="2" t="s">
        <v>46</v>
      </c>
      <c r="E416" s="11" t="s">
        <v>166</v>
      </c>
      <c r="F416" s="13" t="s">
        <v>15</v>
      </c>
      <c r="G416" s="2">
        <v>2</v>
      </c>
      <c r="H416" s="2">
        <v>0</v>
      </c>
      <c r="I416" s="3" t="str">
        <f t="shared" ref="I416:I418" si="383">TESTdivide(E416,F416,G416,H416)</f>
        <v>0100</v>
      </c>
      <c r="J416" s="2" t="str">
        <f t="shared" ref="J416:J418" si="384">TESTdivideByRef1(E416,F416,G416,H416)</f>
        <v>0</v>
      </c>
      <c r="K416" s="2">
        <f t="shared" ref="K416:K418" si="385">TESTdivideByRef2(E416,F416,G416,H416)</f>
        <v>0</v>
      </c>
      <c r="L416" s="2"/>
      <c r="M416" s="20" t="s">
        <v>167</v>
      </c>
      <c r="N416" s="25" t="s">
        <v>14</v>
      </c>
      <c r="O416" s="2">
        <v>0</v>
      </c>
      <c r="P416" s="2"/>
      <c r="Q416" s="3" t="b">
        <f t="shared" ref="Q416:Q418" si="386">getText(I416)=getText(M416)</f>
        <v>1</v>
      </c>
      <c r="R416" s="2" t="b">
        <f t="shared" ref="R416:R418" si="387">getText(J416)=getText(N416)</f>
        <v>1</v>
      </c>
      <c r="S416" s="2" t="b">
        <f t="shared" ref="S416:S418" si="388">getText(K416)=getText(O416)</f>
        <v>1</v>
      </c>
    </row>
    <row r="417" spans="2:19" x14ac:dyDescent="0.15">
      <c r="B417" s="23"/>
      <c r="D417" t="s">
        <v>47</v>
      </c>
      <c r="E417" s="9" t="s">
        <v>166</v>
      </c>
      <c r="F417" s="14" t="s">
        <v>15</v>
      </c>
      <c r="G417">
        <v>10</v>
      </c>
      <c r="H417" s="7">
        <v>0</v>
      </c>
      <c r="I417" s="1" t="str">
        <f t="shared" si="383"/>
        <v>0100</v>
      </c>
      <c r="J417" t="str">
        <f t="shared" si="384"/>
        <v>0</v>
      </c>
      <c r="K417">
        <f t="shared" si="385"/>
        <v>0</v>
      </c>
      <c r="M417" s="21" t="s">
        <v>167</v>
      </c>
      <c r="N417" s="26" t="s">
        <v>14</v>
      </c>
      <c r="O417">
        <v>0</v>
      </c>
      <c r="Q417" s="1" t="b">
        <f t="shared" si="386"/>
        <v>1</v>
      </c>
      <c r="R417" t="b">
        <f t="shared" si="387"/>
        <v>1</v>
      </c>
      <c r="S417" t="b">
        <f t="shared" si="388"/>
        <v>1</v>
      </c>
    </row>
    <row r="418" spans="2:19" x14ac:dyDescent="0.15">
      <c r="B418" s="23"/>
      <c r="D418" t="s">
        <v>49</v>
      </c>
      <c r="E418" s="9" t="s">
        <v>166</v>
      </c>
      <c r="F418" s="14" t="s">
        <v>15</v>
      </c>
      <c r="G418">
        <v>16</v>
      </c>
      <c r="H418" s="7">
        <v>0</v>
      </c>
      <c r="I418" s="1" t="str">
        <f t="shared" si="383"/>
        <v>0100</v>
      </c>
      <c r="J418" t="str">
        <f t="shared" si="384"/>
        <v>0</v>
      </c>
      <c r="K418">
        <f t="shared" si="385"/>
        <v>0</v>
      </c>
      <c r="M418" s="21" t="s">
        <v>167</v>
      </c>
      <c r="N418" s="26" t="s">
        <v>14</v>
      </c>
      <c r="O418">
        <v>0</v>
      </c>
      <c r="Q418" s="1" t="b">
        <f t="shared" si="386"/>
        <v>1</v>
      </c>
      <c r="R418" t="b">
        <f t="shared" si="387"/>
        <v>1</v>
      </c>
      <c r="S418" t="b">
        <f t="shared" si="388"/>
        <v>1</v>
      </c>
    </row>
    <row r="419" spans="2:19" x14ac:dyDescent="0.15">
      <c r="B419" s="23"/>
      <c r="C419" s="2" t="s">
        <v>87</v>
      </c>
      <c r="D419" s="2" t="s">
        <v>46</v>
      </c>
      <c r="E419" s="11" t="s">
        <v>168</v>
      </c>
      <c r="F419" s="13" t="s">
        <v>15</v>
      </c>
      <c r="G419" s="2">
        <v>2</v>
      </c>
      <c r="H419" s="2">
        <v>0</v>
      </c>
      <c r="I419" s="3" t="str">
        <f t="shared" ref="I419:I421" si="389">TESTdivide(E419,F419,G419,H419)</f>
        <v>0100</v>
      </c>
      <c r="J419" s="2" t="str">
        <f t="shared" ref="J419:J421" si="390">TESTdivideByRef1(E419,F419,G419,H419)</f>
        <v>1</v>
      </c>
      <c r="K419" s="2">
        <f t="shared" ref="K419:K421" si="391">TESTdivideByRef2(E419,F419,G419,H419)</f>
        <v>0</v>
      </c>
      <c r="L419" s="2"/>
      <c r="M419" s="20" t="s">
        <v>167</v>
      </c>
      <c r="N419" s="25" t="s">
        <v>44</v>
      </c>
      <c r="O419" s="2">
        <v>0</v>
      </c>
      <c r="P419" s="2"/>
      <c r="Q419" s="3" t="b">
        <f t="shared" ref="Q419:Q421" si="392">getText(I419)=getText(M419)</f>
        <v>1</v>
      </c>
      <c r="R419" s="2" t="b">
        <f t="shared" ref="R419:R421" si="393">getText(J419)=getText(N419)</f>
        <v>1</v>
      </c>
      <c r="S419" s="2" t="b">
        <f t="shared" ref="S419:S421" si="394">getText(K419)=getText(O419)</f>
        <v>1</v>
      </c>
    </row>
    <row r="420" spans="2:19" x14ac:dyDescent="0.15">
      <c r="B420" s="23"/>
      <c r="D420" t="s">
        <v>47</v>
      </c>
      <c r="E420" s="9" t="s">
        <v>168</v>
      </c>
      <c r="F420" s="14" t="s">
        <v>15</v>
      </c>
      <c r="G420">
        <v>10</v>
      </c>
      <c r="H420" s="7">
        <v>0</v>
      </c>
      <c r="I420" s="1" t="str">
        <f t="shared" si="389"/>
        <v>0100</v>
      </c>
      <c r="J420" t="str">
        <f t="shared" si="390"/>
        <v>1</v>
      </c>
      <c r="K420">
        <f t="shared" si="391"/>
        <v>0</v>
      </c>
      <c r="M420" s="21" t="s">
        <v>167</v>
      </c>
      <c r="N420" s="26" t="s">
        <v>44</v>
      </c>
      <c r="O420">
        <v>0</v>
      </c>
      <c r="Q420" s="1" t="b">
        <f t="shared" si="392"/>
        <v>1</v>
      </c>
      <c r="R420" t="b">
        <f t="shared" si="393"/>
        <v>1</v>
      </c>
      <c r="S420" t="b">
        <f t="shared" si="394"/>
        <v>1</v>
      </c>
    </row>
    <row r="421" spans="2:19" x14ac:dyDescent="0.15">
      <c r="D421" t="s">
        <v>49</v>
      </c>
      <c r="E421" s="9" t="s">
        <v>168</v>
      </c>
      <c r="F421" s="14" t="s">
        <v>15</v>
      </c>
      <c r="G421">
        <v>16</v>
      </c>
      <c r="H421" s="7">
        <v>0</v>
      </c>
      <c r="I421" s="1" t="str">
        <f t="shared" si="389"/>
        <v>0100</v>
      </c>
      <c r="J421" t="str">
        <f t="shared" si="390"/>
        <v>1</v>
      </c>
      <c r="K421">
        <f t="shared" si="391"/>
        <v>0</v>
      </c>
      <c r="M421" s="21" t="s">
        <v>167</v>
      </c>
      <c r="N421" s="26" t="s">
        <v>44</v>
      </c>
      <c r="O421">
        <v>0</v>
      </c>
      <c r="Q421" s="1" t="b">
        <f t="shared" si="392"/>
        <v>1</v>
      </c>
      <c r="R421" t="b">
        <f t="shared" si="393"/>
        <v>1</v>
      </c>
      <c r="S421" t="b">
        <f t="shared" si="394"/>
        <v>1</v>
      </c>
    </row>
    <row r="422" spans="2:19" x14ac:dyDescent="0.15">
      <c r="C422" s="2" t="s">
        <v>97</v>
      </c>
      <c r="D422" s="2" t="s">
        <v>47</v>
      </c>
      <c r="E422" s="11" t="s">
        <v>169</v>
      </c>
      <c r="F422" s="13" t="s">
        <v>15</v>
      </c>
      <c r="G422" s="2">
        <v>10</v>
      </c>
      <c r="H422" s="24">
        <v>0</v>
      </c>
      <c r="I422" s="3" t="str">
        <f t="shared" ref="I422:I423" si="395">TESTdivide(E422,F422,G422,H422)</f>
        <v>0100</v>
      </c>
      <c r="J422" s="2" t="str">
        <f t="shared" ref="J422:J423" si="396">TESTdivideByRef1(E422,F422,G422,H422)</f>
        <v>9</v>
      </c>
      <c r="K422" s="2">
        <f t="shared" ref="K422:K423" si="397">TESTdivideByRef2(E422,F422,G422,H422)</f>
        <v>0</v>
      </c>
      <c r="L422" s="2"/>
      <c r="M422" s="20" t="s">
        <v>167</v>
      </c>
      <c r="N422" s="25" t="s">
        <v>101</v>
      </c>
      <c r="O422" s="2">
        <v>0</v>
      </c>
      <c r="P422" s="2"/>
      <c r="Q422" s="3" t="b">
        <f t="shared" ref="Q422:Q423" si="398">getText(I422)=getText(M422)</f>
        <v>1</v>
      </c>
      <c r="R422" s="2" t="b">
        <f t="shared" ref="R422:R423" si="399">getText(J422)=getText(N422)</f>
        <v>1</v>
      </c>
      <c r="S422" s="2" t="b">
        <f t="shared" ref="S422:S423" si="400">getText(K422)=getText(O422)</f>
        <v>1</v>
      </c>
    </row>
    <row r="423" spans="2:19" x14ac:dyDescent="0.15">
      <c r="D423" t="s">
        <v>49</v>
      </c>
      <c r="E423" s="9" t="s">
        <v>170</v>
      </c>
      <c r="F423" s="14" t="s">
        <v>15</v>
      </c>
      <c r="G423">
        <v>16</v>
      </c>
      <c r="H423" s="7">
        <v>0</v>
      </c>
      <c r="I423" s="1" t="str">
        <f t="shared" si="395"/>
        <v>0100</v>
      </c>
      <c r="J423" t="str">
        <f t="shared" si="396"/>
        <v>F</v>
      </c>
      <c r="K423">
        <f t="shared" si="397"/>
        <v>0</v>
      </c>
      <c r="M423" s="21" t="s">
        <v>167</v>
      </c>
      <c r="N423" s="26" t="s">
        <v>99</v>
      </c>
      <c r="O423">
        <v>0</v>
      </c>
      <c r="Q423" s="1" t="b">
        <f t="shared" si="398"/>
        <v>1</v>
      </c>
      <c r="R423" t="b">
        <f t="shared" si="399"/>
        <v>1</v>
      </c>
      <c r="S423" t="b">
        <f t="shared" si="400"/>
        <v>1</v>
      </c>
    </row>
    <row r="424" spans="2:19" x14ac:dyDescent="0.15">
      <c r="B424" s="22" t="s">
        <v>93</v>
      </c>
      <c r="C424" s="2" t="s">
        <v>86</v>
      </c>
      <c r="D424" s="2" t="s">
        <v>46</v>
      </c>
      <c r="E424" s="11" t="s">
        <v>171</v>
      </c>
      <c r="F424" s="13" t="s">
        <v>15</v>
      </c>
      <c r="G424" s="2">
        <v>2</v>
      </c>
      <c r="H424" s="2">
        <v>0</v>
      </c>
      <c r="I424" s="3" t="str">
        <f t="shared" ref="I424:I426" si="401">TESTdivide(E424,F424,G424,H424)</f>
        <v>0101</v>
      </c>
      <c r="J424" s="2" t="str">
        <f t="shared" ref="J424:J426" si="402">TESTdivideByRef1(E424,F424,G424,H424)</f>
        <v>0</v>
      </c>
      <c r="K424" s="2">
        <f t="shared" ref="K424:K426" si="403">TESTdivideByRef2(E424,F424,G424,H424)</f>
        <v>0</v>
      </c>
      <c r="L424" s="2"/>
      <c r="M424" s="20" t="s">
        <v>172</v>
      </c>
      <c r="N424" s="25" t="s">
        <v>14</v>
      </c>
      <c r="O424" s="2">
        <v>0</v>
      </c>
      <c r="P424" s="2"/>
      <c r="Q424" s="3" t="b">
        <f t="shared" ref="Q424:Q426" si="404">getText(I424)=getText(M424)</f>
        <v>1</v>
      </c>
      <c r="R424" s="2" t="b">
        <f t="shared" ref="R424:R426" si="405">getText(J424)=getText(N424)</f>
        <v>1</v>
      </c>
      <c r="S424" s="2" t="b">
        <f t="shared" ref="S424:S426" si="406">getText(K424)=getText(O424)</f>
        <v>1</v>
      </c>
    </row>
    <row r="425" spans="2:19" x14ac:dyDescent="0.15">
      <c r="B425" s="23"/>
      <c r="D425" t="s">
        <v>47</v>
      </c>
      <c r="E425" s="9" t="s">
        <v>171</v>
      </c>
      <c r="F425" s="14" t="s">
        <v>15</v>
      </c>
      <c r="G425">
        <v>10</v>
      </c>
      <c r="H425" s="7">
        <v>0</v>
      </c>
      <c r="I425" s="1" t="str">
        <f t="shared" si="401"/>
        <v>0101</v>
      </c>
      <c r="J425" t="str">
        <f t="shared" si="402"/>
        <v>0</v>
      </c>
      <c r="K425">
        <f t="shared" si="403"/>
        <v>0</v>
      </c>
      <c r="M425" s="21" t="s">
        <v>172</v>
      </c>
      <c r="N425" s="26" t="s">
        <v>14</v>
      </c>
      <c r="O425">
        <v>0</v>
      </c>
      <c r="Q425" s="1" t="b">
        <f t="shared" si="404"/>
        <v>1</v>
      </c>
      <c r="R425" t="b">
        <f t="shared" si="405"/>
        <v>1</v>
      </c>
      <c r="S425" t="b">
        <f t="shared" si="406"/>
        <v>1</v>
      </c>
    </row>
    <row r="426" spans="2:19" x14ac:dyDescent="0.15">
      <c r="B426" s="23"/>
      <c r="D426" t="s">
        <v>49</v>
      </c>
      <c r="E426" s="9" t="s">
        <v>171</v>
      </c>
      <c r="F426" s="14" t="s">
        <v>15</v>
      </c>
      <c r="G426">
        <v>16</v>
      </c>
      <c r="H426" s="7">
        <v>0</v>
      </c>
      <c r="I426" s="1" t="str">
        <f t="shared" si="401"/>
        <v>0101</v>
      </c>
      <c r="J426" t="str">
        <f t="shared" si="402"/>
        <v>0</v>
      </c>
      <c r="K426">
        <f t="shared" si="403"/>
        <v>0</v>
      </c>
      <c r="M426" s="21" t="s">
        <v>172</v>
      </c>
      <c r="N426" s="26" t="s">
        <v>14</v>
      </c>
      <c r="O426">
        <v>0</v>
      </c>
      <c r="Q426" s="1" t="b">
        <f t="shared" si="404"/>
        <v>1</v>
      </c>
      <c r="R426" t="b">
        <f t="shared" si="405"/>
        <v>1</v>
      </c>
      <c r="S426" t="b">
        <f t="shared" si="406"/>
        <v>1</v>
      </c>
    </row>
    <row r="427" spans="2:19" x14ac:dyDescent="0.15">
      <c r="B427" s="23"/>
      <c r="C427" s="2" t="s">
        <v>87</v>
      </c>
      <c r="D427" s="2" t="s">
        <v>46</v>
      </c>
      <c r="E427" s="11" t="s">
        <v>174</v>
      </c>
      <c r="F427" s="13" t="s">
        <v>15</v>
      </c>
      <c r="G427" s="2">
        <v>2</v>
      </c>
      <c r="H427" s="2">
        <v>0</v>
      </c>
      <c r="I427" s="3" t="str">
        <f t="shared" ref="I427:I429" si="407">TESTdivide(E427,F427,G427,H427)</f>
        <v>0101</v>
      </c>
      <c r="J427" s="2" t="str">
        <f t="shared" ref="J427:J429" si="408">TESTdivideByRef1(E427,F427,G427,H427)</f>
        <v>1</v>
      </c>
      <c r="K427" s="2">
        <f t="shared" ref="K427:K429" si="409">TESTdivideByRef2(E427,F427,G427,H427)</f>
        <v>0</v>
      </c>
      <c r="L427" s="2"/>
      <c r="M427" s="20" t="s">
        <v>172</v>
      </c>
      <c r="N427" s="25" t="s">
        <v>44</v>
      </c>
      <c r="O427" s="2">
        <v>0</v>
      </c>
      <c r="P427" s="2"/>
      <c r="Q427" s="3" t="b">
        <f t="shared" ref="Q427:Q429" si="410">getText(I427)=getText(M427)</f>
        <v>1</v>
      </c>
      <c r="R427" s="2" t="b">
        <f t="shared" ref="R427:R429" si="411">getText(J427)=getText(N427)</f>
        <v>1</v>
      </c>
      <c r="S427" s="2" t="b">
        <f t="shared" ref="S427:S429" si="412">getText(K427)=getText(O427)</f>
        <v>1</v>
      </c>
    </row>
    <row r="428" spans="2:19" x14ac:dyDescent="0.15">
      <c r="B428" s="23"/>
      <c r="D428" t="s">
        <v>47</v>
      </c>
      <c r="E428" s="9" t="s">
        <v>173</v>
      </c>
      <c r="F428" s="14" t="s">
        <v>15</v>
      </c>
      <c r="G428">
        <v>10</v>
      </c>
      <c r="H428" s="7">
        <v>0</v>
      </c>
      <c r="I428" s="1" t="str">
        <f t="shared" si="407"/>
        <v>0101</v>
      </c>
      <c r="J428" t="str">
        <f t="shared" si="408"/>
        <v>1</v>
      </c>
      <c r="K428">
        <f t="shared" si="409"/>
        <v>0</v>
      </c>
      <c r="M428" s="21" t="s">
        <v>172</v>
      </c>
      <c r="N428" s="26" t="s">
        <v>44</v>
      </c>
      <c r="O428">
        <v>0</v>
      </c>
      <c r="Q428" s="1" t="b">
        <f t="shared" si="410"/>
        <v>1</v>
      </c>
      <c r="R428" t="b">
        <f t="shared" si="411"/>
        <v>1</v>
      </c>
      <c r="S428" t="b">
        <f t="shared" si="412"/>
        <v>1</v>
      </c>
    </row>
    <row r="429" spans="2:19" x14ac:dyDescent="0.15">
      <c r="D429" t="s">
        <v>49</v>
      </c>
      <c r="E429" s="9" t="s">
        <v>173</v>
      </c>
      <c r="F429" s="14" t="s">
        <v>15</v>
      </c>
      <c r="G429">
        <v>16</v>
      </c>
      <c r="H429" s="7">
        <v>0</v>
      </c>
      <c r="I429" s="1" t="str">
        <f t="shared" si="407"/>
        <v>0101</v>
      </c>
      <c r="J429" t="str">
        <f t="shared" si="408"/>
        <v>1</v>
      </c>
      <c r="K429">
        <f t="shared" si="409"/>
        <v>0</v>
      </c>
      <c r="M429" s="21" t="s">
        <v>172</v>
      </c>
      <c r="N429" s="26" t="s">
        <v>44</v>
      </c>
      <c r="O429">
        <v>0</v>
      </c>
      <c r="Q429" s="1" t="b">
        <f t="shared" si="410"/>
        <v>1</v>
      </c>
      <c r="R429" t="b">
        <f t="shared" si="411"/>
        <v>1</v>
      </c>
      <c r="S429" t="b">
        <f t="shared" si="412"/>
        <v>1</v>
      </c>
    </row>
    <row r="430" spans="2:19" x14ac:dyDescent="0.15">
      <c r="C430" s="2" t="s">
        <v>97</v>
      </c>
      <c r="D430" s="2" t="s">
        <v>47</v>
      </c>
      <c r="E430" s="11" t="s">
        <v>175</v>
      </c>
      <c r="F430" s="13" t="s">
        <v>15</v>
      </c>
      <c r="G430" s="2">
        <v>10</v>
      </c>
      <c r="H430" s="24">
        <v>0</v>
      </c>
      <c r="I430" s="3" t="str">
        <f t="shared" ref="I430:I431" si="413">TESTdivide(E430,F430,G430,H430)</f>
        <v>0101</v>
      </c>
      <c r="J430" s="2" t="str">
        <f t="shared" ref="J430:J431" si="414">TESTdivideByRef1(E430,F430,G430,H430)</f>
        <v>9</v>
      </c>
      <c r="K430" s="2">
        <f t="shared" ref="K430:K431" si="415">TESTdivideByRef2(E430,F430,G430,H430)</f>
        <v>0</v>
      </c>
      <c r="L430" s="2"/>
      <c r="M430" s="20" t="s">
        <v>172</v>
      </c>
      <c r="N430" s="25" t="s">
        <v>101</v>
      </c>
      <c r="O430" s="2">
        <v>0</v>
      </c>
      <c r="P430" s="2"/>
      <c r="Q430" s="3" t="b">
        <f t="shared" ref="Q430:Q431" si="416">getText(I430)=getText(M430)</f>
        <v>1</v>
      </c>
      <c r="R430" s="2" t="b">
        <f t="shared" ref="R430:R431" si="417">getText(J430)=getText(N430)</f>
        <v>1</v>
      </c>
      <c r="S430" s="2" t="b">
        <f t="shared" ref="S430:S431" si="418">getText(K430)=getText(O430)</f>
        <v>1</v>
      </c>
    </row>
    <row r="431" spans="2:19" x14ac:dyDescent="0.15">
      <c r="D431" t="s">
        <v>49</v>
      </c>
      <c r="E431" s="9" t="s">
        <v>176</v>
      </c>
      <c r="F431" s="14" t="s">
        <v>15</v>
      </c>
      <c r="G431">
        <v>16</v>
      </c>
      <c r="H431" s="7">
        <v>0</v>
      </c>
      <c r="I431" s="1" t="str">
        <f t="shared" si="413"/>
        <v>0101</v>
      </c>
      <c r="J431" t="str">
        <f t="shared" si="414"/>
        <v>F</v>
      </c>
      <c r="K431">
        <f t="shared" si="415"/>
        <v>0</v>
      </c>
      <c r="M431" s="21" t="s">
        <v>172</v>
      </c>
      <c r="N431" s="26" t="s">
        <v>99</v>
      </c>
      <c r="O431">
        <v>0</v>
      </c>
      <c r="Q431" s="1" t="b">
        <f t="shared" si="416"/>
        <v>1</v>
      </c>
      <c r="R431" t="b">
        <f t="shared" si="417"/>
        <v>1</v>
      </c>
      <c r="S431" t="b">
        <f t="shared" si="418"/>
        <v>1</v>
      </c>
    </row>
    <row r="432" spans="2:19" x14ac:dyDescent="0.15">
      <c r="B432" s="22" t="s">
        <v>94</v>
      </c>
      <c r="C432" s="2" t="s">
        <v>86</v>
      </c>
      <c r="D432" s="2" t="s">
        <v>46</v>
      </c>
      <c r="E432" s="11" t="s">
        <v>183</v>
      </c>
      <c r="F432" s="13" t="s">
        <v>15</v>
      </c>
      <c r="G432" s="2">
        <v>2</v>
      </c>
      <c r="H432" s="2">
        <v>0</v>
      </c>
      <c r="I432" s="3" t="str">
        <f t="shared" ref="I432:I434" si="419">TESTdivide(E432,F432,G432,H432)</f>
        <v>0111</v>
      </c>
      <c r="J432" s="2" t="str">
        <f t="shared" ref="J432:J434" si="420">TESTdivideByRef1(E432,F432,G432,H432)</f>
        <v>0</v>
      </c>
      <c r="K432" s="2">
        <f t="shared" ref="K432:K434" si="421">TESTdivideByRef2(E432,F432,G432,H432)</f>
        <v>0</v>
      </c>
      <c r="L432" s="2"/>
      <c r="M432" s="20" t="s">
        <v>188</v>
      </c>
      <c r="N432" s="25" t="s">
        <v>14</v>
      </c>
      <c r="O432" s="2">
        <v>0</v>
      </c>
      <c r="P432" s="2"/>
      <c r="Q432" s="3" t="b">
        <f t="shared" ref="Q432:Q434" si="422">getText(I432)=getText(M432)</f>
        <v>1</v>
      </c>
      <c r="R432" s="2" t="b">
        <f t="shared" ref="R432:R434" si="423">getText(J432)=getText(N432)</f>
        <v>1</v>
      </c>
      <c r="S432" s="2" t="b">
        <f t="shared" ref="S432:S434" si="424">getText(K432)=getText(O432)</f>
        <v>1</v>
      </c>
    </row>
    <row r="433" spans="2:19" x14ac:dyDescent="0.15">
      <c r="B433" s="23"/>
      <c r="D433" t="s">
        <v>47</v>
      </c>
      <c r="E433" s="9" t="s">
        <v>183</v>
      </c>
      <c r="F433" s="14" t="s">
        <v>15</v>
      </c>
      <c r="G433">
        <v>10</v>
      </c>
      <c r="H433" s="7">
        <v>0</v>
      </c>
      <c r="I433" s="1" t="str">
        <f t="shared" si="419"/>
        <v>0111</v>
      </c>
      <c r="J433" t="str">
        <f t="shared" si="420"/>
        <v>0</v>
      </c>
      <c r="K433">
        <f t="shared" si="421"/>
        <v>0</v>
      </c>
      <c r="M433" s="21" t="s">
        <v>188</v>
      </c>
      <c r="N433" s="26" t="s">
        <v>14</v>
      </c>
      <c r="O433">
        <v>0</v>
      </c>
      <c r="Q433" s="1" t="b">
        <f t="shared" si="422"/>
        <v>1</v>
      </c>
      <c r="R433" t="b">
        <f t="shared" si="423"/>
        <v>1</v>
      </c>
      <c r="S433" t="b">
        <f t="shared" si="424"/>
        <v>1</v>
      </c>
    </row>
    <row r="434" spans="2:19" x14ac:dyDescent="0.15">
      <c r="B434" s="23"/>
      <c r="D434" t="s">
        <v>49</v>
      </c>
      <c r="E434" s="9" t="s">
        <v>184</v>
      </c>
      <c r="F434" s="14" t="s">
        <v>15</v>
      </c>
      <c r="G434">
        <v>16</v>
      </c>
      <c r="H434" s="7">
        <v>0</v>
      </c>
      <c r="I434" s="1" t="str">
        <f t="shared" si="419"/>
        <v>0111</v>
      </c>
      <c r="J434" t="str">
        <f t="shared" si="420"/>
        <v>0</v>
      </c>
      <c r="K434">
        <f t="shared" si="421"/>
        <v>0</v>
      </c>
      <c r="M434" s="21" t="s">
        <v>188</v>
      </c>
      <c r="N434" s="26" t="s">
        <v>14</v>
      </c>
      <c r="O434">
        <v>0</v>
      </c>
      <c r="Q434" s="1" t="b">
        <f t="shared" si="422"/>
        <v>1</v>
      </c>
      <c r="R434" t="b">
        <f t="shared" si="423"/>
        <v>1</v>
      </c>
      <c r="S434" t="b">
        <f t="shared" si="424"/>
        <v>1</v>
      </c>
    </row>
    <row r="435" spans="2:19" x14ac:dyDescent="0.15">
      <c r="B435" s="23"/>
      <c r="C435" s="2" t="s">
        <v>87</v>
      </c>
      <c r="D435" s="2" t="s">
        <v>46</v>
      </c>
      <c r="E435" s="11" t="s">
        <v>182</v>
      </c>
      <c r="F435" s="13" t="s">
        <v>15</v>
      </c>
      <c r="G435" s="2">
        <v>2</v>
      </c>
      <c r="H435" s="2">
        <v>0</v>
      </c>
      <c r="I435" s="3" t="str">
        <f t="shared" ref="I435:I442" si="425">TESTdivide(E435,F435,G435,H435)</f>
        <v>0111</v>
      </c>
      <c r="J435" s="2" t="str">
        <f t="shared" ref="J435:J442" si="426">TESTdivideByRef1(E435,F435,G435,H435)</f>
        <v>1</v>
      </c>
      <c r="K435" s="2">
        <f t="shared" ref="K435:K442" si="427">TESTdivideByRef2(E435,F435,G435,H435)</f>
        <v>0</v>
      </c>
      <c r="L435" s="2"/>
      <c r="M435" s="20" t="s">
        <v>188</v>
      </c>
      <c r="N435" s="25" t="s">
        <v>44</v>
      </c>
      <c r="O435" s="2">
        <v>0</v>
      </c>
      <c r="P435" s="2"/>
      <c r="Q435" s="3" t="b">
        <f t="shared" ref="Q435:Q442" si="428">getText(I435)=getText(M435)</f>
        <v>1</v>
      </c>
      <c r="R435" s="2" t="b">
        <f t="shared" ref="R435:R442" si="429">getText(J435)=getText(N435)</f>
        <v>1</v>
      </c>
      <c r="S435" s="2" t="b">
        <f t="shared" ref="S435:S442" si="430">getText(K435)=getText(O435)</f>
        <v>1</v>
      </c>
    </row>
    <row r="436" spans="2:19" x14ac:dyDescent="0.15">
      <c r="B436" s="23"/>
      <c r="D436" t="s">
        <v>47</v>
      </c>
      <c r="E436" s="9" t="s">
        <v>182</v>
      </c>
      <c r="F436" s="14" t="s">
        <v>15</v>
      </c>
      <c r="G436">
        <v>10</v>
      </c>
      <c r="H436" s="7">
        <v>0</v>
      </c>
      <c r="I436" s="1" t="str">
        <f t="shared" si="425"/>
        <v>0111</v>
      </c>
      <c r="J436" t="str">
        <f t="shared" si="426"/>
        <v>1</v>
      </c>
      <c r="K436">
        <f t="shared" si="427"/>
        <v>0</v>
      </c>
      <c r="M436" s="21" t="s">
        <v>188</v>
      </c>
      <c r="N436" s="26" t="s">
        <v>44</v>
      </c>
      <c r="O436">
        <v>0</v>
      </c>
      <c r="Q436" s="1" t="b">
        <f t="shared" si="428"/>
        <v>1</v>
      </c>
      <c r="R436" t="b">
        <f t="shared" si="429"/>
        <v>1</v>
      </c>
      <c r="S436" t="b">
        <f t="shared" si="430"/>
        <v>1</v>
      </c>
    </row>
    <row r="437" spans="2:19" x14ac:dyDescent="0.15">
      <c r="D437" t="s">
        <v>49</v>
      </c>
      <c r="E437" s="9" t="s">
        <v>186</v>
      </c>
      <c r="F437" s="14" t="s">
        <v>15</v>
      </c>
      <c r="G437">
        <v>16</v>
      </c>
      <c r="H437" s="7">
        <v>0</v>
      </c>
      <c r="I437" s="1" t="str">
        <f t="shared" si="425"/>
        <v>0111</v>
      </c>
      <c r="J437" t="str">
        <f t="shared" si="426"/>
        <v>1</v>
      </c>
      <c r="K437">
        <f t="shared" si="427"/>
        <v>0</v>
      </c>
      <c r="M437" s="21" t="s">
        <v>188</v>
      </c>
      <c r="N437" s="26" t="s">
        <v>44</v>
      </c>
      <c r="O437">
        <v>0</v>
      </c>
      <c r="Q437" s="1" t="b">
        <f t="shared" si="428"/>
        <v>1</v>
      </c>
      <c r="R437" t="b">
        <f t="shared" si="429"/>
        <v>1</v>
      </c>
      <c r="S437" t="b">
        <f t="shared" si="430"/>
        <v>1</v>
      </c>
    </row>
    <row r="438" spans="2:19" x14ac:dyDescent="0.15">
      <c r="C438" s="2" t="s">
        <v>97</v>
      </c>
      <c r="D438" s="2" t="s">
        <v>47</v>
      </c>
      <c r="E438" s="11" t="s">
        <v>185</v>
      </c>
      <c r="F438" s="13" t="s">
        <v>15</v>
      </c>
      <c r="G438" s="2">
        <v>10</v>
      </c>
      <c r="H438" s="24">
        <v>0</v>
      </c>
      <c r="I438" s="3" t="str">
        <f t="shared" si="425"/>
        <v>0111</v>
      </c>
      <c r="J438" s="2" t="str">
        <f t="shared" si="426"/>
        <v>9</v>
      </c>
      <c r="K438" s="2">
        <f t="shared" si="427"/>
        <v>0</v>
      </c>
      <c r="L438" s="2"/>
      <c r="M438" s="20" t="s">
        <v>188</v>
      </c>
      <c r="N438" s="25" t="s">
        <v>101</v>
      </c>
      <c r="O438" s="2">
        <v>0</v>
      </c>
      <c r="P438" s="2"/>
      <c r="Q438" s="3" t="b">
        <f t="shared" si="428"/>
        <v>1</v>
      </c>
      <c r="R438" s="2" t="b">
        <f t="shared" si="429"/>
        <v>1</v>
      </c>
      <c r="S438" s="2" t="b">
        <f t="shared" si="430"/>
        <v>1</v>
      </c>
    </row>
    <row r="439" spans="2:19" x14ac:dyDescent="0.15">
      <c r="D439" t="s">
        <v>49</v>
      </c>
      <c r="E439" s="9" t="s">
        <v>187</v>
      </c>
      <c r="F439" s="14" t="s">
        <v>15</v>
      </c>
      <c r="G439">
        <v>16</v>
      </c>
      <c r="H439" s="7">
        <v>0</v>
      </c>
      <c r="I439" s="1" t="str">
        <f t="shared" si="425"/>
        <v>0111</v>
      </c>
      <c r="J439" t="str">
        <f t="shared" si="426"/>
        <v>F</v>
      </c>
      <c r="K439">
        <f t="shared" si="427"/>
        <v>0</v>
      </c>
      <c r="M439" s="21" t="s">
        <v>188</v>
      </c>
      <c r="N439" s="26" t="s">
        <v>99</v>
      </c>
      <c r="O439">
        <v>0</v>
      </c>
      <c r="Q439" s="1" t="b">
        <f t="shared" si="428"/>
        <v>1</v>
      </c>
      <c r="R439" t="b">
        <f t="shared" si="429"/>
        <v>1</v>
      </c>
      <c r="S439" t="b">
        <f t="shared" si="430"/>
        <v>1</v>
      </c>
    </row>
    <row r="440" spans="2:19" x14ac:dyDescent="0.15">
      <c r="B440" s="22" t="s">
        <v>95</v>
      </c>
      <c r="C440" s="2" t="s">
        <v>86</v>
      </c>
      <c r="D440" s="2" t="s">
        <v>46</v>
      </c>
      <c r="E440" s="11" t="s">
        <v>177</v>
      </c>
      <c r="F440" s="13" t="s">
        <v>15</v>
      </c>
      <c r="G440" s="2">
        <v>2</v>
      </c>
      <c r="H440" s="2">
        <v>0</v>
      </c>
      <c r="I440" s="3" t="str">
        <f t="shared" si="425"/>
        <v>01000</v>
      </c>
      <c r="J440" s="2" t="str">
        <f t="shared" si="426"/>
        <v>0</v>
      </c>
      <c r="K440" s="2">
        <f t="shared" si="427"/>
        <v>0</v>
      </c>
      <c r="L440" s="2"/>
      <c r="M440" s="20" t="s">
        <v>178</v>
      </c>
      <c r="N440" s="25" t="s">
        <v>14</v>
      </c>
      <c r="O440" s="2">
        <v>0</v>
      </c>
      <c r="P440" s="2"/>
      <c r="Q440" s="3" t="b">
        <f t="shared" si="428"/>
        <v>1</v>
      </c>
      <c r="R440" s="2" t="b">
        <f t="shared" si="429"/>
        <v>1</v>
      </c>
      <c r="S440" s="2" t="b">
        <f t="shared" si="430"/>
        <v>1</v>
      </c>
    </row>
    <row r="441" spans="2:19" x14ac:dyDescent="0.15">
      <c r="B441" s="23"/>
      <c r="D441" t="s">
        <v>47</v>
      </c>
      <c r="E441" s="9" t="s">
        <v>177</v>
      </c>
      <c r="F441" s="14" t="s">
        <v>15</v>
      </c>
      <c r="G441">
        <v>10</v>
      </c>
      <c r="H441" s="7">
        <v>0</v>
      </c>
      <c r="I441" s="1" t="str">
        <f t="shared" si="425"/>
        <v>01000</v>
      </c>
      <c r="J441" t="str">
        <f t="shared" si="426"/>
        <v>0</v>
      </c>
      <c r="K441">
        <f t="shared" si="427"/>
        <v>0</v>
      </c>
      <c r="M441" s="21" t="s">
        <v>178</v>
      </c>
      <c r="N441" s="26" t="s">
        <v>14</v>
      </c>
      <c r="O441">
        <v>0</v>
      </c>
      <c r="Q441" s="1" t="b">
        <f t="shared" si="428"/>
        <v>1</v>
      </c>
      <c r="R441" t="b">
        <f t="shared" si="429"/>
        <v>1</v>
      </c>
      <c r="S441" t="b">
        <f t="shared" si="430"/>
        <v>1</v>
      </c>
    </row>
    <row r="442" spans="2:19" x14ac:dyDescent="0.15">
      <c r="B442" s="23"/>
      <c r="D442" t="s">
        <v>49</v>
      </c>
      <c r="E442" s="9" t="s">
        <v>177</v>
      </c>
      <c r="F442" s="14" t="s">
        <v>15</v>
      </c>
      <c r="G442">
        <v>16</v>
      </c>
      <c r="H442" s="7">
        <v>0</v>
      </c>
      <c r="I442" s="1" t="str">
        <f t="shared" si="425"/>
        <v>01000</v>
      </c>
      <c r="J442" t="str">
        <f t="shared" si="426"/>
        <v>0</v>
      </c>
      <c r="K442">
        <f t="shared" si="427"/>
        <v>0</v>
      </c>
      <c r="M442" s="21" t="s">
        <v>178</v>
      </c>
      <c r="N442" s="26" t="s">
        <v>14</v>
      </c>
      <c r="O442">
        <v>0</v>
      </c>
      <c r="Q442" s="1" t="b">
        <f t="shared" si="428"/>
        <v>1</v>
      </c>
      <c r="R442" t="b">
        <f t="shared" si="429"/>
        <v>1</v>
      </c>
      <c r="S442" t="b">
        <f t="shared" si="430"/>
        <v>1</v>
      </c>
    </row>
    <row r="443" spans="2:19" x14ac:dyDescent="0.15">
      <c r="B443" s="23"/>
      <c r="C443" s="2" t="s">
        <v>87</v>
      </c>
      <c r="D443" s="2" t="s">
        <v>46</v>
      </c>
      <c r="E443" s="11" t="s">
        <v>179</v>
      </c>
      <c r="F443" s="13" t="s">
        <v>15</v>
      </c>
      <c r="G443" s="2">
        <v>2</v>
      </c>
      <c r="H443" s="2">
        <v>0</v>
      </c>
      <c r="I443" s="3" t="str">
        <f t="shared" ref="I443:I447" si="431">TESTdivide(E443,F443,G443,H443)</f>
        <v>01000</v>
      </c>
      <c r="J443" s="2" t="str">
        <f t="shared" ref="J443:J447" si="432">TESTdivideByRef1(E443,F443,G443,H443)</f>
        <v>1</v>
      </c>
      <c r="K443" s="2">
        <f t="shared" ref="K443:K447" si="433">TESTdivideByRef2(E443,F443,G443,H443)</f>
        <v>0</v>
      </c>
      <c r="L443" s="2"/>
      <c r="M443" s="20" t="s">
        <v>178</v>
      </c>
      <c r="N443" s="25" t="s">
        <v>44</v>
      </c>
      <c r="O443" s="2">
        <v>0</v>
      </c>
      <c r="P443" s="2"/>
      <c r="Q443" s="3" t="b">
        <f t="shared" ref="Q443:Q447" si="434">getText(I443)=getText(M443)</f>
        <v>1</v>
      </c>
      <c r="R443" s="2" t="b">
        <f t="shared" ref="R443:R447" si="435">getText(J443)=getText(N443)</f>
        <v>1</v>
      </c>
      <c r="S443" s="2" t="b">
        <f t="shared" ref="S443:S447" si="436">getText(K443)=getText(O443)</f>
        <v>1</v>
      </c>
    </row>
    <row r="444" spans="2:19" x14ac:dyDescent="0.15">
      <c r="B444" s="23"/>
      <c r="D444" t="s">
        <v>47</v>
      </c>
      <c r="E444" s="9" t="s">
        <v>16</v>
      </c>
      <c r="F444" s="14" t="s">
        <v>15</v>
      </c>
      <c r="G444">
        <v>10</v>
      </c>
      <c r="H444" s="7">
        <v>0</v>
      </c>
      <c r="I444" s="1" t="str">
        <f t="shared" si="431"/>
        <v>01000</v>
      </c>
      <c r="J444" t="str">
        <f t="shared" si="432"/>
        <v>1</v>
      </c>
      <c r="K444">
        <f t="shared" si="433"/>
        <v>0</v>
      </c>
      <c r="M444" s="21" t="s">
        <v>178</v>
      </c>
      <c r="N444" s="26" t="s">
        <v>44</v>
      </c>
      <c r="O444">
        <v>0</v>
      </c>
      <c r="Q444" s="1" t="b">
        <f t="shared" si="434"/>
        <v>1</v>
      </c>
      <c r="R444" t="b">
        <f t="shared" si="435"/>
        <v>1</v>
      </c>
      <c r="S444" t="b">
        <f t="shared" si="436"/>
        <v>1</v>
      </c>
    </row>
    <row r="445" spans="2:19" x14ac:dyDescent="0.15">
      <c r="D445" t="s">
        <v>49</v>
      </c>
      <c r="E445" s="9" t="s">
        <v>16</v>
      </c>
      <c r="F445" s="14" t="s">
        <v>15</v>
      </c>
      <c r="G445">
        <v>16</v>
      </c>
      <c r="H445" s="7">
        <v>0</v>
      </c>
      <c r="I445" s="1" t="str">
        <f t="shared" si="431"/>
        <v>01000</v>
      </c>
      <c r="J445" t="str">
        <f t="shared" si="432"/>
        <v>1</v>
      </c>
      <c r="K445">
        <f t="shared" si="433"/>
        <v>0</v>
      </c>
      <c r="M445" s="21" t="s">
        <v>178</v>
      </c>
      <c r="N445" s="26" t="s">
        <v>44</v>
      </c>
      <c r="O445">
        <v>0</v>
      </c>
      <c r="Q445" s="1" t="b">
        <f t="shared" si="434"/>
        <v>1</v>
      </c>
      <c r="R445" t="b">
        <f t="shared" si="435"/>
        <v>1</v>
      </c>
      <c r="S445" t="b">
        <f t="shared" si="436"/>
        <v>1</v>
      </c>
    </row>
    <row r="446" spans="2:19" x14ac:dyDescent="0.15">
      <c r="C446" s="2" t="s">
        <v>97</v>
      </c>
      <c r="D446" s="2" t="s">
        <v>47</v>
      </c>
      <c r="E446" s="11" t="s">
        <v>180</v>
      </c>
      <c r="F446" s="13" t="s">
        <v>15</v>
      </c>
      <c r="G446" s="2">
        <v>10</v>
      </c>
      <c r="H446" s="24">
        <v>0</v>
      </c>
      <c r="I446" s="3" t="str">
        <f t="shared" si="431"/>
        <v>01000</v>
      </c>
      <c r="J446" s="2" t="str">
        <f t="shared" si="432"/>
        <v>9</v>
      </c>
      <c r="K446" s="2">
        <f t="shared" si="433"/>
        <v>0</v>
      </c>
      <c r="L446" s="2"/>
      <c r="M446" s="20" t="s">
        <v>178</v>
      </c>
      <c r="N446" s="25" t="s">
        <v>101</v>
      </c>
      <c r="O446" s="2">
        <v>0</v>
      </c>
      <c r="P446" s="2"/>
      <c r="Q446" s="3" t="b">
        <f t="shared" si="434"/>
        <v>1</v>
      </c>
      <c r="R446" s="2" t="b">
        <f t="shared" si="435"/>
        <v>1</v>
      </c>
      <c r="S446" s="2" t="b">
        <f t="shared" si="436"/>
        <v>1</v>
      </c>
    </row>
    <row r="447" spans="2:19" x14ac:dyDescent="0.15">
      <c r="D447" t="s">
        <v>49</v>
      </c>
      <c r="E447" s="9" t="s">
        <v>181</v>
      </c>
      <c r="F447" s="14" t="s">
        <v>15</v>
      </c>
      <c r="G447">
        <v>16</v>
      </c>
      <c r="H447" s="7">
        <v>0</v>
      </c>
      <c r="I447" s="1" t="str">
        <f t="shared" si="431"/>
        <v>01000</v>
      </c>
      <c r="J447" t="str">
        <f t="shared" si="432"/>
        <v>F</v>
      </c>
      <c r="K447">
        <f t="shared" si="433"/>
        <v>0</v>
      </c>
      <c r="M447" s="21" t="s">
        <v>178</v>
      </c>
      <c r="N447" s="26" t="s">
        <v>99</v>
      </c>
      <c r="O447">
        <v>0</v>
      </c>
      <c r="Q447" s="1" t="b">
        <f t="shared" si="434"/>
        <v>1</v>
      </c>
      <c r="R447" t="b">
        <f t="shared" si="435"/>
        <v>1</v>
      </c>
      <c r="S447" t="b">
        <f t="shared" si="436"/>
        <v>1</v>
      </c>
    </row>
    <row r="448" spans="2:19" x14ac:dyDescent="0.15">
      <c r="B448" s="22" t="s">
        <v>96</v>
      </c>
      <c r="C448" s="2" t="s">
        <v>86</v>
      </c>
      <c r="D448" s="2" t="s">
        <v>46</v>
      </c>
      <c r="E448" s="11" t="s">
        <v>189</v>
      </c>
      <c r="F448" s="13" t="s">
        <v>15</v>
      </c>
      <c r="G448" s="2">
        <v>2</v>
      </c>
      <c r="H448" s="2">
        <v>0</v>
      </c>
      <c r="I448" s="3" t="str">
        <f t="shared" ref="I448:I455" si="437">TESTdivide(E448,F448,G448,H448)</f>
        <v>01001</v>
      </c>
      <c r="J448" s="2" t="str">
        <f t="shared" ref="J448:J455" si="438">TESTdivideByRef1(E448,F448,G448,H448)</f>
        <v>0</v>
      </c>
      <c r="K448" s="2">
        <f t="shared" ref="K448:K455" si="439">TESTdivideByRef2(E448,F448,G448,H448)</f>
        <v>0</v>
      </c>
      <c r="L448" s="2"/>
      <c r="M448" s="20" t="s">
        <v>190</v>
      </c>
      <c r="N448" s="25" t="s">
        <v>14</v>
      </c>
      <c r="O448" s="2">
        <v>0</v>
      </c>
      <c r="P448" s="2"/>
      <c r="Q448" s="3" t="b">
        <f t="shared" ref="Q448:Q455" si="440">getText(I448)=getText(M448)</f>
        <v>1</v>
      </c>
      <c r="R448" s="2" t="b">
        <f t="shared" ref="R448:R455" si="441">getText(J448)=getText(N448)</f>
        <v>1</v>
      </c>
      <c r="S448" s="2" t="b">
        <f t="shared" ref="S448:S455" si="442">getText(K448)=getText(O448)</f>
        <v>1</v>
      </c>
    </row>
    <row r="449" spans="2:19" x14ac:dyDescent="0.15">
      <c r="B449" s="23"/>
      <c r="D449" t="s">
        <v>47</v>
      </c>
      <c r="E449" s="9" t="s">
        <v>189</v>
      </c>
      <c r="F449" s="14" t="s">
        <v>15</v>
      </c>
      <c r="G449">
        <v>10</v>
      </c>
      <c r="H449" s="7">
        <v>0</v>
      </c>
      <c r="I449" s="1" t="str">
        <f t="shared" si="437"/>
        <v>01001</v>
      </c>
      <c r="J449" t="str">
        <f t="shared" si="438"/>
        <v>0</v>
      </c>
      <c r="K449">
        <f t="shared" si="439"/>
        <v>0</v>
      </c>
      <c r="M449" s="21" t="s">
        <v>190</v>
      </c>
      <c r="N449" s="26" t="s">
        <v>14</v>
      </c>
      <c r="O449">
        <v>0</v>
      </c>
      <c r="Q449" s="1" t="b">
        <f t="shared" si="440"/>
        <v>1</v>
      </c>
      <c r="R449" t="b">
        <f t="shared" si="441"/>
        <v>1</v>
      </c>
      <c r="S449" t="b">
        <f t="shared" si="442"/>
        <v>1</v>
      </c>
    </row>
    <row r="450" spans="2:19" x14ac:dyDescent="0.15">
      <c r="B450" s="23"/>
      <c r="D450" t="s">
        <v>49</v>
      </c>
      <c r="E450" s="9" t="s">
        <v>189</v>
      </c>
      <c r="F450" s="14" t="s">
        <v>15</v>
      </c>
      <c r="G450">
        <v>16</v>
      </c>
      <c r="H450" s="7">
        <v>0</v>
      </c>
      <c r="I450" s="1" t="str">
        <f t="shared" si="437"/>
        <v>01001</v>
      </c>
      <c r="J450" t="str">
        <f t="shared" si="438"/>
        <v>0</v>
      </c>
      <c r="K450">
        <f t="shared" si="439"/>
        <v>0</v>
      </c>
      <c r="M450" s="21" t="s">
        <v>190</v>
      </c>
      <c r="N450" s="26" t="s">
        <v>14</v>
      </c>
      <c r="O450">
        <v>0</v>
      </c>
      <c r="Q450" s="1" t="b">
        <f t="shared" si="440"/>
        <v>1</v>
      </c>
      <c r="R450" t="b">
        <f t="shared" si="441"/>
        <v>1</v>
      </c>
      <c r="S450" t="b">
        <f t="shared" si="442"/>
        <v>1</v>
      </c>
    </row>
    <row r="451" spans="2:19" x14ac:dyDescent="0.15">
      <c r="B451" s="23"/>
      <c r="C451" s="2" t="s">
        <v>87</v>
      </c>
      <c r="D451" s="2" t="s">
        <v>46</v>
      </c>
      <c r="E451" s="11" t="s">
        <v>191</v>
      </c>
      <c r="F451" s="13" t="s">
        <v>15</v>
      </c>
      <c r="G451" s="2">
        <v>2</v>
      </c>
      <c r="H451" s="2">
        <v>0</v>
      </c>
      <c r="I451" s="3" t="str">
        <f t="shared" si="437"/>
        <v>01001</v>
      </c>
      <c r="J451" s="2" t="str">
        <f t="shared" si="438"/>
        <v>1</v>
      </c>
      <c r="K451" s="2">
        <f t="shared" si="439"/>
        <v>0</v>
      </c>
      <c r="L451" s="2"/>
      <c r="M451" s="20" t="s">
        <v>190</v>
      </c>
      <c r="N451" s="25" t="s">
        <v>44</v>
      </c>
      <c r="O451" s="2">
        <v>0</v>
      </c>
      <c r="P451" s="2"/>
      <c r="Q451" s="3" t="b">
        <f t="shared" si="440"/>
        <v>1</v>
      </c>
      <c r="R451" s="2" t="b">
        <f t="shared" si="441"/>
        <v>1</v>
      </c>
      <c r="S451" s="2" t="b">
        <f t="shared" si="442"/>
        <v>1</v>
      </c>
    </row>
    <row r="452" spans="2:19" x14ac:dyDescent="0.15">
      <c r="B452" s="23"/>
      <c r="D452" t="s">
        <v>47</v>
      </c>
      <c r="E452" s="9" t="s">
        <v>191</v>
      </c>
      <c r="F452" s="14" t="s">
        <v>15</v>
      </c>
      <c r="G452">
        <v>10</v>
      </c>
      <c r="H452" s="7">
        <v>0</v>
      </c>
      <c r="I452" s="1" t="str">
        <f t="shared" si="437"/>
        <v>01001</v>
      </c>
      <c r="J452" t="str">
        <f t="shared" si="438"/>
        <v>1</v>
      </c>
      <c r="K452">
        <f t="shared" si="439"/>
        <v>0</v>
      </c>
      <c r="M452" s="21" t="s">
        <v>190</v>
      </c>
      <c r="N452" s="26" t="s">
        <v>44</v>
      </c>
      <c r="O452">
        <v>0</v>
      </c>
      <c r="Q452" s="1" t="b">
        <f t="shared" si="440"/>
        <v>1</v>
      </c>
      <c r="R452" t="b">
        <f t="shared" si="441"/>
        <v>1</v>
      </c>
      <c r="S452" t="b">
        <f t="shared" si="442"/>
        <v>1</v>
      </c>
    </row>
    <row r="453" spans="2:19" x14ac:dyDescent="0.15">
      <c r="D453" t="s">
        <v>49</v>
      </c>
      <c r="E453" s="9" t="s">
        <v>191</v>
      </c>
      <c r="F453" s="14" t="s">
        <v>15</v>
      </c>
      <c r="G453">
        <v>16</v>
      </c>
      <c r="H453" s="7">
        <v>0</v>
      </c>
      <c r="I453" s="1" t="str">
        <f t="shared" si="437"/>
        <v>01001</v>
      </c>
      <c r="J453" t="str">
        <f t="shared" si="438"/>
        <v>1</v>
      </c>
      <c r="K453">
        <f t="shared" si="439"/>
        <v>0</v>
      </c>
      <c r="M453" s="21" t="s">
        <v>190</v>
      </c>
      <c r="N453" s="26" t="s">
        <v>44</v>
      </c>
      <c r="O453">
        <v>0</v>
      </c>
      <c r="Q453" s="1" t="b">
        <f t="shared" si="440"/>
        <v>1</v>
      </c>
      <c r="R453" t="b">
        <f t="shared" si="441"/>
        <v>1</v>
      </c>
      <c r="S453" t="b">
        <f t="shared" si="442"/>
        <v>1</v>
      </c>
    </row>
    <row r="454" spans="2:19" x14ac:dyDescent="0.15">
      <c r="C454" s="2" t="s">
        <v>97</v>
      </c>
      <c r="D454" s="2" t="s">
        <v>47</v>
      </c>
      <c r="E454" s="11" t="s">
        <v>192</v>
      </c>
      <c r="F454" s="13" t="s">
        <v>15</v>
      </c>
      <c r="G454" s="2">
        <v>10</v>
      </c>
      <c r="H454" s="24">
        <v>0</v>
      </c>
      <c r="I454" s="3" t="str">
        <f t="shared" si="437"/>
        <v>01001</v>
      </c>
      <c r="J454" s="2" t="str">
        <f t="shared" si="438"/>
        <v>9</v>
      </c>
      <c r="K454" s="2">
        <f t="shared" si="439"/>
        <v>0</v>
      </c>
      <c r="L454" s="2"/>
      <c r="M454" s="20" t="s">
        <v>190</v>
      </c>
      <c r="N454" s="25" t="s">
        <v>101</v>
      </c>
      <c r="O454" s="2">
        <v>0</v>
      </c>
      <c r="P454" s="2"/>
      <c r="Q454" s="3" t="b">
        <f t="shared" si="440"/>
        <v>1</v>
      </c>
      <c r="R454" s="2" t="b">
        <f t="shared" si="441"/>
        <v>1</v>
      </c>
      <c r="S454" s="2" t="b">
        <f t="shared" si="442"/>
        <v>1</v>
      </c>
    </row>
    <row r="455" spans="2:19" x14ac:dyDescent="0.15">
      <c r="D455" t="s">
        <v>49</v>
      </c>
      <c r="E455" s="9" t="s">
        <v>193</v>
      </c>
      <c r="F455" s="14" t="s">
        <v>15</v>
      </c>
      <c r="G455">
        <v>16</v>
      </c>
      <c r="H455" s="7">
        <v>0</v>
      </c>
      <c r="I455" s="1" t="str">
        <f t="shared" si="437"/>
        <v>01001</v>
      </c>
      <c r="J455" t="str">
        <f t="shared" si="438"/>
        <v>F</v>
      </c>
      <c r="K455">
        <f t="shared" si="439"/>
        <v>0</v>
      </c>
      <c r="M455" s="21" t="s">
        <v>190</v>
      </c>
      <c r="N455" s="26" t="s">
        <v>99</v>
      </c>
      <c r="O455">
        <v>0</v>
      </c>
      <c r="Q455" s="1" t="b">
        <f t="shared" si="440"/>
        <v>1</v>
      </c>
      <c r="R455" t="b">
        <f t="shared" si="441"/>
        <v>1</v>
      </c>
      <c r="S455" t="b">
        <f t="shared" si="442"/>
        <v>1</v>
      </c>
    </row>
    <row r="456" spans="2:19" x14ac:dyDescent="0.15">
      <c r="B456" s="2" t="s">
        <v>76</v>
      </c>
      <c r="C456" s="2" t="s">
        <v>210</v>
      </c>
      <c r="D456" s="2" t="s">
        <v>46</v>
      </c>
      <c r="E456" s="11" t="s">
        <v>114</v>
      </c>
      <c r="F456" s="13" t="s">
        <v>115</v>
      </c>
      <c r="G456" s="2">
        <v>2</v>
      </c>
      <c r="H456" s="2">
        <v>-1</v>
      </c>
      <c r="I456" s="3" t="str">
        <f>TESTdivide(E456,F456,G456,H456)</f>
        <v>00</v>
      </c>
      <c r="J456" s="2" t="str">
        <f>TESTdivideByRef1(E456,F456,G456,H456)</f>
        <v>10</v>
      </c>
      <c r="K456" s="2">
        <f>TESTdivideByRef2(E456,F456,G456,H456)</f>
        <v>0</v>
      </c>
      <c r="L456" s="2"/>
      <c r="M456" s="3" t="s">
        <v>98</v>
      </c>
      <c r="N456" s="2" t="s">
        <v>15</v>
      </c>
      <c r="O456" s="2">
        <v>0</v>
      </c>
      <c r="P456" s="2"/>
      <c r="Q456" s="3" t="b">
        <f t="shared" ref="Q456:Q458" si="443">getText(I456)=getText(M456)</f>
        <v>1</v>
      </c>
      <c r="R456" s="2" t="b">
        <f t="shared" ref="R456:R458" si="444">getText(J456)=getText(N456)</f>
        <v>1</v>
      </c>
      <c r="S456" s="2" t="b">
        <f t="shared" ref="S456:S458" si="445">getText(K456)=getText(O456)</f>
        <v>1</v>
      </c>
    </row>
    <row r="457" spans="2:19" x14ac:dyDescent="0.15">
      <c r="D457" t="s">
        <v>47</v>
      </c>
      <c r="E457" s="9" t="s">
        <v>112</v>
      </c>
      <c r="F457" s="17" t="s">
        <v>196</v>
      </c>
      <c r="G457">
        <v>10</v>
      </c>
      <c r="H457" s="7">
        <v>-1</v>
      </c>
      <c r="I457" s="1" t="str">
        <f>TESTdivide(E457,F457,G457,H457)</f>
        <v>0</v>
      </c>
      <c r="J457" t="str">
        <f>TESTdivideByRef1(E457,F457,G457,H457)</f>
        <v>1</v>
      </c>
      <c r="K457">
        <f>TESTdivideByRef2(E457,F457,G457,H457)</f>
        <v>0</v>
      </c>
      <c r="M457" s="1" t="s">
        <v>14</v>
      </c>
      <c r="N457" t="s">
        <v>44</v>
      </c>
      <c r="O457">
        <v>0</v>
      </c>
      <c r="Q457" s="1" t="b">
        <f t="shared" si="443"/>
        <v>1</v>
      </c>
      <c r="R457" t="b">
        <f t="shared" si="444"/>
        <v>1</v>
      </c>
      <c r="S457" t="b">
        <f t="shared" si="445"/>
        <v>1</v>
      </c>
    </row>
    <row r="458" spans="2:19" x14ac:dyDescent="0.15">
      <c r="D458" t="s">
        <v>48</v>
      </c>
      <c r="E458" s="9" t="s">
        <v>83</v>
      </c>
      <c r="F458" s="17" t="s">
        <v>99</v>
      </c>
      <c r="G458">
        <v>16</v>
      </c>
      <c r="H458" s="7">
        <v>-1</v>
      </c>
      <c r="I458" s="1" t="str">
        <f t="shared" ref="I458" si="446">TESTdivide(E458,F458,G458,H458)</f>
        <v>0</v>
      </c>
      <c r="J458" t="str">
        <f t="shared" ref="J458" si="447">TESTdivideByRef1(E458,F458,G458,H458)</f>
        <v>5</v>
      </c>
      <c r="K458">
        <f t="shared" ref="K458" si="448">TESTdivideByRef2(E458,F458,G458,H458)</f>
        <v>0</v>
      </c>
      <c r="M458" s="1" t="s">
        <v>14</v>
      </c>
      <c r="N458" t="s">
        <v>83</v>
      </c>
      <c r="O458">
        <v>0</v>
      </c>
      <c r="Q458" s="1" t="b">
        <f t="shared" si="443"/>
        <v>1</v>
      </c>
      <c r="R458" t="b">
        <f t="shared" si="444"/>
        <v>1</v>
      </c>
      <c r="S458" t="b">
        <f t="shared" si="445"/>
        <v>1</v>
      </c>
    </row>
    <row r="459" spans="2:19" x14ac:dyDescent="0.15">
      <c r="C459" s="2" t="s">
        <v>77</v>
      </c>
      <c r="D459" s="2" t="s">
        <v>46</v>
      </c>
      <c r="E459" s="11" t="s">
        <v>114</v>
      </c>
      <c r="F459" s="13" t="s">
        <v>115</v>
      </c>
      <c r="G459" s="2">
        <v>2</v>
      </c>
      <c r="H459" s="2">
        <v>0</v>
      </c>
      <c r="I459" s="3" t="str">
        <f t="shared" ref="I459" si="449">TESTdivide(E459,F459,G459,H459)</f>
        <v>00</v>
      </c>
      <c r="J459" s="2" t="str">
        <f t="shared" ref="J459" si="450">TESTdivideByRef1(E459,F459,G459,H459)</f>
        <v>10</v>
      </c>
      <c r="K459" s="2">
        <f t="shared" ref="K459" si="451">TESTdivideByRef2(E459,F459,G459,H459)</f>
        <v>0</v>
      </c>
      <c r="L459" s="2"/>
      <c r="M459" s="3" t="s">
        <v>98</v>
      </c>
      <c r="N459" s="2" t="s">
        <v>15</v>
      </c>
      <c r="O459" s="2">
        <v>0</v>
      </c>
      <c r="P459" s="2"/>
      <c r="Q459" s="3" t="b">
        <f t="shared" ref="Q459:Q460" si="452">getText(I459)=getText(M459)</f>
        <v>1</v>
      </c>
      <c r="R459" s="2" t="b">
        <f t="shared" ref="R459:R460" si="453">getText(J459)=getText(N459)</f>
        <v>1</v>
      </c>
      <c r="S459" s="2" t="b">
        <f t="shared" ref="S459:S460" si="454">getText(K459)=getText(O459)</f>
        <v>1</v>
      </c>
    </row>
    <row r="460" spans="2:19" x14ac:dyDescent="0.15">
      <c r="D460" t="s">
        <v>47</v>
      </c>
      <c r="E460" s="9" t="s">
        <v>112</v>
      </c>
      <c r="F460" s="17" t="s">
        <v>196</v>
      </c>
      <c r="G460">
        <v>10</v>
      </c>
      <c r="H460" s="7">
        <v>0</v>
      </c>
      <c r="I460" s="1" t="str">
        <f t="shared" ref="I460" si="455">TESTdivide(E460,F460,G460,H460)</f>
        <v>0</v>
      </c>
      <c r="J460" t="str">
        <f t="shared" ref="J460" si="456">TESTdivideByRef1(E460,F460,G460,H460)</f>
        <v>1</v>
      </c>
      <c r="K460">
        <f t="shared" ref="K460" si="457">TESTdivideByRef2(E460,F460,G460,H460)</f>
        <v>0</v>
      </c>
      <c r="M460" s="1" t="s">
        <v>14</v>
      </c>
      <c r="N460" t="s">
        <v>44</v>
      </c>
      <c r="O460">
        <v>0</v>
      </c>
      <c r="Q460" s="1" t="b">
        <f t="shared" si="452"/>
        <v>1</v>
      </c>
      <c r="R460" t="b">
        <f t="shared" si="453"/>
        <v>1</v>
      </c>
      <c r="S460" t="b">
        <f t="shared" si="454"/>
        <v>1</v>
      </c>
    </row>
    <row r="461" spans="2:19" x14ac:dyDescent="0.15">
      <c r="D461" t="s">
        <v>49</v>
      </c>
      <c r="E461" s="9" t="s">
        <v>197</v>
      </c>
      <c r="F461" s="17" t="s">
        <v>198</v>
      </c>
      <c r="G461">
        <v>16</v>
      </c>
      <c r="H461" s="7">
        <v>0</v>
      </c>
      <c r="I461" s="1" t="str">
        <f t="shared" ref="I461" si="458">TESTdivide(E461,F461,G461,H461)</f>
        <v>0</v>
      </c>
      <c r="J461" t="str">
        <f t="shared" ref="J461" si="459">TESTdivideByRef1(E461,F461,G461,H461)</f>
        <v>5</v>
      </c>
      <c r="K461">
        <f t="shared" ref="K461" si="460">TESTdivideByRef2(E461,F461,G461,H461)</f>
        <v>0</v>
      </c>
      <c r="M461" s="1" t="s">
        <v>14</v>
      </c>
      <c r="N461" t="s">
        <v>83</v>
      </c>
      <c r="O461">
        <v>0</v>
      </c>
      <c r="Q461" s="1" t="b">
        <f t="shared" ref="Q461:Q462" si="461">getText(I461)=getText(M461)</f>
        <v>1</v>
      </c>
      <c r="R461" t="b">
        <f t="shared" ref="R461:R462" si="462">getText(J461)=getText(N461)</f>
        <v>1</v>
      </c>
      <c r="S461" t="b">
        <f t="shared" ref="S461:S462" si="463">getText(K461)=getText(O461)</f>
        <v>1</v>
      </c>
    </row>
    <row r="462" spans="2:19" x14ac:dyDescent="0.15">
      <c r="C462" s="2" t="s">
        <v>195</v>
      </c>
      <c r="D462" s="2" t="s">
        <v>208</v>
      </c>
      <c r="E462" s="11" t="s">
        <v>15</v>
      </c>
      <c r="F462" s="13" t="s">
        <v>18</v>
      </c>
      <c r="G462" s="2">
        <v>2</v>
      </c>
      <c r="H462" s="2">
        <v>1</v>
      </c>
      <c r="I462" s="3" t="str">
        <f t="shared" ref="I462:I465" si="464">TESTdivide(E462,F462,G462,H462)</f>
        <v>001</v>
      </c>
      <c r="J462" s="2" t="str">
        <f t="shared" ref="J462:J465" si="465">TESTdivideByRef1(E462,F462,G462,H462)</f>
        <v>1</v>
      </c>
      <c r="K462" s="2">
        <f t="shared" ref="K462:K465" si="466">TESTdivideByRef2(E462,F462,G462,H462)</f>
        <v>0</v>
      </c>
      <c r="L462" s="2"/>
      <c r="M462" s="3" t="s">
        <v>82</v>
      </c>
      <c r="N462" s="22" t="s">
        <v>44</v>
      </c>
      <c r="O462" s="2">
        <v>0</v>
      </c>
      <c r="P462" s="2"/>
      <c r="Q462" s="3" t="b">
        <f t="shared" si="461"/>
        <v>1</v>
      </c>
      <c r="R462" s="2" t="b">
        <f t="shared" si="462"/>
        <v>1</v>
      </c>
      <c r="S462" s="2" t="b">
        <f t="shared" si="463"/>
        <v>1</v>
      </c>
    </row>
    <row r="463" spans="2:19" x14ac:dyDescent="0.15">
      <c r="C463" s="6"/>
      <c r="D463" s="7" t="s">
        <v>209</v>
      </c>
      <c r="E463" s="9" t="s">
        <v>15</v>
      </c>
      <c r="F463" s="14" t="s">
        <v>18</v>
      </c>
      <c r="G463" s="6">
        <v>2</v>
      </c>
      <c r="H463" s="6">
        <v>2</v>
      </c>
      <c r="I463" s="1" t="str">
        <f t="shared" ref="I463" si="467">TESTdivide(E463,F463,G463,H463)</f>
        <v>0010</v>
      </c>
      <c r="J463" s="6" t="str">
        <f t="shared" ref="J463" si="468">TESTdivideByRef1(E463,F463,G463,H463)</f>
        <v>10</v>
      </c>
      <c r="K463" s="6">
        <f t="shared" ref="K463" si="469">TESTdivideByRef2(E463,F463,G463,H463)</f>
        <v>0</v>
      </c>
      <c r="L463" s="6"/>
      <c r="M463" s="1" t="s">
        <v>80</v>
      </c>
      <c r="N463" s="27" t="s">
        <v>15</v>
      </c>
      <c r="O463" s="6">
        <v>0</v>
      </c>
      <c r="P463" s="6"/>
      <c r="Q463" s="1" t="b">
        <f t="shared" ref="Q463:Q464" si="470">getText(I463)=getText(M463)</f>
        <v>1</v>
      </c>
      <c r="R463" s="6" t="b">
        <f t="shared" ref="R463:R464" si="471">getText(J463)=getText(N463)</f>
        <v>1</v>
      </c>
      <c r="S463" s="6" t="b">
        <f t="shared" ref="S463:S464" si="472">getText(K463)=getText(O463)</f>
        <v>1</v>
      </c>
    </row>
    <row r="464" spans="2:19" x14ac:dyDescent="0.15">
      <c r="D464" t="s">
        <v>47</v>
      </c>
      <c r="E464" s="9" t="s">
        <v>44</v>
      </c>
      <c r="F464" s="17" t="s">
        <v>81</v>
      </c>
      <c r="G464">
        <v>10</v>
      </c>
      <c r="H464" s="7">
        <v>1</v>
      </c>
      <c r="I464" s="1" t="str">
        <f t="shared" si="464"/>
        <v>03</v>
      </c>
      <c r="J464" t="str">
        <f t="shared" si="465"/>
        <v>1</v>
      </c>
      <c r="K464">
        <f t="shared" si="466"/>
        <v>0</v>
      </c>
      <c r="M464" s="1" t="s">
        <v>206</v>
      </c>
      <c r="N464" s="23" t="s">
        <v>44</v>
      </c>
      <c r="O464">
        <v>0</v>
      </c>
      <c r="Q464" s="1" t="b">
        <f t="shared" si="470"/>
        <v>1</v>
      </c>
      <c r="R464" t="b">
        <f t="shared" si="471"/>
        <v>1</v>
      </c>
      <c r="S464" t="b">
        <f t="shared" si="472"/>
        <v>1</v>
      </c>
    </row>
    <row r="465" spans="1:19" x14ac:dyDescent="0.15">
      <c r="D465" t="s">
        <v>49</v>
      </c>
      <c r="E465" s="9" t="s">
        <v>83</v>
      </c>
      <c r="F465" s="17" t="s">
        <v>99</v>
      </c>
      <c r="G465">
        <v>16</v>
      </c>
      <c r="H465" s="7">
        <v>1</v>
      </c>
      <c r="I465" s="1" t="str">
        <f t="shared" si="464"/>
        <v>05</v>
      </c>
      <c r="J465" t="str">
        <f t="shared" si="465"/>
        <v>5</v>
      </c>
      <c r="K465">
        <f t="shared" si="466"/>
        <v>0</v>
      </c>
      <c r="M465" s="1" t="s">
        <v>207</v>
      </c>
      <c r="N465" s="23" t="s">
        <v>83</v>
      </c>
      <c r="O465">
        <v>0</v>
      </c>
      <c r="Q465" s="1" t="b">
        <f t="shared" ref="Q465" si="473">getText(I465)=getText(M465)</f>
        <v>1</v>
      </c>
      <c r="R465" t="b">
        <f t="shared" ref="R465" si="474">getText(J465)=getText(N465)</f>
        <v>1</v>
      </c>
      <c r="S465" t="b">
        <f t="shared" ref="S465" si="475">getText(K465)=getText(O465)</f>
        <v>1</v>
      </c>
    </row>
    <row r="466" spans="1:19" x14ac:dyDescent="0.15">
      <c r="C466" s="2" t="s">
        <v>194</v>
      </c>
      <c r="D466" s="2" t="s">
        <v>204</v>
      </c>
      <c r="E466" s="11" t="s">
        <v>114</v>
      </c>
      <c r="F466" s="13" t="s">
        <v>115</v>
      </c>
      <c r="G466" s="2">
        <v>2</v>
      </c>
      <c r="H466" s="2">
        <v>255</v>
      </c>
      <c r="I466" s="3" t="str">
        <f>TESTdivide(E466,F466,G466,H466)</f>
        <v>00101010101010101010101010101010101010101010101010101010101010101010101010101010101010101010101010101010101010101010101010101010101010101010101010101010101010101010101010101010101010101010101010101010101010101010101010101010101010101010101010101010101010101</v>
      </c>
      <c r="J466" s="2" t="str">
        <f>TESTdivideByRef1(E466,F466,G466,H466)</f>
        <v>1</v>
      </c>
      <c r="K466" s="2">
        <f>TESTdivideByRef2(E466,F466,G466,H466)</f>
        <v>0</v>
      </c>
      <c r="L466" s="2"/>
      <c r="M466" s="3" t="s">
        <v>199</v>
      </c>
      <c r="N466" s="2" t="s">
        <v>44</v>
      </c>
      <c r="O466" s="2">
        <v>0</v>
      </c>
      <c r="P466" s="2"/>
      <c r="Q466" s="3" t="b">
        <f t="shared" ref="Q466:Q469" si="476">getText(I466)=getText(M466)</f>
        <v>1</v>
      </c>
      <c r="R466" s="2" t="b">
        <f t="shared" ref="R466:R469" si="477">getText(J466)=getText(N466)</f>
        <v>1</v>
      </c>
      <c r="S466" s="2" t="b">
        <f t="shared" ref="S466:S469" si="478">getText(K466)=getText(O466)</f>
        <v>1</v>
      </c>
    </row>
    <row r="467" spans="1:19" x14ac:dyDescent="0.15">
      <c r="C467" s="6"/>
      <c r="D467" s="7" t="s">
        <v>203</v>
      </c>
      <c r="E467" s="9" t="s">
        <v>15</v>
      </c>
      <c r="F467" s="14" t="s">
        <v>18</v>
      </c>
      <c r="G467" s="6">
        <v>2</v>
      </c>
      <c r="H467" s="6">
        <v>256</v>
      </c>
      <c r="I467" s="1" t="str">
        <f t="shared" ref="I467" si="479">TESTdivide(E467,F467,G467,H467)</f>
        <v>001010101010101010101010101010101010101010101010101010101010101010101010101010101010101010101010101010101010101010101010101010101010101010101010101010101010101010101010101010101010101010101010101010101010101010101010101010101010101010101010101010101010101010</v>
      </c>
      <c r="J467" s="6" t="str">
        <f t="shared" ref="J467" si="480">TESTdivideByRef1(E467,F467,G467,H467)</f>
        <v>10</v>
      </c>
      <c r="K467" s="6">
        <f t="shared" ref="K467" si="481">TESTdivideByRef2(E467,F467,G467,H467)</f>
        <v>0</v>
      </c>
      <c r="L467" s="6"/>
      <c r="M467" s="1" t="s">
        <v>202</v>
      </c>
      <c r="N467" s="6" t="s">
        <v>15</v>
      </c>
      <c r="O467" s="6">
        <v>0</v>
      </c>
      <c r="P467" s="6"/>
      <c r="Q467" s="1" t="b">
        <f t="shared" ref="Q467" si="482">getText(I467)=getText(M467)</f>
        <v>1</v>
      </c>
      <c r="R467" s="6" t="b">
        <f t="shared" ref="R467" si="483">getText(J467)=getText(N467)</f>
        <v>1</v>
      </c>
      <c r="S467" s="6" t="b">
        <f t="shared" ref="S467" si="484">getText(K467)=getText(O467)</f>
        <v>1</v>
      </c>
    </row>
    <row r="468" spans="1:19" x14ac:dyDescent="0.15">
      <c r="D468" t="s">
        <v>47</v>
      </c>
      <c r="E468" s="9" t="s">
        <v>200</v>
      </c>
      <c r="F468" s="17" t="s">
        <v>196</v>
      </c>
      <c r="G468">
        <v>10</v>
      </c>
      <c r="H468" s="7">
        <v>255</v>
      </c>
      <c r="I468" s="1" t="str">
        <f>TESTdivide(E468,F468,G468,H468)</f>
        <v>0333333333333333333333333333333333333333333333333333333333333333333333333333333333333333333333333333333333333333333333333333333333333333333333333333333333333333333333333333333333333333333333333333333333333333333333333333333333333333333333333333333333333333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J468" t="str">
        <f>TESTdivideByRef1(E468,F468,G468,H468)</f>
        <v>1</v>
      </c>
      <c r="K468">
        <f>TESTdivideByRef2(E468,F468,G468,H468)</f>
        <v>0</v>
      </c>
      <c r="M468" s="1" t="s">
        <v>201</v>
      </c>
      <c r="N468" t="s">
        <v>44</v>
      </c>
      <c r="O468">
        <v>0</v>
      </c>
      <c r="Q468" s="1" t="b">
        <f t="shared" si="476"/>
        <v>1</v>
      </c>
      <c r="R468" t="b">
        <f t="shared" si="477"/>
        <v>1</v>
      </c>
      <c r="S468" t="b">
        <f t="shared" si="478"/>
        <v>1</v>
      </c>
    </row>
    <row r="469" spans="1:19" x14ac:dyDescent="0.15">
      <c r="D469" t="s">
        <v>49</v>
      </c>
      <c r="E469" s="9" t="s">
        <v>197</v>
      </c>
      <c r="F469" s="17" t="s">
        <v>198</v>
      </c>
      <c r="G469">
        <v>16</v>
      </c>
      <c r="H469" s="7">
        <v>255</v>
      </c>
      <c r="I469" s="1" t="str">
        <f>TESTdivide(E469,F469,G469,H469)</f>
        <v>0555555555555555555555555555555555555555555555555555555555555555555555555555555555555555555555555555555555555555555555555555555555555555555555555555555555555555555555555555555555555555555555555555555555555555555555555555555555555555555555555555555555555555</v>
      </c>
      <c r="J469" t="str">
        <f>TESTdivideByRef1(E469,F469,G469,H469)</f>
        <v>5</v>
      </c>
      <c r="K469">
        <f>TESTdivideByRef2(E469,F469,G469,H469)</f>
        <v>0</v>
      </c>
      <c r="M469" s="1" t="s">
        <v>205</v>
      </c>
      <c r="N469" t="s">
        <v>83</v>
      </c>
      <c r="O469">
        <v>0</v>
      </c>
      <c r="Q469" s="1" t="b">
        <f t="shared" si="476"/>
        <v>1</v>
      </c>
      <c r="R469" t="b">
        <f t="shared" si="477"/>
        <v>1</v>
      </c>
      <c r="S469" t="b">
        <f t="shared" si="478"/>
        <v>1</v>
      </c>
    </row>
    <row r="470" spans="1:19" s="2" customFormat="1" x14ac:dyDescent="0.15">
      <c r="A470" s="2" t="s">
        <v>60</v>
      </c>
      <c r="B470" s="2" t="s">
        <v>587</v>
      </c>
      <c r="C470" s="2" t="s">
        <v>3</v>
      </c>
      <c r="D470" s="2" t="s">
        <v>598</v>
      </c>
      <c r="E470" s="3">
        <v>0</v>
      </c>
      <c r="F470" s="2">
        <v>2</v>
      </c>
      <c r="G470" s="2">
        <v>2</v>
      </c>
      <c r="I470" s="3" t="str">
        <f t="shared" ref="I470:I509" si="485">TESTconvIntPrtOfNPntToIntPrtOfNPnt(E470,F470,G470)</f>
        <v>0</v>
      </c>
      <c r="M470" s="3" t="s">
        <v>14</v>
      </c>
      <c r="Q470" s="3" t="b">
        <f t="shared" ref="Q470:Q478" si="486">getText(I470)=getText(M470)</f>
        <v>1</v>
      </c>
    </row>
    <row r="471" spans="1:19" x14ac:dyDescent="0.15">
      <c r="B471" t="s">
        <v>589</v>
      </c>
      <c r="C471" t="s">
        <v>4</v>
      </c>
      <c r="D471" t="s">
        <v>599</v>
      </c>
      <c r="E471" s="1">
        <v>111</v>
      </c>
      <c r="F471">
        <v>2</v>
      </c>
      <c r="G471">
        <v>7</v>
      </c>
      <c r="I471" s="1" t="str">
        <f t="shared" si="485"/>
        <v>10</v>
      </c>
      <c r="M471" s="1" t="s">
        <v>15</v>
      </c>
      <c r="Q471" s="1" t="b">
        <f t="shared" si="486"/>
        <v>1</v>
      </c>
      <c r="R471" s="6"/>
    </row>
    <row r="472" spans="1:19" x14ac:dyDescent="0.15">
      <c r="C472" t="s">
        <v>5</v>
      </c>
      <c r="D472" t="s">
        <v>600</v>
      </c>
      <c r="E472" s="1">
        <v>10000</v>
      </c>
      <c r="F472">
        <v>2</v>
      </c>
      <c r="G472">
        <v>16</v>
      </c>
      <c r="I472" s="1" t="str">
        <f t="shared" si="485"/>
        <v>10</v>
      </c>
      <c r="M472" s="1" t="s">
        <v>15</v>
      </c>
      <c r="Q472" s="1" t="b">
        <f t="shared" si="486"/>
        <v>1</v>
      </c>
      <c r="R472" s="6"/>
    </row>
    <row r="473" spans="1:19" x14ac:dyDescent="0.15">
      <c r="C473" t="s">
        <v>6</v>
      </c>
      <c r="D473" t="s">
        <v>598</v>
      </c>
      <c r="E473" s="1">
        <v>0</v>
      </c>
      <c r="F473">
        <v>7</v>
      </c>
      <c r="G473">
        <v>2</v>
      </c>
      <c r="I473" s="1" t="str">
        <f t="shared" si="485"/>
        <v>0</v>
      </c>
      <c r="M473" s="1" t="s">
        <v>14</v>
      </c>
      <c r="Q473" s="1" t="b">
        <f t="shared" si="486"/>
        <v>1</v>
      </c>
      <c r="R473" s="6"/>
    </row>
    <row r="474" spans="1:19" x14ac:dyDescent="0.15">
      <c r="C474" t="s">
        <v>7</v>
      </c>
      <c r="D474" t="s">
        <v>599</v>
      </c>
      <c r="E474" s="1">
        <v>10</v>
      </c>
      <c r="F474">
        <v>7</v>
      </c>
      <c r="G474">
        <v>7</v>
      </c>
      <c r="I474" s="1" t="str">
        <f t="shared" si="485"/>
        <v>10</v>
      </c>
      <c r="M474" s="1" t="s">
        <v>15</v>
      </c>
      <c r="Q474" s="1" t="b">
        <f t="shared" si="486"/>
        <v>1</v>
      </c>
      <c r="R474" s="6"/>
    </row>
    <row r="475" spans="1:19" x14ac:dyDescent="0.15">
      <c r="C475" t="s">
        <v>8</v>
      </c>
      <c r="D475" t="s">
        <v>600</v>
      </c>
      <c r="E475" s="1">
        <v>22</v>
      </c>
      <c r="F475">
        <v>7</v>
      </c>
      <c r="G475">
        <v>16</v>
      </c>
      <c r="I475" s="1" t="str">
        <f t="shared" si="485"/>
        <v>10</v>
      </c>
      <c r="M475" s="1" t="s">
        <v>15</v>
      </c>
      <c r="Q475" s="1" t="b">
        <f t="shared" si="486"/>
        <v>1</v>
      </c>
      <c r="R475" s="6"/>
    </row>
    <row r="476" spans="1:19" x14ac:dyDescent="0.15">
      <c r="C476" t="s">
        <v>9</v>
      </c>
      <c r="D476" t="s">
        <v>598</v>
      </c>
      <c r="E476" s="1">
        <v>0</v>
      </c>
      <c r="F476">
        <v>16</v>
      </c>
      <c r="G476">
        <v>2</v>
      </c>
      <c r="I476" s="1" t="str">
        <f t="shared" si="485"/>
        <v>0</v>
      </c>
      <c r="M476" s="1" t="s">
        <v>14</v>
      </c>
      <c r="Q476" s="1" t="b">
        <f t="shared" si="486"/>
        <v>1</v>
      </c>
      <c r="R476" s="6"/>
    </row>
    <row r="477" spans="1:19" x14ac:dyDescent="0.15">
      <c r="C477" t="s">
        <v>10</v>
      </c>
      <c r="D477" t="s">
        <v>599</v>
      </c>
      <c r="E477" s="1">
        <v>7</v>
      </c>
      <c r="F477">
        <v>16</v>
      </c>
      <c r="G477">
        <v>7</v>
      </c>
      <c r="I477" s="1" t="str">
        <f t="shared" si="485"/>
        <v>10</v>
      </c>
      <c r="M477" s="1" t="s">
        <v>15</v>
      </c>
      <c r="Q477" s="1" t="b">
        <f t="shared" si="486"/>
        <v>1</v>
      </c>
      <c r="R477" s="6"/>
    </row>
    <row r="478" spans="1:19" s="6" customFormat="1" x14ac:dyDescent="0.15">
      <c r="C478" s="6" t="s">
        <v>11</v>
      </c>
      <c r="D478" s="6" t="s">
        <v>600</v>
      </c>
      <c r="E478" s="1">
        <v>10</v>
      </c>
      <c r="F478" s="6">
        <v>16</v>
      </c>
      <c r="G478" s="6">
        <v>16</v>
      </c>
      <c r="I478" s="1" t="str">
        <f t="shared" si="485"/>
        <v>10</v>
      </c>
      <c r="M478" s="1" t="s">
        <v>15</v>
      </c>
      <c r="Q478" s="1" t="b">
        <f t="shared" si="486"/>
        <v>1</v>
      </c>
    </row>
    <row r="479" spans="1:19" s="6" customFormat="1" x14ac:dyDescent="0.15">
      <c r="B479" s="2" t="s">
        <v>587</v>
      </c>
      <c r="C479" s="2" t="s">
        <v>25</v>
      </c>
      <c r="D479" s="2" t="s">
        <v>3</v>
      </c>
      <c r="E479" s="3">
        <v>10001</v>
      </c>
      <c r="F479" s="2">
        <v>2</v>
      </c>
      <c r="G479" s="2">
        <v>2</v>
      </c>
      <c r="H479" s="2"/>
      <c r="I479" s="3" t="str">
        <f t="shared" si="485"/>
        <v>10001</v>
      </c>
      <c r="J479" s="2"/>
      <c r="K479" s="2"/>
      <c r="L479" s="2"/>
      <c r="M479" s="3" t="s">
        <v>16</v>
      </c>
      <c r="N479" s="2"/>
      <c r="O479" s="2"/>
      <c r="P479" s="2"/>
      <c r="Q479" s="3" t="b">
        <f t="shared" ref="Q479:Q481" si="487">getText(I479)=getText(M479)</f>
        <v>1</v>
      </c>
    </row>
    <row r="480" spans="1:19" s="6" customFormat="1" x14ac:dyDescent="0.15">
      <c r="B480" s="6" t="s">
        <v>588</v>
      </c>
      <c r="C480" s="6" t="s">
        <v>53</v>
      </c>
      <c r="D480" s="6" t="s">
        <v>4</v>
      </c>
      <c r="E480" s="1">
        <v>10001</v>
      </c>
      <c r="F480" s="6">
        <v>2</v>
      </c>
      <c r="G480" s="6">
        <v>7</v>
      </c>
      <c r="I480" s="1" t="str">
        <f t="shared" si="485"/>
        <v>23</v>
      </c>
      <c r="M480" s="1" t="s">
        <v>17</v>
      </c>
      <c r="Q480" s="1" t="b">
        <f t="shared" si="487"/>
        <v>1</v>
      </c>
    </row>
    <row r="481" spans="3:17" s="6" customFormat="1" x14ac:dyDescent="0.15">
      <c r="C481" s="7" t="s">
        <v>54</v>
      </c>
      <c r="D481" s="6" t="s">
        <v>5</v>
      </c>
      <c r="E481" s="1">
        <v>10001</v>
      </c>
      <c r="F481" s="6">
        <v>2</v>
      </c>
      <c r="G481" s="6">
        <v>16</v>
      </c>
      <c r="I481" s="1" t="str">
        <f t="shared" si="485"/>
        <v>11</v>
      </c>
      <c r="M481" s="1" t="s">
        <v>18</v>
      </c>
      <c r="Q481" s="1" t="b">
        <f t="shared" si="487"/>
        <v>1</v>
      </c>
    </row>
    <row r="482" spans="3:17" s="6" customFormat="1" x14ac:dyDescent="0.15">
      <c r="D482" s="6" t="s">
        <v>6</v>
      </c>
      <c r="E482" s="1">
        <v>23</v>
      </c>
      <c r="F482" s="6">
        <v>7</v>
      </c>
      <c r="G482" s="6">
        <v>2</v>
      </c>
      <c r="I482" s="1" t="str">
        <f t="shared" si="485"/>
        <v>10001</v>
      </c>
      <c r="M482" s="1" t="s">
        <v>16</v>
      </c>
      <c r="Q482" s="1" t="b">
        <f t="shared" ref="Q482:Q484" si="488">getText(I482)=getText(M482)</f>
        <v>1</v>
      </c>
    </row>
    <row r="483" spans="3:17" s="6" customFormat="1" x14ac:dyDescent="0.15">
      <c r="D483" s="6" t="s">
        <v>7</v>
      </c>
      <c r="E483" s="1">
        <v>23</v>
      </c>
      <c r="F483" s="6">
        <v>7</v>
      </c>
      <c r="G483" s="6">
        <v>7</v>
      </c>
      <c r="I483" s="1" t="str">
        <f t="shared" si="485"/>
        <v>23</v>
      </c>
      <c r="M483" s="1" t="s">
        <v>17</v>
      </c>
      <c r="Q483" s="1" t="b">
        <f t="shared" si="488"/>
        <v>1</v>
      </c>
    </row>
    <row r="484" spans="3:17" s="6" customFormat="1" x14ac:dyDescent="0.15">
      <c r="D484" s="6" t="s">
        <v>8</v>
      </c>
      <c r="E484" s="1">
        <v>23</v>
      </c>
      <c r="F484" s="6">
        <v>7</v>
      </c>
      <c r="G484" s="6">
        <v>16</v>
      </c>
      <c r="I484" s="1" t="str">
        <f t="shared" si="485"/>
        <v>11</v>
      </c>
      <c r="M484" s="1" t="s">
        <v>18</v>
      </c>
      <c r="Q484" s="1" t="b">
        <f t="shared" si="488"/>
        <v>1</v>
      </c>
    </row>
    <row r="485" spans="3:17" s="6" customFormat="1" x14ac:dyDescent="0.15">
      <c r="D485" s="6" t="s">
        <v>9</v>
      </c>
      <c r="E485" s="1">
        <v>11</v>
      </c>
      <c r="F485" s="6">
        <v>16</v>
      </c>
      <c r="G485" s="6">
        <v>2</v>
      </c>
      <c r="I485" s="1" t="str">
        <f t="shared" si="485"/>
        <v>10001</v>
      </c>
      <c r="M485" s="1" t="s">
        <v>16</v>
      </c>
      <c r="Q485" s="1" t="b">
        <f t="shared" ref="Q485:Q487" si="489">getText(I485)=getText(M485)</f>
        <v>1</v>
      </c>
    </row>
    <row r="486" spans="3:17" s="6" customFormat="1" x14ac:dyDescent="0.15">
      <c r="D486" s="6" t="s">
        <v>10</v>
      </c>
      <c r="E486" s="1">
        <v>11</v>
      </c>
      <c r="F486" s="6">
        <v>16</v>
      </c>
      <c r="G486" s="6">
        <v>7</v>
      </c>
      <c r="I486" s="1" t="str">
        <f t="shared" si="485"/>
        <v>23</v>
      </c>
      <c r="M486" s="1" t="s">
        <v>17</v>
      </c>
      <c r="Q486" s="1" t="b">
        <f t="shared" si="489"/>
        <v>1</v>
      </c>
    </row>
    <row r="487" spans="3:17" s="6" customFormat="1" x14ac:dyDescent="0.15">
      <c r="D487" s="6" t="s">
        <v>11</v>
      </c>
      <c r="E487" s="1">
        <v>11</v>
      </c>
      <c r="F487" s="6">
        <v>16</v>
      </c>
      <c r="G487" s="6">
        <v>16</v>
      </c>
      <c r="I487" s="1" t="str">
        <f t="shared" si="485"/>
        <v>11</v>
      </c>
      <c r="M487" s="1" t="s">
        <v>18</v>
      </c>
      <c r="Q487" s="1" t="b">
        <f t="shared" si="489"/>
        <v>1</v>
      </c>
    </row>
    <row r="488" spans="3:17" s="6" customFormat="1" x14ac:dyDescent="0.15">
      <c r="C488" s="2" t="s">
        <v>23</v>
      </c>
      <c r="D488" s="2" t="s">
        <v>3</v>
      </c>
      <c r="E488" s="3">
        <v>11</v>
      </c>
      <c r="F488" s="2">
        <v>2</v>
      </c>
      <c r="G488" s="2">
        <v>2</v>
      </c>
      <c r="H488" s="2"/>
      <c r="I488" s="3" t="str">
        <f t="shared" si="485"/>
        <v>11</v>
      </c>
      <c r="J488" s="2"/>
      <c r="K488" s="2"/>
      <c r="L488" s="2"/>
      <c r="M488" s="3" t="s">
        <v>18</v>
      </c>
      <c r="N488" s="2"/>
      <c r="O488" s="2"/>
      <c r="P488" s="2"/>
      <c r="Q488" s="3" t="b">
        <f t="shared" ref="Q488" si="490">getText(I488)=getText(M488)</f>
        <v>1</v>
      </c>
    </row>
    <row r="489" spans="3:17" s="6" customFormat="1" x14ac:dyDescent="0.15">
      <c r="C489" s="6" t="s">
        <v>53</v>
      </c>
      <c r="D489" s="6" t="s">
        <v>4</v>
      </c>
      <c r="E489" s="1">
        <v>110000</v>
      </c>
      <c r="F489" s="6">
        <v>2</v>
      </c>
      <c r="G489" s="6">
        <v>7</v>
      </c>
      <c r="I489" s="1" t="str">
        <f t="shared" si="485"/>
        <v>66</v>
      </c>
      <c r="M489" s="1" t="s">
        <v>20</v>
      </c>
      <c r="Q489" s="1" t="b">
        <f t="shared" ref="Q489" si="491">getText(I489)=getText(M489)</f>
        <v>1</v>
      </c>
    </row>
    <row r="490" spans="3:17" s="6" customFormat="1" x14ac:dyDescent="0.15">
      <c r="C490" s="6" t="s">
        <v>55</v>
      </c>
      <c r="D490" s="6" t="s">
        <v>5</v>
      </c>
      <c r="E490" s="1">
        <v>11111111</v>
      </c>
      <c r="F490" s="7">
        <v>2</v>
      </c>
      <c r="G490" s="7">
        <v>16</v>
      </c>
      <c r="I490" s="1" t="str">
        <f t="shared" si="485"/>
        <v>FF</v>
      </c>
      <c r="M490" s="1" t="s">
        <v>22</v>
      </c>
      <c r="Q490" s="1" t="b">
        <f t="shared" ref="Q490" si="492">getText(I490)=getText(M490)</f>
        <v>1</v>
      </c>
    </row>
    <row r="491" spans="3:17" s="6" customFormat="1" x14ac:dyDescent="0.15">
      <c r="D491" s="6" t="s">
        <v>6</v>
      </c>
      <c r="E491" s="1">
        <v>3</v>
      </c>
      <c r="F491" s="7">
        <v>7</v>
      </c>
      <c r="G491" s="7">
        <v>2</v>
      </c>
      <c r="I491" s="1" t="str">
        <f t="shared" si="485"/>
        <v>11</v>
      </c>
      <c r="M491" s="1" t="s">
        <v>18</v>
      </c>
      <c r="Q491" s="1" t="b">
        <f t="shared" ref="Q491:Q496" si="493">getText(I491)=getText(M491)</f>
        <v>1</v>
      </c>
    </row>
    <row r="492" spans="3:17" s="6" customFormat="1" x14ac:dyDescent="0.15">
      <c r="D492" s="6" t="s">
        <v>7</v>
      </c>
      <c r="E492" s="1">
        <v>66</v>
      </c>
      <c r="F492" s="7">
        <v>7</v>
      </c>
      <c r="G492" s="7">
        <v>7</v>
      </c>
      <c r="I492" s="1" t="str">
        <f t="shared" si="485"/>
        <v>66</v>
      </c>
      <c r="M492" s="1" t="s">
        <v>20</v>
      </c>
      <c r="Q492" s="1" t="b">
        <f t="shared" si="493"/>
        <v>1</v>
      </c>
    </row>
    <row r="493" spans="3:17" s="6" customFormat="1" x14ac:dyDescent="0.15">
      <c r="D493" s="6" t="s">
        <v>8</v>
      </c>
      <c r="E493" s="1">
        <v>513</v>
      </c>
      <c r="F493" s="7">
        <v>7</v>
      </c>
      <c r="G493" s="7">
        <v>16</v>
      </c>
      <c r="I493" s="1" t="str">
        <f t="shared" si="485"/>
        <v>FF</v>
      </c>
      <c r="M493" s="1" t="s">
        <v>22</v>
      </c>
      <c r="Q493" s="1" t="b">
        <f t="shared" si="493"/>
        <v>1</v>
      </c>
    </row>
    <row r="494" spans="3:17" s="6" customFormat="1" x14ac:dyDescent="0.15">
      <c r="D494" s="6" t="s">
        <v>9</v>
      </c>
      <c r="E494" s="8">
        <v>3</v>
      </c>
      <c r="F494" s="7">
        <v>16</v>
      </c>
      <c r="G494" s="7">
        <v>2</v>
      </c>
      <c r="I494" s="1" t="str">
        <f t="shared" si="485"/>
        <v>11</v>
      </c>
      <c r="M494" s="1" t="s">
        <v>18</v>
      </c>
      <c r="Q494" s="1" t="b">
        <f t="shared" si="493"/>
        <v>1</v>
      </c>
    </row>
    <row r="495" spans="3:17" s="6" customFormat="1" x14ac:dyDescent="0.15">
      <c r="D495" s="6" t="s">
        <v>10</v>
      </c>
      <c r="E495" s="1">
        <v>30</v>
      </c>
      <c r="F495" s="7">
        <v>16</v>
      </c>
      <c r="G495" s="7">
        <v>7</v>
      </c>
      <c r="I495" s="1" t="str">
        <f t="shared" si="485"/>
        <v>66</v>
      </c>
      <c r="M495" s="1" t="s">
        <v>20</v>
      </c>
      <c r="Q495" s="1" t="b">
        <f t="shared" si="493"/>
        <v>1</v>
      </c>
    </row>
    <row r="496" spans="3:17" s="6" customFormat="1" x14ac:dyDescent="0.15">
      <c r="D496" s="6" t="s">
        <v>11</v>
      </c>
      <c r="E496" s="8" t="s">
        <v>26</v>
      </c>
      <c r="F496" s="7">
        <v>16</v>
      </c>
      <c r="G496" s="7">
        <v>16</v>
      </c>
      <c r="I496" s="1" t="str">
        <f t="shared" si="485"/>
        <v>FF</v>
      </c>
      <c r="M496" s="1" t="s">
        <v>22</v>
      </c>
      <c r="Q496" s="1" t="b">
        <f t="shared" si="493"/>
        <v>1</v>
      </c>
    </row>
    <row r="497" spans="3:18" s="6" customFormat="1" x14ac:dyDescent="0.15">
      <c r="C497" s="2" t="s">
        <v>24</v>
      </c>
      <c r="D497" s="2" t="s">
        <v>3</v>
      </c>
      <c r="E497" s="3">
        <v>100</v>
      </c>
      <c r="F497" s="2">
        <v>2</v>
      </c>
      <c r="G497" s="2">
        <v>2</v>
      </c>
      <c r="H497" s="2"/>
      <c r="I497" s="3" t="str">
        <f t="shared" si="485"/>
        <v>100</v>
      </c>
      <c r="J497" s="2"/>
      <c r="K497" s="2"/>
      <c r="L497" s="2"/>
      <c r="M497" s="3" t="s">
        <v>21</v>
      </c>
      <c r="N497" s="2"/>
      <c r="O497" s="2"/>
      <c r="P497" s="2"/>
      <c r="Q497" s="3" t="b">
        <f t="shared" ref="Q497" si="494">getText(I497)=getText(M497)</f>
        <v>1</v>
      </c>
    </row>
    <row r="498" spans="3:18" s="6" customFormat="1" x14ac:dyDescent="0.15">
      <c r="C498" s="6" t="s">
        <v>53</v>
      </c>
      <c r="D498" s="6" t="s">
        <v>4</v>
      </c>
      <c r="E498" s="1">
        <v>110001</v>
      </c>
      <c r="F498" s="6">
        <v>2</v>
      </c>
      <c r="G498" s="6">
        <v>7</v>
      </c>
      <c r="I498" s="1" t="str">
        <f t="shared" si="485"/>
        <v>100</v>
      </c>
      <c r="M498" s="1" t="s">
        <v>21</v>
      </c>
      <c r="Q498" s="1" t="b">
        <f t="shared" ref="Q498" si="495">getText(I498)=getText(M498)</f>
        <v>1</v>
      </c>
    </row>
    <row r="499" spans="3:18" s="6" customFormat="1" x14ac:dyDescent="0.15">
      <c r="C499" s="6" t="s">
        <v>56</v>
      </c>
      <c r="D499" s="6" t="s">
        <v>5</v>
      </c>
      <c r="E499" s="1">
        <v>100000000</v>
      </c>
      <c r="F499" s="6">
        <v>2</v>
      </c>
      <c r="G499" s="6">
        <v>16</v>
      </c>
      <c r="I499" s="1" t="str">
        <f t="shared" si="485"/>
        <v>100</v>
      </c>
      <c r="M499" s="1" t="s">
        <v>21</v>
      </c>
      <c r="Q499" s="1" t="b">
        <f t="shared" ref="Q499" si="496">getText(I499)=getText(M499)</f>
        <v>1</v>
      </c>
    </row>
    <row r="500" spans="3:18" s="6" customFormat="1" x14ac:dyDescent="0.15">
      <c r="D500" s="6" t="s">
        <v>6</v>
      </c>
      <c r="E500" s="1">
        <v>4</v>
      </c>
      <c r="F500" s="7">
        <v>7</v>
      </c>
      <c r="G500" s="7">
        <v>2</v>
      </c>
      <c r="I500" s="1" t="str">
        <f t="shared" si="485"/>
        <v>100</v>
      </c>
      <c r="M500" s="1" t="s">
        <v>21</v>
      </c>
      <c r="Q500" s="1" t="b">
        <f t="shared" ref="Q500:Q502" si="497">getText(I500)=getText(M500)</f>
        <v>1</v>
      </c>
    </row>
    <row r="501" spans="3:18" s="6" customFormat="1" x14ac:dyDescent="0.15">
      <c r="D501" s="6" t="s">
        <v>7</v>
      </c>
      <c r="E501" s="1">
        <v>100</v>
      </c>
      <c r="F501" s="7">
        <v>7</v>
      </c>
      <c r="G501" s="7">
        <v>7</v>
      </c>
      <c r="I501" s="1" t="str">
        <f t="shared" si="485"/>
        <v>100</v>
      </c>
      <c r="M501" s="1" t="s">
        <v>21</v>
      </c>
      <c r="Q501" s="1" t="b">
        <f t="shared" si="497"/>
        <v>1</v>
      </c>
    </row>
    <row r="502" spans="3:18" s="6" customFormat="1" x14ac:dyDescent="0.15">
      <c r="D502" s="6" t="s">
        <v>8</v>
      </c>
      <c r="E502" s="1">
        <v>514</v>
      </c>
      <c r="F502" s="7">
        <v>7</v>
      </c>
      <c r="G502" s="7">
        <v>16</v>
      </c>
      <c r="I502" s="1" t="str">
        <f t="shared" si="485"/>
        <v>100</v>
      </c>
      <c r="M502" s="1" t="s">
        <v>21</v>
      </c>
      <c r="Q502" s="1" t="b">
        <f t="shared" si="497"/>
        <v>1</v>
      </c>
    </row>
    <row r="503" spans="3:18" s="6" customFormat="1" x14ac:dyDescent="0.15">
      <c r="D503" s="6" t="s">
        <v>9</v>
      </c>
      <c r="E503" s="1">
        <v>4</v>
      </c>
      <c r="F503" s="7">
        <v>16</v>
      </c>
      <c r="G503" s="7">
        <v>2</v>
      </c>
      <c r="I503" s="1" t="str">
        <f t="shared" si="485"/>
        <v>100</v>
      </c>
      <c r="M503" s="1" t="s">
        <v>21</v>
      </c>
      <c r="Q503" s="1" t="b">
        <f t="shared" ref="Q503:Q505" si="498">getText(I503)=getText(M503)</f>
        <v>1</v>
      </c>
    </row>
    <row r="504" spans="3:18" s="6" customFormat="1" x14ac:dyDescent="0.15">
      <c r="D504" s="6" t="s">
        <v>10</v>
      </c>
      <c r="E504" s="1">
        <v>31</v>
      </c>
      <c r="F504" s="7">
        <v>16</v>
      </c>
      <c r="G504" s="7">
        <v>7</v>
      </c>
      <c r="I504" s="1" t="str">
        <f t="shared" si="485"/>
        <v>100</v>
      </c>
      <c r="M504" s="1" t="s">
        <v>21</v>
      </c>
      <c r="Q504" s="1" t="b">
        <f t="shared" si="498"/>
        <v>1</v>
      </c>
    </row>
    <row r="505" spans="3:18" s="6" customFormat="1" x14ac:dyDescent="0.15">
      <c r="D505" s="6" t="s">
        <v>11</v>
      </c>
      <c r="E505" s="8">
        <v>100</v>
      </c>
      <c r="F505" s="7">
        <v>16</v>
      </c>
      <c r="G505" s="7">
        <v>16</v>
      </c>
      <c r="I505" s="1" t="str">
        <f t="shared" si="485"/>
        <v>100</v>
      </c>
      <c r="M505" s="1" t="s">
        <v>21</v>
      </c>
      <c r="Q505" s="1" t="b">
        <f t="shared" si="498"/>
        <v>1</v>
      </c>
    </row>
    <row r="506" spans="3:18" s="6" customFormat="1" x14ac:dyDescent="0.15">
      <c r="C506" s="2" t="s">
        <v>27</v>
      </c>
      <c r="D506" s="2" t="s">
        <v>3</v>
      </c>
      <c r="E506" s="3">
        <v>111</v>
      </c>
      <c r="F506" s="2">
        <v>2</v>
      </c>
      <c r="G506" s="2">
        <v>2</v>
      </c>
      <c r="H506" s="2"/>
      <c r="I506" s="3" t="str">
        <f t="shared" si="485"/>
        <v>111</v>
      </c>
      <c r="J506" s="2"/>
      <c r="K506" s="2"/>
      <c r="L506" s="2"/>
      <c r="M506" s="3" t="s">
        <v>31</v>
      </c>
      <c r="N506" s="2"/>
      <c r="O506" s="2"/>
      <c r="P506" s="2"/>
      <c r="Q506" s="3" t="b">
        <f t="shared" ref="Q506:Q508" si="499">getText(I506)=getText(M506)</f>
        <v>1</v>
      </c>
    </row>
    <row r="507" spans="3:18" x14ac:dyDescent="0.15">
      <c r="C507" s="6" t="s">
        <v>53</v>
      </c>
      <c r="D507" s="6" t="s">
        <v>4</v>
      </c>
      <c r="E507" s="1">
        <v>101010110</v>
      </c>
      <c r="F507" s="6">
        <v>2</v>
      </c>
      <c r="G507" s="6">
        <v>7</v>
      </c>
      <c r="I507" s="1" t="str">
        <f t="shared" si="485"/>
        <v>666</v>
      </c>
      <c r="M507" s="1" t="s">
        <v>32</v>
      </c>
      <c r="Q507" s="1" t="b">
        <f t="shared" si="499"/>
        <v>1</v>
      </c>
      <c r="R507" s="6"/>
    </row>
    <row r="508" spans="3:18" x14ac:dyDescent="0.15">
      <c r="C508" s="6" t="s">
        <v>57</v>
      </c>
      <c r="D508" s="6" t="s">
        <v>5</v>
      </c>
      <c r="E508" s="9" t="s">
        <v>30</v>
      </c>
      <c r="F508" s="6">
        <v>2</v>
      </c>
      <c r="G508" s="6">
        <v>16</v>
      </c>
      <c r="I508" s="1" t="str">
        <f t="shared" si="485"/>
        <v>FFF</v>
      </c>
      <c r="M508" s="1" t="s">
        <v>33</v>
      </c>
      <c r="Q508" s="1" t="b">
        <f t="shared" si="499"/>
        <v>1</v>
      </c>
      <c r="R508" s="6"/>
    </row>
    <row r="509" spans="3:18" x14ac:dyDescent="0.15">
      <c r="C509" s="6"/>
      <c r="D509" s="6" t="s">
        <v>6</v>
      </c>
      <c r="E509" s="1">
        <v>10</v>
      </c>
      <c r="F509" s="7">
        <v>7</v>
      </c>
      <c r="G509" s="7">
        <v>2</v>
      </c>
      <c r="I509" s="1" t="str">
        <f t="shared" si="485"/>
        <v>111</v>
      </c>
      <c r="M509" s="1" t="s">
        <v>31</v>
      </c>
      <c r="Q509" s="1" t="b">
        <f t="shared" ref="Q509:Q523" si="500">getText(I509)=getText(M509)</f>
        <v>1</v>
      </c>
      <c r="R509" s="6"/>
    </row>
    <row r="510" spans="3:18" x14ac:dyDescent="0.15">
      <c r="C510" s="6"/>
      <c r="D510" s="6" t="s">
        <v>7</v>
      </c>
      <c r="E510" s="1">
        <v>666</v>
      </c>
      <c r="F510" s="7">
        <v>7</v>
      </c>
      <c r="G510" s="7">
        <v>7</v>
      </c>
      <c r="I510" s="1" t="str">
        <f t="shared" ref="I510" si="501">TESTconvIntPrtOfNPntToIntPrtOfNPnt(E510,F510,G510)</f>
        <v>666</v>
      </c>
      <c r="M510" s="1" t="s">
        <v>32</v>
      </c>
      <c r="Q510" s="1" t="b">
        <f t="shared" si="500"/>
        <v>1</v>
      </c>
      <c r="R510" s="6"/>
    </row>
    <row r="511" spans="3:18" x14ac:dyDescent="0.15">
      <c r="C511" s="6"/>
      <c r="D511" s="6" t="s">
        <v>8</v>
      </c>
      <c r="E511" s="1">
        <v>14640</v>
      </c>
      <c r="F511" s="7">
        <v>7</v>
      </c>
      <c r="G511" s="7">
        <v>16</v>
      </c>
      <c r="I511" s="1" t="str">
        <f t="shared" ref="I511" si="502">TESTconvIntPrtOfNPntToIntPrtOfNPnt(E511,F511,G511)</f>
        <v>FFF</v>
      </c>
      <c r="M511" s="1" t="s">
        <v>33</v>
      </c>
      <c r="Q511" s="1" t="b">
        <f t="shared" si="500"/>
        <v>1</v>
      </c>
      <c r="R511" s="6"/>
    </row>
    <row r="512" spans="3:18" x14ac:dyDescent="0.15">
      <c r="C512" s="6"/>
      <c r="D512" s="6" t="s">
        <v>9</v>
      </c>
      <c r="E512" s="1">
        <v>7</v>
      </c>
      <c r="F512" s="7">
        <v>16</v>
      </c>
      <c r="G512" s="7">
        <v>2</v>
      </c>
      <c r="I512" s="1" t="str">
        <f t="shared" ref="I512:I523" si="503">TESTconvIntPrtOfNPntToIntPrtOfNPnt(E512,F512,G512)</f>
        <v>111</v>
      </c>
      <c r="M512" s="1" t="s">
        <v>31</v>
      </c>
      <c r="Q512" s="1" t="b">
        <f t="shared" si="500"/>
        <v>1</v>
      </c>
      <c r="R512" s="6"/>
    </row>
    <row r="513" spans="1:18" x14ac:dyDescent="0.15">
      <c r="C513" s="6"/>
      <c r="D513" s="6" t="s">
        <v>10</v>
      </c>
      <c r="E513" s="1">
        <v>156</v>
      </c>
      <c r="F513" s="7">
        <v>16</v>
      </c>
      <c r="G513" s="7">
        <v>7</v>
      </c>
      <c r="I513" s="1" t="str">
        <f t="shared" si="503"/>
        <v>666</v>
      </c>
      <c r="M513" s="1" t="s">
        <v>32</v>
      </c>
      <c r="Q513" s="1" t="b">
        <f t="shared" si="500"/>
        <v>1</v>
      </c>
      <c r="R513" s="6"/>
    </row>
    <row r="514" spans="1:18" x14ac:dyDescent="0.15">
      <c r="C514" s="6"/>
      <c r="D514" s="6" t="s">
        <v>11</v>
      </c>
      <c r="E514" s="8" t="s">
        <v>35</v>
      </c>
      <c r="F514" s="7">
        <v>16</v>
      </c>
      <c r="G514" s="7">
        <v>16</v>
      </c>
      <c r="I514" s="1" t="str">
        <f t="shared" si="503"/>
        <v>FFF</v>
      </c>
      <c r="M514" s="1" t="s">
        <v>33</v>
      </c>
      <c r="Q514" s="1" t="b">
        <f t="shared" si="500"/>
        <v>1</v>
      </c>
      <c r="R514" s="6"/>
    </row>
    <row r="515" spans="1:18" x14ac:dyDescent="0.15">
      <c r="C515" s="2" t="s">
        <v>28</v>
      </c>
      <c r="D515" s="2" t="s">
        <v>3</v>
      </c>
      <c r="E515" s="3">
        <v>1000</v>
      </c>
      <c r="F515" s="2">
        <v>2</v>
      </c>
      <c r="G515" s="2">
        <v>2</v>
      </c>
      <c r="H515" s="2"/>
      <c r="I515" s="3" t="str">
        <f t="shared" si="503"/>
        <v>1000</v>
      </c>
      <c r="J515" s="2"/>
      <c r="K515" s="2"/>
      <c r="L515" s="2"/>
      <c r="M515" s="3" t="s">
        <v>34</v>
      </c>
      <c r="N515" s="2"/>
      <c r="O515" s="2"/>
      <c r="P515" s="2"/>
      <c r="Q515" s="3" t="b">
        <f t="shared" si="500"/>
        <v>1</v>
      </c>
      <c r="R515" s="6"/>
    </row>
    <row r="516" spans="1:18" x14ac:dyDescent="0.15">
      <c r="C516" s="6" t="s">
        <v>53</v>
      </c>
      <c r="D516" s="6" t="s">
        <v>4</v>
      </c>
      <c r="E516" s="1">
        <v>101010111</v>
      </c>
      <c r="F516" s="6">
        <v>2</v>
      </c>
      <c r="G516" s="6">
        <v>7</v>
      </c>
      <c r="I516" s="1" t="str">
        <f t="shared" si="503"/>
        <v>1000</v>
      </c>
      <c r="M516" s="1" t="s">
        <v>34</v>
      </c>
      <c r="Q516" s="1" t="b">
        <f t="shared" si="500"/>
        <v>1</v>
      </c>
      <c r="R516" s="6"/>
    </row>
    <row r="517" spans="1:18" x14ac:dyDescent="0.15">
      <c r="C517" s="6" t="s">
        <v>58</v>
      </c>
      <c r="D517" s="6" t="s">
        <v>5</v>
      </c>
      <c r="E517" s="9" t="s">
        <v>29</v>
      </c>
      <c r="F517" s="6">
        <v>2</v>
      </c>
      <c r="G517" s="6">
        <v>16</v>
      </c>
      <c r="I517" s="1" t="str">
        <f t="shared" si="503"/>
        <v>1000</v>
      </c>
      <c r="M517" s="1" t="s">
        <v>34</v>
      </c>
      <c r="Q517" s="1" t="b">
        <f t="shared" si="500"/>
        <v>1</v>
      </c>
      <c r="R517" s="6"/>
    </row>
    <row r="518" spans="1:18" x14ac:dyDescent="0.15">
      <c r="C518" s="6"/>
      <c r="D518" s="6" t="s">
        <v>6</v>
      </c>
      <c r="E518" s="1">
        <v>11</v>
      </c>
      <c r="F518" s="7">
        <v>7</v>
      </c>
      <c r="G518" s="7">
        <v>2</v>
      </c>
      <c r="I518" s="1" t="str">
        <f t="shared" si="503"/>
        <v>1000</v>
      </c>
      <c r="M518" s="1" t="s">
        <v>34</v>
      </c>
      <c r="Q518" s="1" t="b">
        <f t="shared" si="500"/>
        <v>1</v>
      </c>
      <c r="R518" s="6"/>
    </row>
    <row r="519" spans="1:18" x14ac:dyDescent="0.15">
      <c r="C519" s="6"/>
      <c r="D519" s="6" t="s">
        <v>7</v>
      </c>
      <c r="E519" s="1">
        <v>1000</v>
      </c>
      <c r="F519" s="7">
        <v>7</v>
      </c>
      <c r="G519" s="7">
        <v>7</v>
      </c>
      <c r="I519" s="1" t="str">
        <f t="shared" si="503"/>
        <v>1000</v>
      </c>
      <c r="M519" s="1" t="s">
        <v>34</v>
      </c>
      <c r="Q519" s="1" t="b">
        <f t="shared" si="500"/>
        <v>1</v>
      </c>
      <c r="R519" s="6"/>
    </row>
    <row r="520" spans="1:18" x14ac:dyDescent="0.15">
      <c r="C520" s="6"/>
      <c r="D520" s="6" t="s">
        <v>8</v>
      </c>
      <c r="E520" s="1">
        <v>14641</v>
      </c>
      <c r="F520" s="7">
        <v>7</v>
      </c>
      <c r="G520" s="7">
        <v>16</v>
      </c>
      <c r="I520" s="1" t="str">
        <f t="shared" si="503"/>
        <v>1000</v>
      </c>
      <c r="M520" s="1" t="s">
        <v>34</v>
      </c>
      <c r="Q520" s="1" t="b">
        <f t="shared" si="500"/>
        <v>1</v>
      </c>
      <c r="R520" s="6"/>
    </row>
    <row r="521" spans="1:18" x14ac:dyDescent="0.15">
      <c r="C521" s="6"/>
      <c r="D521" s="6" t="s">
        <v>9</v>
      </c>
      <c r="E521" s="1">
        <v>8</v>
      </c>
      <c r="F521" s="7">
        <v>16</v>
      </c>
      <c r="G521" s="7">
        <v>2</v>
      </c>
      <c r="I521" s="1" t="str">
        <f t="shared" si="503"/>
        <v>1000</v>
      </c>
      <c r="M521" s="1" t="s">
        <v>34</v>
      </c>
      <c r="Q521" s="1" t="b">
        <f t="shared" si="500"/>
        <v>1</v>
      </c>
      <c r="R521" s="6"/>
    </row>
    <row r="522" spans="1:18" x14ac:dyDescent="0.15">
      <c r="C522" s="6"/>
      <c r="D522" s="6" t="s">
        <v>10</v>
      </c>
      <c r="E522" s="1">
        <v>157</v>
      </c>
      <c r="F522" s="7">
        <v>16</v>
      </c>
      <c r="G522" s="7">
        <v>7</v>
      </c>
      <c r="I522" s="1" t="str">
        <f t="shared" si="503"/>
        <v>1000</v>
      </c>
      <c r="M522" s="1" t="s">
        <v>34</v>
      </c>
      <c r="Q522" s="1" t="b">
        <f t="shared" si="500"/>
        <v>1</v>
      </c>
      <c r="R522" s="6"/>
    </row>
    <row r="523" spans="1:18" x14ac:dyDescent="0.15">
      <c r="C523" s="6"/>
      <c r="D523" s="6" t="s">
        <v>11</v>
      </c>
      <c r="E523" s="1">
        <v>1000</v>
      </c>
      <c r="F523" s="7">
        <v>16</v>
      </c>
      <c r="G523" s="7">
        <v>16</v>
      </c>
      <c r="I523" s="1" t="str">
        <f t="shared" si="503"/>
        <v>1000</v>
      </c>
      <c r="M523" s="1" t="s">
        <v>34</v>
      </c>
      <c r="Q523" s="1" t="b">
        <f t="shared" si="500"/>
        <v>1</v>
      </c>
      <c r="R523" s="6"/>
    </row>
    <row r="524" spans="1:18" x14ac:dyDescent="0.15">
      <c r="A524" s="2" t="s">
        <v>441</v>
      </c>
      <c r="B524" s="2" t="s">
        <v>471</v>
      </c>
      <c r="C524" s="25" t="s">
        <v>456</v>
      </c>
      <c r="D524" s="2" t="s">
        <v>3</v>
      </c>
      <c r="E524" s="3">
        <v>0</v>
      </c>
      <c r="F524" s="2">
        <v>2</v>
      </c>
      <c r="G524" s="2">
        <v>2</v>
      </c>
      <c r="H524" s="2">
        <v>10</v>
      </c>
      <c r="I524" s="3" t="str">
        <f>TESTconvFrcPrtOfNPntToFrcPrtOfNPnt(E524,F524,G524,H524)</f>
        <v>0</v>
      </c>
      <c r="J524" s="2"/>
      <c r="K524" s="2"/>
      <c r="L524" s="2"/>
      <c r="M524" s="3" t="s">
        <v>14</v>
      </c>
      <c r="N524" s="2"/>
      <c r="O524" s="2"/>
      <c r="P524" s="2"/>
      <c r="Q524" s="3" t="b">
        <f t="shared" ref="Q524:Q534" si="504">getText(I524)=getText(M524)</f>
        <v>1</v>
      </c>
      <c r="R524" s="6"/>
    </row>
    <row r="525" spans="1:18" x14ac:dyDescent="0.15">
      <c r="A525" s="6"/>
      <c r="B525" s="6"/>
      <c r="C525" s="6"/>
      <c r="D525" s="6" t="s">
        <v>4</v>
      </c>
      <c r="E525" s="1">
        <v>0</v>
      </c>
      <c r="F525" s="7">
        <v>2</v>
      </c>
      <c r="G525" s="7">
        <v>7</v>
      </c>
      <c r="H525" s="6">
        <v>10</v>
      </c>
      <c r="I525" s="1" t="str">
        <f t="shared" ref="I525:I526" si="505">TESTconvFrcPrtOfNPntToFrcPrtOfNPnt(E525,F525,G525,H525)</f>
        <v>0</v>
      </c>
      <c r="J525" s="6"/>
      <c r="K525" s="6"/>
      <c r="L525" s="6"/>
      <c r="M525" s="1" t="s">
        <v>14</v>
      </c>
      <c r="N525" s="6"/>
      <c r="O525" s="6"/>
      <c r="P525" s="6"/>
      <c r="Q525" s="1" t="b">
        <f t="shared" si="504"/>
        <v>1</v>
      </c>
      <c r="R525" s="6"/>
    </row>
    <row r="526" spans="1:18" x14ac:dyDescent="0.15">
      <c r="D526" s="6" t="s">
        <v>5</v>
      </c>
      <c r="E526" s="1">
        <v>0</v>
      </c>
      <c r="F526" s="7">
        <v>2</v>
      </c>
      <c r="G526" s="7">
        <v>16</v>
      </c>
      <c r="H526" s="7">
        <v>10</v>
      </c>
      <c r="I526" s="1" t="str">
        <f t="shared" si="505"/>
        <v>0</v>
      </c>
      <c r="M526" s="1" t="s">
        <v>14</v>
      </c>
      <c r="Q526" s="1" t="b">
        <f t="shared" si="504"/>
        <v>1</v>
      </c>
      <c r="R526" s="6"/>
    </row>
    <row r="527" spans="1:18" x14ac:dyDescent="0.15">
      <c r="D527" s="6" t="s">
        <v>6</v>
      </c>
      <c r="E527" s="1">
        <v>0</v>
      </c>
      <c r="F527" s="7">
        <v>7</v>
      </c>
      <c r="G527" s="6">
        <v>2</v>
      </c>
      <c r="H527" s="7">
        <v>10</v>
      </c>
      <c r="I527" s="1" t="str">
        <f t="shared" ref="I527:I534" si="506">TESTconvFrcPrtOfNPntToFrcPrtOfNPnt(E527,F527,G527,H527)</f>
        <v>0</v>
      </c>
      <c r="M527" s="1" t="s">
        <v>14</v>
      </c>
      <c r="Q527" s="1" t="b">
        <f t="shared" si="504"/>
        <v>1</v>
      </c>
      <c r="R527" s="6"/>
    </row>
    <row r="528" spans="1:18" x14ac:dyDescent="0.15">
      <c r="D528" s="6" t="s">
        <v>7</v>
      </c>
      <c r="E528" s="1">
        <v>0</v>
      </c>
      <c r="F528" s="7">
        <v>7</v>
      </c>
      <c r="G528" s="7">
        <v>7</v>
      </c>
      <c r="H528">
        <v>10</v>
      </c>
      <c r="I528" s="1" t="str">
        <f t="shared" si="506"/>
        <v>0</v>
      </c>
      <c r="M528" s="1" t="s">
        <v>14</v>
      </c>
      <c r="Q528" s="1" t="b">
        <f t="shared" si="504"/>
        <v>1</v>
      </c>
      <c r="R528" s="6"/>
    </row>
    <row r="529" spans="2:18" x14ac:dyDescent="0.15">
      <c r="D529" s="6" t="s">
        <v>570</v>
      </c>
      <c r="E529" s="1">
        <v>0</v>
      </c>
      <c r="F529" s="7">
        <v>7</v>
      </c>
      <c r="G529" s="7">
        <v>16</v>
      </c>
      <c r="H529" s="7">
        <v>0</v>
      </c>
      <c r="I529" s="1" t="str">
        <f>TESTconvFrcPrtOfNPntToFrcPrtOfNPnt(E529,F529,G529,H529)</f>
        <v/>
      </c>
      <c r="Q529" s="1" t="b">
        <f t="shared" si="504"/>
        <v>1</v>
      </c>
      <c r="R529" s="6"/>
    </row>
    <row r="530" spans="2:18" x14ac:dyDescent="0.15">
      <c r="D530" s="6" t="s">
        <v>8</v>
      </c>
      <c r="E530" s="1">
        <v>0</v>
      </c>
      <c r="F530" s="7">
        <v>7</v>
      </c>
      <c r="G530" s="7">
        <v>16</v>
      </c>
      <c r="H530">
        <v>10</v>
      </c>
      <c r="I530" s="1" t="str">
        <f t="shared" si="506"/>
        <v>0</v>
      </c>
      <c r="M530" s="1" t="s">
        <v>14</v>
      </c>
      <c r="Q530" s="1" t="b">
        <f t="shared" si="504"/>
        <v>1</v>
      </c>
      <c r="R530" s="6"/>
    </row>
    <row r="531" spans="2:18" x14ac:dyDescent="0.15">
      <c r="D531" s="6" t="s">
        <v>571</v>
      </c>
      <c r="E531" s="1">
        <v>0</v>
      </c>
      <c r="F531" s="7">
        <v>7</v>
      </c>
      <c r="G531" s="7">
        <v>16</v>
      </c>
      <c r="H531">
        <v>0</v>
      </c>
      <c r="I531" s="1" t="str">
        <f t="shared" ref="I531" si="507">TESTconvFrcPrtOfNPntToFrcPrtOfNPnt(E531,F531,G531,H531)</f>
        <v/>
      </c>
      <c r="Q531" s="1" t="b">
        <f t="shared" ref="Q531" si="508">getText(I531)=getText(M531)</f>
        <v>1</v>
      </c>
      <c r="R531" s="6"/>
    </row>
    <row r="532" spans="2:18" x14ac:dyDescent="0.15">
      <c r="D532" s="6" t="s">
        <v>9</v>
      </c>
      <c r="E532" s="1">
        <v>0</v>
      </c>
      <c r="F532" s="7">
        <v>16</v>
      </c>
      <c r="G532" s="6">
        <v>2</v>
      </c>
      <c r="H532">
        <v>10</v>
      </c>
      <c r="I532" s="1" t="str">
        <f t="shared" si="506"/>
        <v>0</v>
      </c>
      <c r="M532" s="1" t="s">
        <v>14</v>
      </c>
      <c r="Q532" s="1" t="b">
        <f t="shared" si="504"/>
        <v>1</v>
      </c>
      <c r="R532" s="6"/>
    </row>
    <row r="533" spans="2:18" x14ac:dyDescent="0.15">
      <c r="D533" s="6" t="s">
        <v>10</v>
      </c>
      <c r="E533" s="1">
        <v>0</v>
      </c>
      <c r="F533" s="7">
        <v>16</v>
      </c>
      <c r="G533" s="7">
        <v>7</v>
      </c>
      <c r="H533">
        <v>10</v>
      </c>
      <c r="I533" s="1" t="str">
        <f t="shared" si="506"/>
        <v>0</v>
      </c>
      <c r="M533" s="1" t="s">
        <v>14</v>
      </c>
      <c r="Q533" s="1" t="b">
        <f t="shared" si="504"/>
        <v>1</v>
      </c>
      <c r="R533" s="6"/>
    </row>
    <row r="534" spans="2:18" x14ac:dyDescent="0.15">
      <c r="D534" s="6" t="s">
        <v>11</v>
      </c>
      <c r="E534" s="1">
        <v>0</v>
      </c>
      <c r="F534" s="7">
        <v>16</v>
      </c>
      <c r="G534" s="7">
        <v>16</v>
      </c>
      <c r="H534">
        <v>10</v>
      </c>
      <c r="I534" s="1" t="str">
        <f t="shared" si="506"/>
        <v>0</v>
      </c>
      <c r="M534" s="1" t="s">
        <v>14</v>
      </c>
      <c r="Q534" s="1" t="b">
        <f t="shared" si="504"/>
        <v>1</v>
      </c>
      <c r="R534" s="6"/>
    </row>
    <row r="535" spans="2:18" x14ac:dyDescent="0.15">
      <c r="B535" s="2" t="s">
        <v>472</v>
      </c>
      <c r="C535" s="22">
        <v>0.1</v>
      </c>
      <c r="D535" s="2" t="s">
        <v>3</v>
      </c>
      <c r="E535" s="3">
        <v>1</v>
      </c>
      <c r="F535" s="2">
        <v>2</v>
      </c>
      <c r="G535" s="2">
        <v>2</v>
      </c>
      <c r="H535" s="2">
        <v>10</v>
      </c>
      <c r="I535" s="3" t="str">
        <f t="shared" ref="I535:I543" si="509">TESTconvFrcPrtOfNPntToFrcPrtOfNPnt(E535,F535,G535,H535)</f>
        <v>1</v>
      </c>
      <c r="J535" s="2"/>
      <c r="K535" s="2"/>
      <c r="L535" s="2"/>
      <c r="M535" s="3" t="s">
        <v>44</v>
      </c>
      <c r="N535" s="2"/>
      <c r="O535" s="2"/>
      <c r="P535" s="2"/>
      <c r="Q535" s="3" t="b">
        <f t="shared" ref="Q535" si="510">getText(I535)=getText(M535)</f>
        <v>1</v>
      </c>
      <c r="R535" s="6"/>
    </row>
    <row r="536" spans="2:18" x14ac:dyDescent="0.15">
      <c r="D536" s="6" t="s">
        <v>4</v>
      </c>
      <c r="E536" s="1">
        <v>1</v>
      </c>
      <c r="F536">
        <v>2</v>
      </c>
      <c r="G536">
        <v>7</v>
      </c>
      <c r="H536">
        <v>10</v>
      </c>
      <c r="I536" s="1" t="str">
        <f t="shared" si="509"/>
        <v>3333333333</v>
      </c>
      <c r="M536" s="1" t="s">
        <v>443</v>
      </c>
      <c r="Q536" s="1" t="b">
        <f t="shared" ref="Q536" si="511">getText(I536)=getText(M536)</f>
        <v>1</v>
      </c>
      <c r="R536" s="6"/>
    </row>
    <row r="537" spans="2:18" x14ac:dyDescent="0.15">
      <c r="D537" s="6" t="s">
        <v>5</v>
      </c>
      <c r="E537" s="1">
        <v>1</v>
      </c>
      <c r="F537">
        <v>2</v>
      </c>
      <c r="G537">
        <v>16</v>
      </c>
      <c r="H537">
        <v>10</v>
      </c>
      <c r="I537" s="1" t="str">
        <f t="shared" si="509"/>
        <v>8</v>
      </c>
      <c r="M537" s="1" t="s">
        <v>444</v>
      </c>
      <c r="Q537" s="1" t="b">
        <f t="shared" ref="Q537" si="512">getText(I537)=getText(M537)</f>
        <v>1</v>
      </c>
      <c r="R537" s="6"/>
    </row>
    <row r="538" spans="2:18" x14ac:dyDescent="0.15">
      <c r="D538" s="6" t="s">
        <v>6</v>
      </c>
      <c r="E538" s="1">
        <v>1</v>
      </c>
      <c r="F538">
        <v>7</v>
      </c>
      <c r="G538">
        <v>2</v>
      </c>
      <c r="H538">
        <v>10</v>
      </c>
      <c r="I538" s="1" t="str">
        <f t="shared" si="509"/>
        <v>0010010010</v>
      </c>
      <c r="M538" s="1" t="s">
        <v>445</v>
      </c>
      <c r="Q538" s="1" t="b">
        <f t="shared" ref="Q538" si="513">getText(I538)=getText(M538)</f>
        <v>1</v>
      </c>
      <c r="R538" s="6"/>
    </row>
    <row r="539" spans="2:18" x14ac:dyDescent="0.15">
      <c r="D539" s="6" t="s">
        <v>7</v>
      </c>
      <c r="E539" s="1">
        <v>1</v>
      </c>
      <c r="F539">
        <v>7</v>
      </c>
      <c r="G539">
        <v>7</v>
      </c>
      <c r="H539">
        <v>10</v>
      </c>
      <c r="I539" s="1" t="str">
        <f t="shared" si="509"/>
        <v>1</v>
      </c>
      <c r="M539" s="1" t="s">
        <v>44</v>
      </c>
      <c r="Q539" s="1" t="b">
        <f t="shared" ref="Q539" si="514">getText(I539)=getText(M539)</f>
        <v>1</v>
      </c>
      <c r="R539" s="6"/>
    </row>
    <row r="540" spans="2:18" x14ac:dyDescent="0.15">
      <c r="D540" s="6" t="s">
        <v>8</v>
      </c>
      <c r="E540" s="1">
        <v>1</v>
      </c>
      <c r="F540">
        <v>7</v>
      </c>
      <c r="G540">
        <v>16</v>
      </c>
      <c r="H540">
        <v>10</v>
      </c>
      <c r="I540" s="1" t="str">
        <f t="shared" si="509"/>
        <v>2492492492</v>
      </c>
      <c r="M540" s="1" t="s">
        <v>446</v>
      </c>
      <c r="Q540" s="1" t="b">
        <f t="shared" ref="Q540" si="515">getText(I540)=getText(M540)</f>
        <v>1</v>
      </c>
      <c r="R540" s="6"/>
    </row>
    <row r="541" spans="2:18" x14ac:dyDescent="0.15">
      <c r="D541" s="6" t="s">
        <v>9</v>
      </c>
      <c r="E541" s="1">
        <v>1</v>
      </c>
      <c r="F541">
        <v>16</v>
      </c>
      <c r="G541">
        <v>2</v>
      </c>
      <c r="H541">
        <v>10</v>
      </c>
      <c r="I541" s="1" t="str">
        <f t="shared" si="509"/>
        <v>0001</v>
      </c>
      <c r="M541" s="1" t="s">
        <v>447</v>
      </c>
      <c r="Q541" s="1" t="b">
        <f t="shared" ref="Q541" si="516">getText(I541)=getText(M541)</f>
        <v>1</v>
      </c>
      <c r="R541" s="6"/>
    </row>
    <row r="542" spans="2:18" x14ac:dyDescent="0.15">
      <c r="D542" s="6" t="s">
        <v>10</v>
      </c>
      <c r="E542" s="1">
        <v>1</v>
      </c>
      <c r="F542">
        <v>16</v>
      </c>
      <c r="G542">
        <v>7</v>
      </c>
      <c r="H542">
        <v>10</v>
      </c>
      <c r="I542" s="1" t="str">
        <f t="shared" si="509"/>
        <v>0303030303</v>
      </c>
      <c r="M542" s="1" t="s">
        <v>448</v>
      </c>
      <c r="Q542" s="1" t="b">
        <f t="shared" ref="Q542:Q543" si="517">getText(I542)=getText(M542)</f>
        <v>1</v>
      </c>
      <c r="R542" s="6"/>
    </row>
    <row r="543" spans="2:18" x14ac:dyDescent="0.15">
      <c r="D543" s="6" t="s">
        <v>11</v>
      </c>
      <c r="E543" s="1">
        <v>1</v>
      </c>
      <c r="F543">
        <v>16</v>
      </c>
      <c r="G543">
        <v>16</v>
      </c>
      <c r="H543">
        <v>10</v>
      </c>
      <c r="I543" s="1" t="str">
        <f t="shared" si="509"/>
        <v>1</v>
      </c>
      <c r="M543" s="1" t="s">
        <v>44</v>
      </c>
      <c r="Q543" s="1" t="b">
        <f t="shared" si="517"/>
        <v>1</v>
      </c>
      <c r="R543" s="6"/>
    </row>
    <row r="544" spans="2:18" x14ac:dyDescent="0.15">
      <c r="B544" s="2" t="s">
        <v>473</v>
      </c>
      <c r="C544" s="25" t="s">
        <v>457</v>
      </c>
      <c r="D544" s="2" t="s">
        <v>3</v>
      </c>
      <c r="E544" s="3">
        <v>10</v>
      </c>
      <c r="F544" s="2">
        <v>2</v>
      </c>
      <c r="G544" s="2">
        <v>2</v>
      </c>
      <c r="H544" s="2">
        <v>10</v>
      </c>
      <c r="I544" s="3" t="str">
        <f t="shared" ref="I544:I552" si="518">TESTconvFrcPrtOfNPntToFrcPrtOfNPnt(E544,F544,G544,H544)</f>
        <v>1</v>
      </c>
      <c r="J544" s="2"/>
      <c r="K544" s="2"/>
      <c r="L544" s="2"/>
      <c r="M544" s="3" t="s">
        <v>44</v>
      </c>
      <c r="N544" s="2"/>
      <c r="O544" s="2"/>
      <c r="P544" s="2"/>
      <c r="Q544" s="3" t="b">
        <f t="shared" ref="Q544:Q552" si="519">getText(I544)=getText(M544)</f>
        <v>1</v>
      </c>
      <c r="R544" s="6"/>
    </row>
    <row r="545" spans="2:18" x14ac:dyDescent="0.15">
      <c r="D545" s="6" t="s">
        <v>4</v>
      </c>
      <c r="E545" s="1">
        <v>10</v>
      </c>
      <c r="F545">
        <v>2</v>
      </c>
      <c r="G545">
        <v>7</v>
      </c>
      <c r="H545">
        <v>10</v>
      </c>
      <c r="I545" s="1" t="str">
        <f t="shared" si="518"/>
        <v>3333333333</v>
      </c>
      <c r="M545" s="1" t="s">
        <v>443</v>
      </c>
      <c r="Q545" s="1" t="b">
        <f t="shared" si="519"/>
        <v>1</v>
      </c>
      <c r="R545" s="6"/>
    </row>
    <row r="546" spans="2:18" x14ac:dyDescent="0.15">
      <c r="D546" s="6" t="s">
        <v>5</v>
      </c>
      <c r="E546" s="1">
        <v>10</v>
      </c>
      <c r="F546">
        <v>2</v>
      </c>
      <c r="G546">
        <v>16</v>
      </c>
      <c r="H546">
        <v>10</v>
      </c>
      <c r="I546" s="1" t="str">
        <f t="shared" si="518"/>
        <v>8</v>
      </c>
      <c r="M546" s="1" t="s">
        <v>444</v>
      </c>
      <c r="Q546" s="1" t="b">
        <f t="shared" si="519"/>
        <v>1</v>
      </c>
      <c r="R546" s="6"/>
    </row>
    <row r="547" spans="2:18" x14ac:dyDescent="0.15">
      <c r="D547" s="6" t="s">
        <v>6</v>
      </c>
      <c r="E547" s="1">
        <v>10</v>
      </c>
      <c r="F547">
        <v>7</v>
      </c>
      <c r="G547">
        <v>2</v>
      </c>
      <c r="H547">
        <v>10</v>
      </c>
      <c r="I547" s="1" t="str">
        <f t="shared" si="518"/>
        <v>0010010010</v>
      </c>
      <c r="M547" s="1" t="s">
        <v>445</v>
      </c>
      <c r="Q547" s="1" t="b">
        <f t="shared" si="519"/>
        <v>1</v>
      </c>
      <c r="R547" s="6"/>
    </row>
    <row r="548" spans="2:18" x14ac:dyDescent="0.15">
      <c r="D548" s="6" t="s">
        <v>7</v>
      </c>
      <c r="E548" s="1">
        <v>10</v>
      </c>
      <c r="F548">
        <v>7</v>
      </c>
      <c r="G548">
        <v>7</v>
      </c>
      <c r="H548">
        <v>10</v>
      </c>
      <c r="I548" s="1" t="str">
        <f t="shared" si="518"/>
        <v>1</v>
      </c>
      <c r="M548" s="1" t="s">
        <v>44</v>
      </c>
      <c r="Q548" s="1" t="b">
        <f t="shared" si="519"/>
        <v>1</v>
      </c>
      <c r="R548" s="6"/>
    </row>
    <row r="549" spans="2:18" x14ac:dyDescent="0.15">
      <c r="D549" s="6" t="s">
        <v>8</v>
      </c>
      <c r="E549" s="1">
        <v>10</v>
      </c>
      <c r="F549">
        <v>7</v>
      </c>
      <c r="G549">
        <v>16</v>
      </c>
      <c r="H549">
        <v>10</v>
      </c>
      <c r="I549" s="1" t="str">
        <f t="shared" si="518"/>
        <v>2492492492</v>
      </c>
      <c r="M549" s="1" t="s">
        <v>446</v>
      </c>
      <c r="Q549" s="1" t="b">
        <f t="shared" si="519"/>
        <v>1</v>
      </c>
      <c r="R549" s="6"/>
    </row>
    <row r="550" spans="2:18" x14ac:dyDescent="0.15">
      <c r="D550" s="6" t="s">
        <v>9</v>
      </c>
      <c r="E550" s="1">
        <v>10</v>
      </c>
      <c r="F550">
        <v>16</v>
      </c>
      <c r="G550">
        <v>2</v>
      </c>
      <c r="H550">
        <v>10</v>
      </c>
      <c r="I550" s="1" t="str">
        <f t="shared" si="518"/>
        <v>0001</v>
      </c>
      <c r="M550" s="1" t="s">
        <v>447</v>
      </c>
      <c r="Q550" s="1" t="b">
        <f t="shared" si="519"/>
        <v>1</v>
      </c>
      <c r="R550" s="6"/>
    </row>
    <row r="551" spans="2:18" x14ac:dyDescent="0.15">
      <c r="D551" s="6" t="s">
        <v>10</v>
      </c>
      <c r="E551" s="1">
        <v>10</v>
      </c>
      <c r="F551">
        <v>16</v>
      </c>
      <c r="G551">
        <v>7</v>
      </c>
      <c r="H551">
        <v>10</v>
      </c>
      <c r="I551" s="1" t="str">
        <f t="shared" si="518"/>
        <v>0303030303</v>
      </c>
      <c r="M551" s="1" t="s">
        <v>448</v>
      </c>
      <c r="Q551" s="1" t="b">
        <f t="shared" si="519"/>
        <v>1</v>
      </c>
      <c r="R551" s="6"/>
    </row>
    <row r="552" spans="2:18" x14ac:dyDescent="0.15">
      <c r="D552" s="6" t="s">
        <v>11</v>
      </c>
      <c r="E552" s="1">
        <v>10</v>
      </c>
      <c r="F552">
        <v>16</v>
      </c>
      <c r="G552">
        <v>16</v>
      </c>
      <c r="H552">
        <v>10</v>
      </c>
      <c r="I552" s="1" t="str">
        <f t="shared" si="518"/>
        <v>1</v>
      </c>
      <c r="M552" s="1" t="s">
        <v>44</v>
      </c>
      <c r="Q552" s="1" t="b">
        <f t="shared" si="519"/>
        <v>1</v>
      </c>
      <c r="R552" s="6"/>
    </row>
    <row r="553" spans="2:18" x14ac:dyDescent="0.15">
      <c r="B553" s="2" t="s">
        <v>474</v>
      </c>
      <c r="C553" s="2" t="s">
        <v>219</v>
      </c>
      <c r="D553" s="2" t="s">
        <v>449</v>
      </c>
      <c r="E553" s="11" t="s">
        <v>465</v>
      </c>
      <c r="F553" s="2">
        <v>2</v>
      </c>
      <c r="G553" s="2">
        <v>4</v>
      </c>
      <c r="H553" s="2">
        <v>10</v>
      </c>
      <c r="I553" s="3" t="str">
        <f t="shared" ref="I553:I555" si="520">TESTconvFrcPrtOfNPntToFrcPrtOfNPnt(E553,F553,G553,H553)</f>
        <v>1</v>
      </c>
      <c r="J553" s="2"/>
      <c r="K553" s="2"/>
      <c r="L553" s="2"/>
      <c r="M553" s="3" t="s">
        <v>44</v>
      </c>
      <c r="N553" s="2"/>
      <c r="O553" s="2"/>
      <c r="P553" s="2"/>
      <c r="Q553" s="3" t="b">
        <f t="shared" ref="Q553:Q561" si="521">getText(I553)=getText(M553)</f>
        <v>1</v>
      </c>
      <c r="R553" s="6"/>
    </row>
    <row r="554" spans="2:18" x14ac:dyDescent="0.15">
      <c r="D554" s="6" t="s">
        <v>450</v>
      </c>
      <c r="E554" s="9" t="s">
        <v>458</v>
      </c>
      <c r="F554">
        <v>2</v>
      </c>
      <c r="G554">
        <v>8</v>
      </c>
      <c r="H554">
        <v>10</v>
      </c>
      <c r="I554" s="1" t="str">
        <f t="shared" si="520"/>
        <v>1</v>
      </c>
      <c r="M554" s="1" t="s">
        <v>44</v>
      </c>
      <c r="Q554" s="1" t="b">
        <f>getText(I554)=getText(M554)</f>
        <v>1</v>
      </c>
      <c r="R554" s="6"/>
    </row>
    <row r="555" spans="2:18" x14ac:dyDescent="0.15">
      <c r="D555" s="6" t="s">
        <v>5</v>
      </c>
      <c r="E555" s="9" t="s">
        <v>459</v>
      </c>
      <c r="F555">
        <v>2</v>
      </c>
      <c r="G555">
        <v>16</v>
      </c>
      <c r="H555">
        <v>10</v>
      </c>
      <c r="I555" s="1" t="str">
        <f t="shared" si="520"/>
        <v>1</v>
      </c>
      <c r="M555" s="1" t="s">
        <v>44</v>
      </c>
      <c r="Q555" s="1" t="b">
        <f t="shared" si="521"/>
        <v>1</v>
      </c>
      <c r="R555" s="6"/>
    </row>
    <row r="556" spans="2:18" x14ac:dyDescent="0.15">
      <c r="D556" s="6" t="s">
        <v>453</v>
      </c>
      <c r="E556" s="1">
        <v>4</v>
      </c>
      <c r="F556">
        <v>8</v>
      </c>
      <c r="G556">
        <v>2</v>
      </c>
      <c r="H556">
        <v>10</v>
      </c>
      <c r="I556" s="1" t="str">
        <f t="shared" ref="I556" si="522">TESTconvFrcPrtOfNPntToFrcPrtOfNPnt(E556,F556,G556,H556)</f>
        <v>1</v>
      </c>
      <c r="M556" s="1" t="s">
        <v>44</v>
      </c>
      <c r="Q556" s="1" t="b">
        <f t="shared" si="521"/>
        <v>1</v>
      </c>
      <c r="R556" s="6"/>
    </row>
    <row r="557" spans="2:18" x14ac:dyDescent="0.15">
      <c r="D557" s="6" t="s">
        <v>454</v>
      </c>
      <c r="E557" s="1">
        <v>2</v>
      </c>
      <c r="F557">
        <v>8</v>
      </c>
      <c r="G557">
        <v>4</v>
      </c>
      <c r="H557">
        <v>10</v>
      </c>
      <c r="I557" s="1" t="str">
        <f t="shared" ref="I557:I558" si="523">TESTconvFrcPrtOfNPntToFrcPrtOfNPnt(E557,F557,G557,H557)</f>
        <v>1</v>
      </c>
      <c r="M557" s="1" t="s">
        <v>44</v>
      </c>
      <c r="Q557" s="1" t="b">
        <f t="shared" si="521"/>
        <v>1</v>
      </c>
      <c r="R557" s="6"/>
    </row>
    <row r="558" spans="2:18" x14ac:dyDescent="0.15">
      <c r="D558" s="6" t="s">
        <v>455</v>
      </c>
      <c r="E558" s="9" t="s">
        <v>469</v>
      </c>
      <c r="F558">
        <v>8</v>
      </c>
      <c r="G558">
        <v>16</v>
      </c>
      <c r="H558">
        <v>10</v>
      </c>
      <c r="I558" s="1" t="str">
        <f t="shared" si="523"/>
        <v>1</v>
      </c>
      <c r="M558" s="1" t="s">
        <v>44</v>
      </c>
      <c r="Q558" s="1" t="b">
        <f t="shared" si="521"/>
        <v>1</v>
      </c>
      <c r="R558" s="6"/>
    </row>
    <row r="559" spans="2:18" x14ac:dyDescent="0.15">
      <c r="D559" s="6" t="s">
        <v>9</v>
      </c>
      <c r="E559" s="1">
        <v>8</v>
      </c>
      <c r="F559">
        <v>16</v>
      </c>
      <c r="G559">
        <v>2</v>
      </c>
      <c r="H559">
        <v>10</v>
      </c>
      <c r="I559" s="1" t="str">
        <f t="shared" ref="I559:I561" si="524">TESTconvFrcPrtOfNPntToFrcPrtOfNPnt(E559,F559,G559,H559)</f>
        <v>1</v>
      </c>
      <c r="M559" s="1" t="s">
        <v>44</v>
      </c>
      <c r="Q559" s="1" t="b">
        <f t="shared" si="521"/>
        <v>1</v>
      </c>
      <c r="R559" s="6"/>
    </row>
    <row r="560" spans="2:18" x14ac:dyDescent="0.15">
      <c r="D560" s="6" t="s">
        <v>451</v>
      </c>
      <c r="E560" s="1">
        <v>4</v>
      </c>
      <c r="F560">
        <v>16</v>
      </c>
      <c r="G560">
        <v>4</v>
      </c>
      <c r="H560">
        <v>10</v>
      </c>
      <c r="I560" s="1" t="str">
        <f t="shared" si="524"/>
        <v>1</v>
      </c>
      <c r="M560" s="1" t="s">
        <v>44</v>
      </c>
      <c r="Q560" s="1" t="b">
        <f t="shared" si="521"/>
        <v>1</v>
      </c>
      <c r="R560" s="6"/>
    </row>
    <row r="561" spans="3:18" x14ac:dyDescent="0.15">
      <c r="D561" s="6" t="s">
        <v>452</v>
      </c>
      <c r="E561" s="1">
        <v>2</v>
      </c>
      <c r="F561">
        <v>16</v>
      </c>
      <c r="G561">
        <v>8</v>
      </c>
      <c r="H561">
        <v>10</v>
      </c>
      <c r="I561" s="1" t="str">
        <f t="shared" si="524"/>
        <v>1</v>
      </c>
      <c r="M561" s="1" t="s">
        <v>44</v>
      </c>
      <c r="Q561" s="1" t="b">
        <f t="shared" si="521"/>
        <v>1</v>
      </c>
      <c r="R561" s="6"/>
    </row>
    <row r="562" spans="3:18" x14ac:dyDescent="0.15">
      <c r="C562" s="2" t="s">
        <v>224</v>
      </c>
      <c r="D562" s="2" t="s">
        <v>449</v>
      </c>
      <c r="E562" s="11" t="s">
        <v>459</v>
      </c>
      <c r="F562" s="2">
        <v>2</v>
      </c>
      <c r="G562" s="2">
        <v>4</v>
      </c>
      <c r="H562" s="2">
        <v>10</v>
      </c>
      <c r="I562" s="3" t="str">
        <f t="shared" ref="I562:I579" si="525">TESTconvFrcPrtOfNPntToFrcPrtOfNPnt(E562,F562,G562,H562)</f>
        <v>01</v>
      </c>
      <c r="J562" s="2"/>
      <c r="K562" s="2"/>
      <c r="L562" s="2"/>
      <c r="M562" s="3" t="s">
        <v>248</v>
      </c>
      <c r="N562" s="2"/>
      <c r="O562" s="2"/>
      <c r="P562" s="2"/>
      <c r="Q562" s="3" t="b">
        <f t="shared" ref="Q562:Q570" si="526">getText(I562)=getText(M562)</f>
        <v>1</v>
      </c>
      <c r="R562" s="6"/>
    </row>
    <row r="563" spans="3:18" x14ac:dyDescent="0.15">
      <c r="C563" s="6"/>
      <c r="D563" s="6" t="s">
        <v>450</v>
      </c>
      <c r="E563" s="9" t="s">
        <v>464</v>
      </c>
      <c r="F563">
        <v>2</v>
      </c>
      <c r="G563">
        <v>8</v>
      </c>
      <c r="H563">
        <v>10</v>
      </c>
      <c r="I563" s="1" t="str">
        <f t="shared" si="525"/>
        <v>01</v>
      </c>
      <c r="J563" s="6"/>
      <c r="K563" s="6"/>
      <c r="L563" s="6"/>
      <c r="M563" s="1" t="s">
        <v>248</v>
      </c>
      <c r="N563" s="6"/>
      <c r="O563" s="6"/>
      <c r="P563" s="6"/>
      <c r="Q563" s="1" t="b">
        <f t="shared" si="526"/>
        <v>1</v>
      </c>
      <c r="R563" s="6"/>
    </row>
    <row r="564" spans="3:18" x14ac:dyDescent="0.15">
      <c r="D564" s="6" t="s">
        <v>5</v>
      </c>
      <c r="E564" s="9" t="s">
        <v>466</v>
      </c>
      <c r="F564">
        <v>2</v>
      </c>
      <c r="G564">
        <v>16</v>
      </c>
      <c r="H564">
        <v>10</v>
      </c>
      <c r="I564" s="1" t="str">
        <f t="shared" si="525"/>
        <v>01</v>
      </c>
      <c r="M564" s="1" t="s">
        <v>248</v>
      </c>
      <c r="Q564" s="1" t="b">
        <f t="shared" si="526"/>
        <v>1</v>
      </c>
      <c r="R564" s="6"/>
    </row>
    <row r="565" spans="3:18" x14ac:dyDescent="0.15">
      <c r="D565" s="6" t="s">
        <v>453</v>
      </c>
      <c r="E565" s="9" t="s">
        <v>462</v>
      </c>
      <c r="F565">
        <v>8</v>
      </c>
      <c r="G565">
        <v>2</v>
      </c>
      <c r="H565">
        <v>10</v>
      </c>
      <c r="I565" s="1" t="str">
        <f t="shared" si="525"/>
        <v>01</v>
      </c>
      <c r="M565" s="1" t="s">
        <v>248</v>
      </c>
      <c r="Q565" s="1" t="b">
        <f t="shared" si="526"/>
        <v>1</v>
      </c>
      <c r="R565" s="6"/>
    </row>
    <row r="566" spans="3:18" x14ac:dyDescent="0.15">
      <c r="D566" s="6" t="s">
        <v>454</v>
      </c>
      <c r="E566" s="9" t="s">
        <v>469</v>
      </c>
      <c r="F566">
        <v>8</v>
      </c>
      <c r="G566">
        <v>4</v>
      </c>
      <c r="H566">
        <v>10</v>
      </c>
      <c r="I566" s="1" t="str">
        <f t="shared" si="525"/>
        <v>01</v>
      </c>
      <c r="M566" s="1" t="s">
        <v>248</v>
      </c>
      <c r="Q566" s="1" t="b">
        <f t="shared" si="526"/>
        <v>1</v>
      </c>
      <c r="R566" s="6"/>
    </row>
    <row r="567" spans="3:18" x14ac:dyDescent="0.15">
      <c r="D567" s="6" t="s">
        <v>455</v>
      </c>
      <c r="E567" s="9" t="s">
        <v>463</v>
      </c>
      <c r="F567">
        <v>8</v>
      </c>
      <c r="G567">
        <v>16</v>
      </c>
      <c r="H567">
        <v>10</v>
      </c>
      <c r="I567" s="1" t="str">
        <f t="shared" si="525"/>
        <v>01</v>
      </c>
      <c r="M567" s="1" t="s">
        <v>248</v>
      </c>
      <c r="Q567" s="1" t="b">
        <f t="shared" si="526"/>
        <v>1</v>
      </c>
      <c r="R567" s="6"/>
    </row>
    <row r="568" spans="3:18" x14ac:dyDescent="0.15">
      <c r="D568" s="6" t="s">
        <v>9</v>
      </c>
      <c r="E568" s="9" t="s">
        <v>460</v>
      </c>
      <c r="F568">
        <v>16</v>
      </c>
      <c r="G568">
        <v>2</v>
      </c>
      <c r="H568">
        <v>10</v>
      </c>
      <c r="I568" s="1" t="str">
        <f t="shared" si="525"/>
        <v>01</v>
      </c>
      <c r="M568" s="1" t="s">
        <v>248</v>
      </c>
      <c r="Q568" s="1" t="b">
        <f t="shared" si="526"/>
        <v>1</v>
      </c>
      <c r="R568" s="6"/>
    </row>
    <row r="569" spans="3:18" x14ac:dyDescent="0.15">
      <c r="D569" s="6" t="s">
        <v>451</v>
      </c>
      <c r="E569" s="9" t="s">
        <v>461</v>
      </c>
      <c r="F569">
        <v>16</v>
      </c>
      <c r="G569">
        <v>4</v>
      </c>
      <c r="H569">
        <v>10</v>
      </c>
      <c r="I569" s="1" t="str">
        <f t="shared" si="525"/>
        <v>01</v>
      </c>
      <c r="M569" s="1" t="s">
        <v>248</v>
      </c>
      <c r="Q569" s="1" t="b">
        <f t="shared" si="526"/>
        <v>1</v>
      </c>
      <c r="R569" s="6"/>
    </row>
    <row r="570" spans="3:18" x14ac:dyDescent="0.15">
      <c r="D570" s="6" t="s">
        <v>452</v>
      </c>
      <c r="E570" s="9" t="s">
        <v>469</v>
      </c>
      <c r="F570">
        <v>16</v>
      </c>
      <c r="G570">
        <v>8</v>
      </c>
      <c r="H570">
        <v>10</v>
      </c>
      <c r="I570" s="1" t="str">
        <f t="shared" si="525"/>
        <v>01</v>
      </c>
      <c r="M570" s="1" t="s">
        <v>248</v>
      </c>
      <c r="Q570" s="1" t="b">
        <f t="shared" si="526"/>
        <v>1</v>
      </c>
      <c r="R570" s="6"/>
    </row>
    <row r="571" spans="3:18" x14ac:dyDescent="0.15">
      <c r="C571" s="2" t="s">
        <v>225</v>
      </c>
      <c r="D571" s="2" t="s">
        <v>449</v>
      </c>
      <c r="E571" s="11" t="s">
        <v>464</v>
      </c>
      <c r="F571" s="2">
        <v>2</v>
      </c>
      <c r="G571" s="2">
        <v>4</v>
      </c>
      <c r="H571" s="2">
        <v>10</v>
      </c>
      <c r="I571" s="3" t="str">
        <f t="shared" si="525"/>
        <v>001</v>
      </c>
      <c r="J571" s="2"/>
      <c r="K571" s="2"/>
      <c r="L571" s="2"/>
      <c r="M571" s="3" t="s">
        <v>82</v>
      </c>
      <c r="N571" s="2"/>
      <c r="O571" s="2"/>
      <c r="P571" s="2"/>
      <c r="Q571" s="3" t="b">
        <f t="shared" ref="Q571:Q572" si="527">getText(I571)=getText(M571)</f>
        <v>1</v>
      </c>
      <c r="R571" s="6"/>
    </row>
    <row r="572" spans="3:18" x14ac:dyDescent="0.15">
      <c r="D572" s="6" t="s">
        <v>450</v>
      </c>
      <c r="E572" s="9" t="s">
        <v>467</v>
      </c>
      <c r="F572">
        <v>2</v>
      </c>
      <c r="G572">
        <v>8</v>
      </c>
      <c r="H572">
        <v>10</v>
      </c>
      <c r="I572" s="1" t="str">
        <f t="shared" si="525"/>
        <v>001</v>
      </c>
      <c r="M572" s="1" t="s">
        <v>82</v>
      </c>
      <c r="Q572" s="1" t="b">
        <f t="shared" si="527"/>
        <v>1</v>
      </c>
      <c r="R572" s="6"/>
    </row>
    <row r="573" spans="3:18" x14ac:dyDescent="0.15">
      <c r="D573" s="6" t="s">
        <v>5</v>
      </c>
      <c r="E573" s="9" t="s">
        <v>468</v>
      </c>
      <c r="F573">
        <v>2</v>
      </c>
      <c r="G573">
        <v>16</v>
      </c>
      <c r="H573">
        <v>10</v>
      </c>
      <c r="I573" s="1" t="str">
        <f t="shared" si="525"/>
        <v>001</v>
      </c>
      <c r="M573" s="1" t="s">
        <v>82</v>
      </c>
      <c r="Q573" s="1" t="b">
        <f t="shared" ref="Q573:Q583" si="528">getText(I573)=getText(M573)</f>
        <v>1</v>
      </c>
      <c r="R573" s="6"/>
    </row>
    <row r="574" spans="3:18" x14ac:dyDescent="0.15">
      <c r="D574" s="6" t="s">
        <v>453</v>
      </c>
      <c r="E574" s="9" t="s">
        <v>461</v>
      </c>
      <c r="F574">
        <v>8</v>
      </c>
      <c r="G574">
        <v>2</v>
      </c>
      <c r="H574">
        <v>10</v>
      </c>
      <c r="I574" s="1" t="str">
        <f t="shared" si="525"/>
        <v>001</v>
      </c>
      <c r="M574" s="1" t="s">
        <v>82</v>
      </c>
      <c r="Q574" s="1" t="b">
        <f t="shared" si="528"/>
        <v>1</v>
      </c>
      <c r="R574" s="6"/>
    </row>
    <row r="575" spans="3:18" x14ac:dyDescent="0.15">
      <c r="D575" s="6" t="s">
        <v>454</v>
      </c>
      <c r="E575" s="9" t="s">
        <v>465</v>
      </c>
      <c r="F575">
        <v>8</v>
      </c>
      <c r="G575">
        <v>4</v>
      </c>
      <c r="H575">
        <v>10</v>
      </c>
      <c r="I575" s="1" t="str">
        <f t="shared" si="525"/>
        <v>001</v>
      </c>
      <c r="M575" s="1" t="s">
        <v>82</v>
      </c>
      <c r="Q575" s="1" t="b">
        <f t="shared" si="528"/>
        <v>1</v>
      </c>
      <c r="R575" s="6"/>
    </row>
    <row r="576" spans="3:18" x14ac:dyDescent="0.15">
      <c r="D576" s="6" t="s">
        <v>455</v>
      </c>
      <c r="E576" s="9" t="s">
        <v>459</v>
      </c>
      <c r="F576">
        <v>8</v>
      </c>
      <c r="G576">
        <v>16</v>
      </c>
      <c r="H576">
        <v>10</v>
      </c>
      <c r="I576" s="1" t="str">
        <f t="shared" si="525"/>
        <v>001</v>
      </c>
      <c r="M576" s="1" t="s">
        <v>82</v>
      </c>
      <c r="Q576" s="1" t="b">
        <f t="shared" si="528"/>
        <v>1</v>
      </c>
      <c r="R576" s="6"/>
    </row>
    <row r="577" spans="2:18" x14ac:dyDescent="0.15">
      <c r="D577" s="6" t="s">
        <v>9</v>
      </c>
      <c r="E577" s="9" t="s">
        <v>462</v>
      </c>
      <c r="F577">
        <v>16</v>
      </c>
      <c r="G577">
        <v>2</v>
      </c>
      <c r="H577">
        <v>10</v>
      </c>
      <c r="I577" s="1" t="str">
        <f t="shared" si="525"/>
        <v>001</v>
      </c>
      <c r="M577" s="1" t="s">
        <v>82</v>
      </c>
      <c r="Q577" s="1" t="b">
        <f t="shared" si="528"/>
        <v>1</v>
      </c>
      <c r="R577" s="6"/>
    </row>
    <row r="578" spans="2:18" x14ac:dyDescent="0.15">
      <c r="D578" s="6" t="s">
        <v>451</v>
      </c>
      <c r="E578" s="9" t="s">
        <v>469</v>
      </c>
      <c r="F578">
        <v>16</v>
      </c>
      <c r="G578">
        <v>4</v>
      </c>
      <c r="H578">
        <v>10</v>
      </c>
      <c r="I578" s="1" t="str">
        <f t="shared" si="525"/>
        <v>001</v>
      </c>
      <c r="M578" s="1" t="s">
        <v>82</v>
      </c>
      <c r="Q578" s="1" t="b">
        <f t="shared" si="528"/>
        <v>1</v>
      </c>
      <c r="R578" s="6"/>
    </row>
    <row r="579" spans="2:18" x14ac:dyDescent="0.15">
      <c r="D579" s="6" t="s">
        <v>452</v>
      </c>
      <c r="E579" s="9" t="s">
        <v>470</v>
      </c>
      <c r="F579">
        <v>16</v>
      </c>
      <c r="G579">
        <v>8</v>
      </c>
      <c r="H579">
        <v>10</v>
      </c>
      <c r="I579" s="1" t="str">
        <f t="shared" si="525"/>
        <v>001</v>
      </c>
      <c r="M579" s="1" t="s">
        <v>82</v>
      </c>
      <c r="Q579" s="1" t="b">
        <f t="shared" si="528"/>
        <v>1</v>
      </c>
      <c r="R579" s="6"/>
    </row>
    <row r="580" spans="2:18" x14ac:dyDescent="0.15">
      <c r="B580" s="2" t="s">
        <v>442</v>
      </c>
      <c r="C580" s="22">
        <v>0</v>
      </c>
      <c r="D580" s="2"/>
      <c r="E580" s="3">
        <v>1</v>
      </c>
      <c r="F580" s="2">
        <v>3</v>
      </c>
      <c r="G580" s="2">
        <v>10</v>
      </c>
      <c r="H580" s="2">
        <v>0</v>
      </c>
      <c r="I580" s="3" t="str">
        <f t="shared" ref="I580:I583" si="529">TESTconvFrcPrtOfNPntToFrcPrtOfNPnt(E580,F580,G580,H580)</f>
        <v/>
      </c>
      <c r="J580" s="2"/>
      <c r="K580" s="2"/>
      <c r="L580" s="2"/>
      <c r="M580" s="3" t="s">
        <v>45</v>
      </c>
      <c r="N580" s="2"/>
      <c r="O580" s="2"/>
      <c r="P580" s="2"/>
      <c r="Q580" s="3" t="b">
        <f t="shared" si="528"/>
        <v>1</v>
      </c>
      <c r="R580" s="6"/>
    </row>
    <row r="581" spans="2:18" x14ac:dyDescent="0.15">
      <c r="C581" s="27">
        <v>1</v>
      </c>
      <c r="E581" s="1">
        <v>1</v>
      </c>
      <c r="F581">
        <v>3</v>
      </c>
      <c r="G581">
        <v>10</v>
      </c>
      <c r="H581">
        <v>1</v>
      </c>
      <c r="I581" s="1" t="str">
        <f t="shared" si="529"/>
        <v>3</v>
      </c>
      <c r="M581" s="1" t="s">
        <v>81</v>
      </c>
      <c r="Q581" s="1" t="b">
        <f t="shared" si="528"/>
        <v>1</v>
      </c>
      <c r="R581" s="6"/>
    </row>
    <row r="582" spans="2:18" x14ac:dyDescent="0.15">
      <c r="C582" s="27">
        <v>2</v>
      </c>
      <c r="E582" s="1">
        <v>1</v>
      </c>
      <c r="F582">
        <v>3</v>
      </c>
      <c r="G582">
        <v>10</v>
      </c>
      <c r="H582">
        <v>2</v>
      </c>
      <c r="I582" s="1" t="str">
        <f t="shared" si="529"/>
        <v>33</v>
      </c>
      <c r="M582" s="1" t="s">
        <v>475</v>
      </c>
      <c r="Q582" s="1" t="b">
        <f t="shared" si="528"/>
        <v>1</v>
      </c>
      <c r="R582" s="6"/>
    </row>
    <row r="583" spans="2:18" x14ac:dyDescent="0.15">
      <c r="C583" s="34">
        <v>255</v>
      </c>
      <c r="E583" s="1">
        <v>1</v>
      </c>
      <c r="F583">
        <v>3</v>
      </c>
      <c r="G583">
        <v>10</v>
      </c>
      <c r="H583">
        <v>255</v>
      </c>
      <c r="I583" s="1" t="str">
        <f t="shared" si="529"/>
        <v>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M583" s="1" t="s">
        <v>476</v>
      </c>
      <c r="Q583" s="1" t="b">
        <f t="shared" si="528"/>
        <v>1</v>
      </c>
      <c r="R583" s="6"/>
    </row>
    <row r="584" spans="2:18" x14ac:dyDescent="0.15">
      <c r="R584" s="6"/>
    </row>
  </sheetData>
  <phoneticPr fontId="1"/>
  <conditionalFormatting sqref="B1">
    <cfRule type="cellIs" dxfId="7" priority="44" operator="equal">
      <formula>"NG"</formula>
    </cfRule>
    <cfRule type="cellIs" dxfId="6" priority="45" operator="equal">
      <formula>"OK"</formula>
    </cfRule>
  </conditionalFormatting>
  <conditionalFormatting sqref="Q91:T1048576 Q1:T70">
    <cfRule type="expression" dxfId="5" priority="11">
      <formula>AND(Q1&lt;&gt;"",Q1=FALSE)</formula>
    </cfRule>
  </conditionalFormatting>
  <conditionalFormatting sqref="Q71:T73">
    <cfRule type="expression" dxfId="4" priority="5">
      <formula>AND(Q71&lt;&gt;"",Q71=FALSE)</formula>
    </cfRule>
  </conditionalFormatting>
  <conditionalFormatting sqref="Q74:T76">
    <cfRule type="expression" dxfId="3" priority="4">
      <formula>AND(Q74&lt;&gt;"",Q74=FALSE)</formula>
    </cfRule>
  </conditionalFormatting>
  <conditionalFormatting sqref="Q77:T79">
    <cfRule type="expression" dxfId="2" priority="3">
      <formula>AND(Q77&lt;&gt;"",Q77=FALSE)</formula>
    </cfRule>
  </conditionalFormatting>
  <conditionalFormatting sqref="Q80:T82">
    <cfRule type="expression" dxfId="1" priority="2">
      <formula>AND(Q80&lt;&gt;"",Q80=FALSE)</formula>
    </cfRule>
  </conditionalFormatting>
  <conditionalFormatting sqref="Q83:T90">
    <cfRule type="expression" dxfId="0" priority="1">
      <formula>AND(Q83&lt;&gt;"",Q83=FALSE)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Koudai</cp:lastModifiedBy>
  <dcterms:created xsi:type="dcterms:W3CDTF">2018-05-15T00:36:42Z</dcterms:created>
  <dcterms:modified xsi:type="dcterms:W3CDTF">2018-05-19T05:48:31Z</dcterms:modified>
</cp:coreProperties>
</file>