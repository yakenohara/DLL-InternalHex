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226" codeName="{EC734049-C954-9101-EBF6-4418645C62D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aken\Desktop\DLL-InternalHex\VBA Test\"/>
    </mc:Choice>
  </mc:AlternateContent>
  <xr:revisionPtr revIDLastSave="0" documentId="10_ncr:8100000_{DE2DAF6E-450F-456E-AFA4-82738EB72B72}" xr6:coauthVersionLast="32" xr6:coauthVersionMax="32" xr10:uidLastSave="{00000000-0000-0000-0000-000000000000}"/>
  <bookViews>
    <workbookView xWindow="0" yWindow="12600" windowWidth="18645" windowHeight="9570" xr2:uid="{00000000-000D-0000-FFFF-FFFF00000000}"/>
  </bookViews>
  <sheets>
    <sheet name="Sheet1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34" i="1" l="1"/>
  <c r="K34" i="1"/>
  <c r="J34" i="1"/>
  <c r="I34" i="1"/>
  <c r="R34" i="1"/>
  <c r="R32" i="1"/>
  <c r="R30" i="1"/>
  <c r="Q34" i="1"/>
  <c r="Q32" i="1"/>
  <c r="Q30" i="1"/>
  <c r="T30" i="1"/>
  <c r="S30" i="1"/>
  <c r="T33" i="1"/>
  <c r="T31" i="1"/>
  <c r="S33" i="1"/>
  <c r="S31" i="1"/>
  <c r="S32" i="1"/>
  <c r="R33" i="1"/>
  <c r="R31" i="1"/>
  <c r="Q33" i="1"/>
  <c r="Q31" i="1"/>
  <c r="T34" i="1"/>
  <c r="T32" i="1"/>
  <c r="S34" i="1"/>
  <c r="K33" i="1"/>
  <c r="J33" i="1"/>
  <c r="I33" i="1"/>
  <c r="I31" i="1"/>
  <c r="L32" i="1"/>
  <c r="L30" i="1"/>
  <c r="K32" i="1"/>
  <c r="K30" i="1"/>
  <c r="J32" i="1"/>
  <c r="J30" i="1"/>
  <c r="I32" i="1"/>
  <c r="I30" i="1"/>
  <c r="L33" i="1"/>
  <c r="L31" i="1"/>
  <c r="K31" i="1"/>
  <c r="J31" i="1"/>
  <c r="I4" i="1"/>
  <c r="J4" i="1"/>
  <c r="K4" i="1"/>
  <c r="L4" i="1"/>
  <c r="I5" i="1"/>
  <c r="J5" i="1"/>
  <c r="K5" i="1"/>
  <c r="L5" i="1"/>
  <c r="I6" i="1"/>
  <c r="J6" i="1"/>
  <c r="K6" i="1"/>
  <c r="L6" i="1"/>
  <c r="I7" i="1"/>
  <c r="J7" i="1"/>
  <c r="K7" i="1"/>
  <c r="L7" i="1"/>
  <c r="I8" i="1"/>
  <c r="J8" i="1"/>
  <c r="K8" i="1"/>
  <c r="L8" i="1"/>
  <c r="I9" i="1"/>
  <c r="J9" i="1"/>
  <c r="K9" i="1"/>
  <c r="L9" i="1"/>
  <c r="I10" i="1"/>
  <c r="J10" i="1"/>
  <c r="K10" i="1"/>
  <c r="L10" i="1"/>
  <c r="I11" i="1"/>
  <c r="J11" i="1"/>
  <c r="K11" i="1"/>
  <c r="L11" i="1"/>
  <c r="I12" i="1"/>
  <c r="J12" i="1"/>
  <c r="K12" i="1"/>
  <c r="L12" i="1"/>
  <c r="I13" i="1"/>
  <c r="J13" i="1"/>
  <c r="K13" i="1"/>
  <c r="L13" i="1"/>
  <c r="I14" i="1"/>
  <c r="J14" i="1"/>
  <c r="K14" i="1"/>
  <c r="L14" i="1"/>
  <c r="I15" i="1"/>
  <c r="J15" i="1"/>
  <c r="K15" i="1"/>
  <c r="L15" i="1"/>
  <c r="I16" i="1"/>
  <c r="J16" i="1"/>
  <c r="K16" i="1"/>
  <c r="L16" i="1"/>
  <c r="I17" i="1"/>
  <c r="J17" i="1"/>
  <c r="K17" i="1"/>
  <c r="L17" i="1"/>
  <c r="I18" i="1"/>
  <c r="J18" i="1"/>
  <c r="K18" i="1"/>
  <c r="L18" i="1"/>
  <c r="I19" i="1"/>
  <c r="J19" i="1"/>
  <c r="K19" i="1"/>
  <c r="L19" i="1"/>
  <c r="I20" i="1"/>
  <c r="J20" i="1"/>
  <c r="K20" i="1"/>
  <c r="L20" i="1"/>
  <c r="I21" i="1"/>
  <c r="J21" i="1"/>
  <c r="K21" i="1"/>
  <c r="L21" i="1"/>
  <c r="I22" i="1"/>
  <c r="J22" i="1"/>
  <c r="K22" i="1"/>
  <c r="L22" i="1"/>
  <c r="I23" i="1"/>
  <c r="J23" i="1"/>
  <c r="K23" i="1"/>
  <c r="L23" i="1"/>
  <c r="I24" i="1"/>
  <c r="J24" i="1"/>
  <c r="K24" i="1"/>
  <c r="L24" i="1"/>
  <c r="I25" i="1"/>
  <c r="J25" i="1"/>
  <c r="K25" i="1"/>
  <c r="L25" i="1"/>
  <c r="I26" i="1"/>
  <c r="J26" i="1"/>
  <c r="K26" i="1"/>
  <c r="L26" i="1"/>
  <c r="I27" i="1"/>
  <c r="J27" i="1"/>
  <c r="K27" i="1"/>
  <c r="L27" i="1"/>
  <c r="I28" i="1"/>
  <c r="J28" i="1"/>
  <c r="K28" i="1"/>
  <c r="L28" i="1"/>
  <c r="I29" i="1"/>
  <c r="J29" i="1"/>
  <c r="K29" i="1"/>
  <c r="L29" i="1"/>
  <c r="I38" i="1"/>
  <c r="S29" i="1"/>
  <c r="R25" i="1"/>
  <c r="Q26" i="1"/>
  <c r="S23" i="1"/>
  <c r="T28" i="1"/>
  <c r="T20" i="1"/>
  <c r="Q20" i="1"/>
  <c r="S18" i="1"/>
  <c r="T17" i="1"/>
  <c r="R15" i="1"/>
  <c r="S8" i="1"/>
  <c r="R6" i="1"/>
  <c r="T6" i="1"/>
  <c r="S86" i="1"/>
  <c r="Q83" i="1"/>
  <c r="S81" i="1"/>
  <c r="Q80" i="1"/>
  <c r="L81" i="1"/>
  <c r="I80" i="1"/>
  <c r="I87" i="1"/>
  <c r="L82" i="1"/>
  <c r="I82" i="1"/>
  <c r="T9" i="1"/>
  <c r="R377" i="1"/>
  <c r="R54" i="1"/>
  <c r="Q53" i="1"/>
  <c r="S328" i="1"/>
  <c r="I46" i="1"/>
  <c r="J38" i="1"/>
  <c r="Q343" i="1"/>
  <c r="I365" i="1"/>
  <c r="I218" i="1"/>
  <c r="J334" i="1"/>
  <c r="R4" i="1"/>
  <c r="S38" i="1"/>
  <c r="I154" i="1"/>
  <c r="R76" i="1"/>
  <c r="R404" i="1"/>
  <c r="K379" i="1"/>
  <c r="S308" i="1"/>
  <c r="I271" i="1"/>
  <c r="Q525" i="1"/>
  <c r="R163" i="1"/>
  <c r="J343" i="1"/>
  <c r="Q51" i="1"/>
  <c r="S56" i="1"/>
  <c r="I324" i="1"/>
  <c r="S337" i="1"/>
  <c r="T51" i="1"/>
  <c r="I478" i="1"/>
  <c r="T35" i="1"/>
  <c r="K304" i="1"/>
  <c r="L64" i="1"/>
  <c r="S62" i="1"/>
  <c r="S11" i="1"/>
  <c r="I333" i="1"/>
  <c r="T76" i="1"/>
  <c r="I269" i="1"/>
  <c r="R63" i="1"/>
  <c r="K51" i="1"/>
  <c r="J168" i="1"/>
  <c r="I74" i="1"/>
  <c r="J64" i="1"/>
  <c r="I281" i="1"/>
  <c r="Q302" i="1"/>
  <c r="S4" i="1"/>
  <c r="R62" i="1"/>
  <c r="T36" i="1"/>
  <c r="L36" i="1"/>
  <c r="I147" i="1"/>
  <c r="I140" i="1"/>
  <c r="Q410" i="1"/>
  <c r="Q137" i="1"/>
  <c r="Q312" i="1"/>
  <c r="J336" i="1"/>
  <c r="L76" i="1"/>
  <c r="I117" i="1"/>
  <c r="J57" i="1"/>
  <c r="Q507" i="1"/>
  <c r="R309" i="1"/>
  <c r="R207" i="1"/>
  <c r="Q131" i="1"/>
  <c r="Q276" i="1"/>
  <c r="L49" i="1"/>
  <c r="Q36" i="1"/>
  <c r="R13" i="1"/>
  <c r="K311" i="1"/>
  <c r="Q41" i="1"/>
  <c r="R68" i="1"/>
  <c r="Q68" i="1"/>
  <c r="K302" i="1"/>
  <c r="S76" i="1"/>
  <c r="I119" i="1"/>
  <c r="I63" i="1"/>
  <c r="I211" i="1"/>
  <c r="R208" i="1"/>
  <c r="K366" i="1"/>
  <c r="K330" i="1"/>
  <c r="J40" i="1"/>
  <c r="I428" i="1"/>
  <c r="I472" i="1"/>
  <c r="I268" i="1"/>
  <c r="S28" i="1"/>
  <c r="R24" i="1"/>
  <c r="Q25" i="1"/>
  <c r="T26" i="1"/>
  <c r="R20" i="1"/>
  <c r="T16" i="1"/>
  <c r="S7" i="1"/>
  <c r="R87" i="1"/>
  <c r="S82" i="1"/>
  <c r="Q81" i="1"/>
  <c r="R86" i="1"/>
  <c r="T87" i="1"/>
  <c r="L79" i="1"/>
  <c r="J87" i="1"/>
  <c r="I85" i="1"/>
  <c r="K82" i="1"/>
  <c r="I78" i="1"/>
  <c r="S14" i="1"/>
  <c r="T68" i="1"/>
  <c r="R36" i="1"/>
  <c r="J66" i="1"/>
  <c r="I62" i="1"/>
  <c r="K385" i="1"/>
  <c r="Q449" i="1"/>
  <c r="I250" i="1"/>
  <c r="I141" i="1"/>
  <c r="J138" i="1"/>
  <c r="K61" i="1"/>
  <c r="S410" i="1"/>
  <c r="J63" i="1"/>
  <c r="J68" i="1"/>
  <c r="T59" i="1"/>
  <c r="S395" i="1"/>
  <c r="K353" i="1"/>
  <c r="I165" i="1"/>
  <c r="K50" i="1"/>
  <c r="L71" i="1"/>
  <c r="I37" i="1"/>
  <c r="R77" i="1"/>
  <c r="Q361" i="1"/>
  <c r="S60" i="1"/>
  <c r="T46" i="1"/>
  <c r="I203" i="1"/>
  <c r="Q89" i="1"/>
  <c r="I440" i="1"/>
  <c r="I353" i="1"/>
  <c r="K318" i="1"/>
  <c r="S5" i="1"/>
  <c r="K66" i="1"/>
  <c r="R65" i="1"/>
  <c r="S59" i="1"/>
  <c r="L40" i="1"/>
  <c r="Q280" i="1"/>
  <c r="I155" i="1"/>
  <c r="I113" i="1"/>
  <c r="I114" i="1"/>
  <c r="S340" i="1"/>
  <c r="R386" i="1"/>
  <c r="Q12" i="1"/>
  <c r="K53" i="1"/>
  <c r="Q163" i="1"/>
  <c r="K77" i="1"/>
  <c r="L72" i="1"/>
  <c r="I118" i="1"/>
  <c r="J164" i="1"/>
  <c r="Q66" i="1"/>
  <c r="J37" i="1"/>
  <c r="I349" i="1"/>
  <c r="R66" i="1"/>
  <c r="Q59" i="1"/>
  <c r="I48" i="1"/>
  <c r="J72" i="1"/>
  <c r="I45" i="1"/>
  <c r="K354" i="1"/>
  <c r="T53" i="1"/>
  <c r="S54" i="1"/>
  <c r="K345" i="1"/>
  <c r="J149" i="1"/>
  <c r="Q10" i="1"/>
  <c r="L57" i="1"/>
  <c r="R158" i="1"/>
  <c r="T44" i="1"/>
  <c r="S43" i="1"/>
  <c r="Q433" i="1"/>
  <c r="J147" i="1"/>
  <c r="T40" i="1"/>
  <c r="K64" i="1"/>
  <c r="I427" i="1"/>
  <c r="T10" i="1"/>
  <c r="L52" i="1"/>
  <c r="S295" i="1"/>
  <c r="J165" i="1"/>
  <c r="S66" i="1"/>
  <c r="J154" i="1"/>
  <c r="Q404" i="1"/>
  <c r="I294" i="1"/>
  <c r="S24" i="1"/>
  <c r="R23" i="1"/>
  <c r="Q24" i="1"/>
  <c r="T29" i="1"/>
  <c r="T24" i="1"/>
  <c r="R19" i="1"/>
  <c r="T15" i="1"/>
  <c r="S6" i="1"/>
  <c r="T7" i="1"/>
  <c r="R85" i="1"/>
  <c r="T85" i="1"/>
  <c r="Q79" i="1"/>
  <c r="R84" i="1"/>
  <c r="T83" i="1"/>
  <c r="K87" i="1"/>
  <c r="J85" i="1"/>
  <c r="I83" i="1"/>
  <c r="J86" i="1"/>
  <c r="J78" i="1"/>
  <c r="R11" i="1"/>
  <c r="T47" i="1"/>
  <c r="I426" i="1"/>
  <c r="Q43" i="1"/>
  <c r="R57" i="1"/>
  <c r="Q306" i="1"/>
  <c r="Q78" i="1"/>
  <c r="I174" i="1"/>
  <c r="S52" i="1"/>
  <c r="I240" i="1"/>
  <c r="Q428" i="1"/>
  <c r="R67" i="1"/>
  <c r="J69" i="1"/>
  <c r="Q42" i="1"/>
  <c r="R45" i="1"/>
  <c r="L51" i="1"/>
  <c r="S353" i="1"/>
  <c r="S55" i="1"/>
  <c r="Q385" i="1"/>
  <c r="K46" i="1"/>
  <c r="I486" i="1"/>
  <c r="R299" i="1"/>
  <c r="K67" i="1"/>
  <c r="T63" i="1"/>
  <c r="I55" i="1"/>
  <c r="R319" i="1"/>
  <c r="I156" i="1"/>
  <c r="Q202" i="1"/>
  <c r="J359" i="1"/>
  <c r="S347" i="1"/>
  <c r="S369" i="1"/>
  <c r="Q13" i="1"/>
  <c r="R51" i="1"/>
  <c r="K54" i="1"/>
  <c r="I54" i="1"/>
  <c r="I347" i="1"/>
  <c r="Q438" i="1"/>
  <c r="Q127" i="1"/>
  <c r="Q442" i="1"/>
  <c r="R156" i="1"/>
  <c r="K52" i="1"/>
  <c r="J153" i="1"/>
  <c r="J146" i="1"/>
  <c r="J58" i="1"/>
  <c r="L56" i="1"/>
  <c r="Q482" i="1"/>
  <c r="Q376" i="1"/>
  <c r="Q105" i="1"/>
  <c r="S310" i="1"/>
  <c r="Q515" i="1"/>
  <c r="T12" i="1"/>
  <c r="J35" i="1"/>
  <c r="L41" i="1"/>
  <c r="I368" i="1"/>
  <c r="T55" i="1"/>
  <c r="J299" i="1"/>
  <c r="I152" i="1"/>
  <c r="I398" i="1"/>
  <c r="I483" i="1"/>
  <c r="Q201" i="1"/>
  <c r="I39" i="1"/>
  <c r="Q4" i="1"/>
  <c r="L35" i="1"/>
  <c r="K71" i="1"/>
  <c r="R38" i="1"/>
  <c r="Q226" i="1"/>
  <c r="T49" i="1"/>
  <c r="J378" i="1"/>
  <c r="S408" i="1"/>
  <c r="J377" i="1"/>
  <c r="I132" i="1"/>
  <c r="I52" i="1"/>
  <c r="R345" i="1"/>
  <c r="I496" i="1"/>
  <c r="Q522" i="1"/>
  <c r="R395" i="1"/>
  <c r="I431" i="1"/>
  <c r="K391" i="1"/>
  <c r="R346" i="1"/>
  <c r="Q192" i="1"/>
  <c r="Q348" i="1"/>
  <c r="J354" i="1"/>
  <c r="I115" i="1"/>
  <c r="K359" i="1"/>
  <c r="I221" i="1"/>
  <c r="R144" i="1"/>
  <c r="K73" i="1"/>
  <c r="Q411" i="1"/>
  <c r="I112" i="1"/>
  <c r="S409" i="1"/>
  <c r="Q292" i="1"/>
  <c r="K368" i="1"/>
  <c r="I263" i="1"/>
  <c r="I527" i="1"/>
  <c r="R169" i="1"/>
  <c r="I459" i="1"/>
  <c r="S21" i="1"/>
  <c r="R22" i="1"/>
  <c r="Q23" i="1"/>
  <c r="T27" i="1"/>
  <c r="T22" i="1"/>
  <c r="R18" i="1"/>
  <c r="S16" i="1"/>
  <c r="Q17" i="1"/>
  <c r="Q8" i="1"/>
  <c r="R83" i="1"/>
  <c r="T81" i="1"/>
  <c r="T84" i="1"/>
  <c r="R82" i="1"/>
  <c r="T79" i="1"/>
  <c r="K85" i="1"/>
  <c r="J83" i="1"/>
  <c r="I81" i="1"/>
  <c r="J84" i="1"/>
  <c r="R5" i="1"/>
  <c r="K40" i="1"/>
  <c r="I69" i="1"/>
  <c r="Q469" i="1"/>
  <c r="J73" i="1"/>
  <c r="Q441" i="1"/>
  <c r="S61" i="1"/>
  <c r="I342" i="1"/>
  <c r="S42" i="1"/>
  <c r="J162" i="1"/>
  <c r="S47" i="1"/>
  <c r="Q57" i="1"/>
  <c r="I297" i="1"/>
  <c r="I236" i="1"/>
  <c r="T65" i="1"/>
  <c r="Q120" i="1"/>
  <c r="S45" i="1"/>
  <c r="R152" i="1"/>
  <c r="J49" i="1"/>
  <c r="S306" i="1"/>
  <c r="S12" i="1"/>
  <c r="K63" i="1"/>
  <c r="R53" i="1"/>
  <c r="L42" i="1"/>
  <c r="I153" i="1"/>
  <c r="Q281" i="1"/>
  <c r="Q130" i="1"/>
  <c r="Q458" i="1"/>
  <c r="Q160" i="1"/>
  <c r="J398" i="1"/>
  <c r="Q409" i="1"/>
  <c r="R78" i="1"/>
  <c r="Q153" i="1"/>
  <c r="Q165" i="1"/>
  <c r="J76" i="1"/>
  <c r="R333" i="1"/>
  <c r="I272" i="1"/>
  <c r="S373" i="1"/>
  <c r="I162" i="1"/>
  <c r="S394" i="1"/>
  <c r="K375" i="1"/>
  <c r="Q76" i="1"/>
  <c r="R358" i="1"/>
  <c r="Q60" i="1"/>
  <c r="I50" i="1"/>
  <c r="I43" i="1"/>
  <c r="T70" i="1"/>
  <c r="Q40" i="1"/>
  <c r="K319" i="1"/>
  <c r="Q52" i="1"/>
  <c r="J53" i="1"/>
  <c r="S9" i="1"/>
  <c r="S311" i="1"/>
  <c r="L77" i="1"/>
  <c r="R354" i="1"/>
  <c r="K41" i="1"/>
  <c r="I65" i="1"/>
  <c r="Q58" i="1"/>
  <c r="Q464" i="1"/>
  <c r="K76" i="1"/>
  <c r="J155" i="1"/>
  <c r="R70" i="1"/>
  <c r="R145" i="1"/>
  <c r="I47" i="1"/>
  <c r="Q467" i="1"/>
  <c r="I306" i="1"/>
  <c r="K352" i="1"/>
  <c r="Q473" i="1"/>
  <c r="I253" i="1"/>
  <c r="Q112" i="1"/>
  <c r="I244" i="1"/>
  <c r="T43" i="1"/>
  <c r="R201" i="1"/>
  <c r="R342" i="1"/>
  <c r="I346" i="1"/>
  <c r="Q265" i="1"/>
  <c r="Q96" i="1"/>
  <c r="K355" i="1"/>
  <c r="Q349" i="1"/>
  <c r="Q439" i="1"/>
  <c r="R320" i="1"/>
  <c r="R153" i="1"/>
  <c r="Q135" i="1"/>
  <c r="I494" i="1"/>
  <c r="Q335" i="1"/>
  <c r="I129" i="1"/>
  <c r="I469" i="1"/>
  <c r="I360" i="1"/>
  <c r="R142" i="1"/>
  <c r="I77" i="1"/>
  <c r="J351" i="1"/>
  <c r="R368" i="1"/>
  <c r="I446" i="1"/>
  <c r="I157" i="1"/>
  <c r="J171" i="1"/>
  <c r="Q514" i="1"/>
  <c r="R29" i="1"/>
  <c r="R21" i="1"/>
  <c r="Q22" i="1"/>
  <c r="T25" i="1"/>
  <c r="S27" i="1"/>
  <c r="Q19" i="1"/>
  <c r="S15" i="1"/>
  <c r="Q16" i="1"/>
  <c r="Q7" i="1"/>
  <c r="R81" i="1"/>
  <c r="S85" i="1"/>
  <c r="T80" i="1"/>
  <c r="R80" i="1"/>
  <c r="S83" i="1"/>
  <c r="K83" i="1"/>
  <c r="J81" i="1"/>
  <c r="I79" i="1"/>
  <c r="J82" i="1"/>
  <c r="I466" i="1"/>
  <c r="R43" i="1"/>
  <c r="Q390" i="1"/>
  <c r="I72" i="1"/>
  <c r="S40" i="1"/>
  <c r="R61" i="1"/>
  <c r="I450" i="1"/>
  <c r="R49" i="1"/>
  <c r="S406" i="1"/>
  <c r="R37" i="1"/>
  <c r="K78" i="1"/>
  <c r="Q470" i="1"/>
  <c r="Q476" i="1"/>
  <c r="T60" i="1"/>
  <c r="R206" i="1"/>
  <c r="R50" i="1"/>
  <c r="S301" i="1"/>
  <c r="R374" i="1"/>
  <c r="Q355" i="1"/>
  <c r="R9" i="1"/>
  <c r="Q46" i="1"/>
  <c r="I168" i="1"/>
  <c r="S77" i="1"/>
  <c r="J397" i="1"/>
  <c r="K405" i="1"/>
  <c r="J376" i="1"/>
  <c r="Q206" i="1"/>
  <c r="I169" i="1"/>
  <c r="I61" i="1"/>
  <c r="T77" i="1"/>
  <c r="I310" i="1"/>
  <c r="Q148" i="1"/>
  <c r="Q61" i="1"/>
  <c r="K57" i="1"/>
  <c r="Q383" i="1"/>
  <c r="R39" i="1"/>
  <c r="L70" i="1"/>
  <c r="S35" i="1"/>
  <c r="S362" i="1"/>
  <c r="T61" i="1"/>
  <c r="S63" i="1"/>
  <c r="L46" i="1"/>
  <c r="K392" i="1"/>
  <c r="R40" i="1"/>
  <c r="Q133" i="1"/>
  <c r="I458" i="1"/>
  <c r="I109" i="1"/>
  <c r="J389" i="1"/>
  <c r="Q149" i="1"/>
  <c r="R14" i="1"/>
  <c r="Q364" i="1"/>
  <c r="L58" i="1"/>
  <c r="I58" i="1"/>
  <c r="Q352" i="1"/>
  <c r="Q269" i="1"/>
  <c r="Q456" i="1"/>
  <c r="R351" i="1"/>
  <c r="L73" i="1"/>
  <c r="R41" i="1"/>
  <c r="K68" i="1"/>
  <c r="I76" i="1"/>
  <c r="Q513" i="1"/>
  <c r="I41" i="1"/>
  <c r="S68" i="1"/>
  <c r="S36" i="1"/>
  <c r="J337" i="1"/>
  <c r="Q207" i="1"/>
  <c r="J371" i="1"/>
  <c r="I36" i="1"/>
  <c r="I487" i="1"/>
  <c r="Q54" i="1"/>
  <c r="Q412" i="1"/>
  <c r="Q124" i="1"/>
  <c r="Q324" i="1"/>
  <c r="J323" i="1"/>
  <c r="Q298" i="1"/>
  <c r="R28" i="1"/>
  <c r="Q29" i="1"/>
  <c r="Q21" i="1"/>
  <c r="T23" i="1"/>
  <c r="S25" i="1"/>
  <c r="Q18" i="1"/>
  <c r="T19" i="1"/>
  <c r="S17" i="1"/>
  <c r="Q15" i="1"/>
  <c r="Q6" i="1"/>
  <c r="T8" i="1"/>
  <c r="R79" i="1"/>
  <c r="S79" i="1"/>
  <c r="S84" i="1"/>
  <c r="Q86" i="1"/>
  <c r="L87" i="1"/>
  <c r="K81" i="1"/>
  <c r="J79" i="1"/>
  <c r="K86" i="1"/>
  <c r="J80" i="1"/>
  <c r="I73" i="1"/>
  <c r="Q67" i="1"/>
  <c r="K36" i="1"/>
  <c r="I67" i="1"/>
  <c r="T67" i="1"/>
  <c r="I98" i="1"/>
  <c r="Q63" i="1"/>
  <c r="Q121" i="1"/>
  <c r="Q291" i="1"/>
  <c r="S320" i="1"/>
  <c r="J360" i="1"/>
  <c r="K65" i="1"/>
  <c r="I66" i="1"/>
  <c r="T64" i="1"/>
  <c r="R59" i="1"/>
  <c r="Q203" i="1"/>
  <c r="S345" i="1"/>
  <c r="J388" i="1"/>
  <c r="J202" i="1"/>
  <c r="S70" i="1"/>
  <c r="Q14" i="1"/>
  <c r="J160" i="1"/>
  <c r="J158" i="1"/>
  <c r="S65" i="1"/>
  <c r="R58" i="1"/>
  <c r="K387" i="1"/>
  <c r="Q524" i="1"/>
  <c r="R164" i="1"/>
  <c r="R388" i="1"/>
  <c r="Q481" i="1"/>
  <c r="I64" i="1"/>
  <c r="J62" i="1"/>
  <c r="S64" i="1"/>
  <c r="L50" i="1"/>
  <c r="L48" i="1"/>
  <c r="I257" i="1"/>
  <c r="Q39" i="1"/>
  <c r="I298" i="1"/>
  <c r="K362" i="1"/>
  <c r="I524" i="1"/>
  <c r="L54" i="1"/>
  <c r="I51" i="1"/>
  <c r="Q468" i="1"/>
  <c r="K306" i="1"/>
  <c r="K48" i="1"/>
  <c r="Q166" i="1"/>
  <c r="T62" i="1"/>
  <c r="L59" i="1"/>
  <c r="R379" i="1"/>
  <c r="L67" i="1"/>
  <c r="Q11" i="1"/>
  <c r="Q64" i="1"/>
  <c r="L38" i="1"/>
  <c r="K72" i="1"/>
  <c r="I71" i="1"/>
  <c r="I336" i="1"/>
  <c r="Q498" i="1"/>
  <c r="R56" i="1"/>
  <c r="K74" i="1"/>
  <c r="Q328" i="1"/>
  <c r="K59" i="1"/>
  <c r="J56" i="1"/>
  <c r="R323" i="1"/>
  <c r="S53" i="1"/>
  <c r="Q444" i="1"/>
  <c r="R352" i="1"/>
  <c r="L55" i="1"/>
  <c r="J46" i="1"/>
  <c r="I280" i="1"/>
  <c r="I143" i="1"/>
  <c r="R350" i="1"/>
  <c r="I137" i="1"/>
  <c r="R343" i="1"/>
  <c r="K62" i="1"/>
  <c r="J59" i="1"/>
  <c r="R405" i="1"/>
  <c r="J342" i="1"/>
  <c r="I364" i="1"/>
  <c r="R27" i="1"/>
  <c r="Q28" i="1"/>
  <c r="T21" i="1"/>
  <c r="S22" i="1"/>
  <c r="T18" i="1"/>
  <c r="S20" i="1"/>
  <c r="R17" i="1"/>
  <c r="R8" i="1"/>
  <c r="T86" i="1"/>
  <c r="Q87" i="1"/>
  <c r="S80" i="1"/>
  <c r="Q84" i="1"/>
  <c r="L85" i="1"/>
  <c r="K79" i="1"/>
  <c r="L80" i="1"/>
  <c r="L86" i="1"/>
  <c r="I86" i="1"/>
  <c r="T52" i="1"/>
  <c r="T42" i="1"/>
  <c r="I339" i="1"/>
  <c r="S50" i="1"/>
  <c r="Q519" i="1"/>
  <c r="R139" i="1"/>
  <c r="Q134" i="1"/>
  <c r="Q416" i="1"/>
  <c r="I200" i="1"/>
  <c r="J332" i="1"/>
  <c r="S13" i="1"/>
  <c r="K69" i="1"/>
  <c r="Q47" i="1"/>
  <c r="S48" i="1"/>
  <c r="I42" i="1"/>
  <c r="J350" i="1"/>
  <c r="Q159" i="1"/>
  <c r="S349" i="1"/>
  <c r="R332" i="1"/>
  <c r="Q304" i="1"/>
  <c r="I161" i="1"/>
  <c r="Q225" i="1"/>
  <c r="J65" i="1"/>
  <c r="J54" i="1"/>
  <c r="T37" i="1"/>
  <c r="R348" i="1"/>
  <c r="J51" i="1"/>
  <c r="Q162" i="1"/>
  <c r="K45" i="1"/>
  <c r="I107" i="1"/>
  <c r="S44" i="1"/>
  <c r="R42" i="1"/>
  <c r="I53" i="1"/>
  <c r="I438" i="1"/>
  <c r="K42" i="1"/>
  <c r="S397" i="1"/>
  <c r="S41" i="1"/>
  <c r="I292" i="1"/>
  <c r="K60" i="1"/>
  <c r="S57" i="1"/>
  <c r="T13" i="1"/>
  <c r="I439" i="1"/>
  <c r="J77" i="1"/>
  <c r="R410" i="1"/>
  <c r="I59" i="1"/>
  <c r="Q102" i="1"/>
  <c r="Q143" i="1"/>
  <c r="R371" i="1"/>
  <c r="Q299" i="1"/>
  <c r="I479" i="1"/>
  <c r="R373" i="1"/>
  <c r="Q5" i="1"/>
  <c r="T39" i="1"/>
  <c r="Q147" i="1"/>
  <c r="J47" i="1"/>
  <c r="T50" i="1"/>
  <c r="I323" i="1"/>
  <c r="J338" i="1"/>
  <c r="I358" i="1"/>
  <c r="Q283" i="1"/>
  <c r="S361" i="1"/>
  <c r="T11" i="1"/>
  <c r="L44" i="1"/>
  <c r="J71" i="1"/>
  <c r="I75" i="1"/>
  <c r="Q38" i="1"/>
  <c r="I57" i="1"/>
  <c r="Q56" i="1"/>
  <c r="I475" i="1"/>
  <c r="Q144" i="1"/>
  <c r="R159" i="1"/>
  <c r="L62" i="1"/>
  <c r="I207" i="1"/>
  <c r="I488" i="1"/>
  <c r="J67" i="1"/>
  <c r="I341" i="1"/>
  <c r="Q309" i="1"/>
  <c r="Q318" i="1"/>
  <c r="S49" i="1"/>
  <c r="R399" i="1"/>
  <c r="Q229" i="1"/>
  <c r="I344" i="1"/>
  <c r="I164" i="1"/>
  <c r="I289" i="1"/>
  <c r="Q272" i="1"/>
  <c r="Q37" i="1"/>
  <c r="I482" i="1"/>
  <c r="R69" i="1"/>
  <c r="Q151" i="1"/>
  <c r="Q125" i="1"/>
  <c r="S355" i="1"/>
  <c r="K340" i="1"/>
  <c r="Q44" i="1"/>
  <c r="J345" i="1"/>
  <c r="Q434" i="1"/>
  <c r="R181" i="1"/>
  <c r="S315" i="1"/>
  <c r="R26" i="1"/>
  <c r="Q27" i="1"/>
  <c r="S26" i="1"/>
  <c r="S19" i="1"/>
  <c r="R16" i="1"/>
  <c r="R7" i="1"/>
  <c r="T82" i="1"/>
  <c r="Q85" i="1"/>
  <c r="S87" i="1"/>
  <c r="Q82" i="1"/>
  <c r="L83" i="1"/>
  <c r="K84" i="1"/>
  <c r="K80" i="1"/>
  <c r="L84" i="1"/>
  <c r="I84" i="1"/>
  <c r="J41" i="1"/>
  <c r="L69" i="1"/>
  <c r="L65" i="1"/>
  <c r="Q156" i="1"/>
  <c r="Q483" i="1"/>
  <c r="S321" i="1"/>
  <c r="J208" i="1"/>
  <c r="S339" i="1"/>
  <c r="S366" i="1"/>
  <c r="R141" i="1"/>
  <c r="R10" i="1"/>
  <c r="R52" i="1"/>
  <c r="I201" i="1"/>
  <c r="S78" i="1"/>
  <c r="R381" i="1"/>
  <c r="S304" i="1"/>
  <c r="I159" i="1"/>
  <c r="I136" i="1"/>
  <c r="J167" i="1"/>
  <c r="Q339" i="1"/>
  <c r="I44" i="1"/>
  <c r="L63" i="1"/>
  <c r="J61" i="1"/>
  <c r="R44" i="1"/>
  <c r="Q455" i="1"/>
  <c r="T56" i="1"/>
  <c r="I337" i="1"/>
  <c r="T41" i="1"/>
  <c r="R148" i="1"/>
  <c r="I102" i="1"/>
  <c r="R321" i="1"/>
  <c r="T14" i="1"/>
  <c r="Q518" i="1"/>
  <c r="T78" i="1"/>
  <c r="S382" i="1"/>
  <c r="Q108" i="1"/>
  <c r="L53" i="1"/>
  <c r="R161" i="1"/>
  <c r="R303" i="1"/>
  <c r="J387" i="1"/>
  <c r="K364" i="1"/>
  <c r="I270" i="1"/>
  <c r="S10" i="1"/>
  <c r="I434" i="1"/>
  <c r="Q65" i="1"/>
  <c r="R60" i="1"/>
  <c r="I49" i="1"/>
  <c r="L75" i="1"/>
  <c r="L68" i="1"/>
  <c r="R167" i="1"/>
  <c r="J151" i="1"/>
  <c r="R55" i="1"/>
  <c r="R353" i="1"/>
  <c r="J150" i="1"/>
  <c r="I142" i="1"/>
  <c r="J43" i="1"/>
  <c r="J143" i="1"/>
  <c r="T58" i="1"/>
  <c r="S37" i="1"/>
  <c r="Q91" i="1"/>
  <c r="Q344" i="1"/>
  <c r="J383" i="1"/>
  <c r="T5" i="1"/>
  <c r="S324" i="1"/>
  <c r="J52" i="1"/>
  <c r="T54" i="1"/>
  <c r="Q388" i="1"/>
  <c r="I452" i="1"/>
  <c r="J408" i="1"/>
  <c r="R205" i="1"/>
  <c r="I68" i="1"/>
  <c r="I101" i="1"/>
  <c r="R35" i="1"/>
  <c r="K70" i="1"/>
  <c r="S346" i="1"/>
  <c r="K380" i="1"/>
  <c r="R155" i="1"/>
  <c r="Q342" i="1"/>
  <c r="K378" i="1"/>
  <c r="K317" i="1"/>
  <c r="I110" i="1"/>
  <c r="I343" i="1"/>
  <c r="J197" i="1"/>
  <c r="I103" i="1"/>
  <c r="Q369" i="1"/>
  <c r="J355" i="1"/>
  <c r="L78" i="1"/>
  <c r="Q360" i="1"/>
  <c r="Q497" i="1"/>
  <c r="J324" i="1"/>
  <c r="I235" i="1"/>
  <c r="I258" i="1"/>
  <c r="Q435" i="1"/>
  <c r="I316" i="1"/>
  <c r="Q491" i="1"/>
  <c r="Q408" i="1"/>
  <c r="Q358" i="1"/>
  <c r="K384" i="1"/>
  <c r="R157" i="1"/>
  <c r="I456" i="1"/>
  <c r="Q511" i="1"/>
  <c r="R185" i="1"/>
  <c r="I128" i="1"/>
  <c r="K374" i="1"/>
  <c r="I410" i="1"/>
  <c r="I266" i="1"/>
  <c r="Q463" i="1"/>
  <c r="Q502" i="1"/>
  <c r="K411" i="1"/>
  <c r="Q492" i="1"/>
  <c r="I436" i="1"/>
  <c r="S338" i="1"/>
  <c r="I295" i="1"/>
  <c r="Q423" i="1"/>
  <c r="Q113" i="1"/>
  <c r="Q158" i="1"/>
  <c r="R360" i="1"/>
  <c r="I146" i="1"/>
  <c r="S329" i="1"/>
  <c r="I188" i="1"/>
  <c r="I477" i="1"/>
  <c r="Q55" i="1"/>
  <c r="K346" i="1"/>
  <c r="K312" i="1"/>
  <c r="S46" i="1"/>
  <c r="Q341" i="1"/>
  <c r="I421" i="1"/>
  <c r="I206" i="1"/>
  <c r="Q222" i="1"/>
  <c r="K343" i="1"/>
  <c r="K399" i="1"/>
  <c r="I414" i="1"/>
  <c r="I223" i="1"/>
  <c r="I315" i="1"/>
  <c r="J176" i="1"/>
  <c r="I288" i="1"/>
  <c r="Q322" i="1"/>
  <c r="Q484" i="1"/>
  <c r="R383" i="1"/>
  <c r="R307" i="1"/>
  <c r="I411" i="1"/>
  <c r="S379" i="1"/>
  <c r="Q305" i="1"/>
  <c r="J413" i="1"/>
  <c r="K356" i="1"/>
  <c r="Q323" i="1"/>
  <c r="I105" i="1"/>
  <c r="I219" i="1"/>
  <c r="R178" i="1"/>
  <c r="K404" i="1"/>
  <c r="I217" i="1"/>
  <c r="J313" i="1"/>
  <c r="K35" i="1"/>
  <c r="J157" i="1"/>
  <c r="J207" i="1"/>
  <c r="Q527" i="1"/>
  <c r="Q462" i="1"/>
  <c r="R335" i="1"/>
  <c r="Q290" i="1"/>
  <c r="Q317" i="1"/>
  <c r="K333" i="1"/>
  <c r="Q62" i="1"/>
  <c r="Q118" i="1"/>
  <c r="J399" i="1"/>
  <c r="S372" i="1"/>
  <c r="R349" i="1"/>
  <c r="R12" i="1"/>
  <c r="L60" i="1"/>
  <c r="I283" i="1"/>
  <c r="J60" i="1"/>
  <c r="J206" i="1"/>
  <c r="I212" i="1"/>
  <c r="J55" i="1"/>
  <c r="I444" i="1"/>
  <c r="Q117" i="1"/>
  <c r="S375" i="1"/>
  <c r="Q321" i="1"/>
  <c r="Q431" i="1"/>
  <c r="Q310" i="1"/>
  <c r="J404" i="1"/>
  <c r="I91" i="1"/>
  <c r="Q251" i="1"/>
  <c r="I467" i="1"/>
  <c r="J181" i="1"/>
  <c r="Q199" i="1"/>
  <c r="I267" i="1"/>
  <c r="Q472" i="1"/>
  <c r="I321" i="1"/>
  <c r="I249" i="1"/>
  <c r="K297" i="1"/>
  <c r="Q461" i="1"/>
  <c r="Q72" i="1"/>
  <c r="I282" i="1"/>
  <c r="Q237" i="1"/>
  <c r="S386" i="1"/>
  <c r="J409" i="1"/>
  <c r="R384" i="1"/>
  <c r="Q400" i="1"/>
  <c r="Q486" i="1"/>
  <c r="I90" i="1"/>
  <c r="I350" i="1"/>
  <c r="I100" i="1"/>
  <c r="Q475" i="1"/>
  <c r="Q496" i="1"/>
  <c r="Q356" i="1"/>
  <c r="I381" i="1"/>
  <c r="I502" i="1"/>
  <c r="Q95" i="1"/>
  <c r="Q372" i="1"/>
  <c r="I393" i="1"/>
  <c r="Q398" i="1"/>
  <c r="J375" i="1"/>
  <c r="J330" i="1"/>
  <c r="Q307" i="1"/>
  <c r="T4" i="1"/>
  <c r="I512" i="1"/>
  <c r="K408" i="1"/>
  <c r="S400" i="1"/>
  <c r="R389" i="1"/>
  <c r="I248" i="1"/>
  <c r="S401" i="1"/>
  <c r="Q363" i="1"/>
  <c r="Q367" i="1"/>
  <c r="Q503" i="1"/>
  <c r="I215" i="1"/>
  <c r="K44" i="1"/>
  <c r="I150" i="1"/>
  <c r="I326" i="1"/>
  <c r="Q396" i="1"/>
  <c r="R413" i="1"/>
  <c r="J372" i="1"/>
  <c r="J311" i="1"/>
  <c r="S333" i="1"/>
  <c r="I449" i="1"/>
  <c r="S392" i="1"/>
  <c r="R176" i="1"/>
  <c r="S334" i="1"/>
  <c r="Q9" i="1"/>
  <c r="L37" i="1"/>
  <c r="S351" i="1"/>
  <c r="R297" i="1"/>
  <c r="K370" i="1"/>
  <c r="R151" i="1"/>
  <c r="R376" i="1"/>
  <c r="K342" i="1"/>
  <c r="S314" i="1"/>
  <c r="Q189" i="1"/>
  <c r="Q421" i="1"/>
  <c r="Q45" i="1"/>
  <c r="I433" i="1"/>
  <c r="R408" i="1"/>
  <c r="I56" i="1"/>
  <c r="I311" i="1"/>
  <c r="I495" i="1"/>
  <c r="I451" i="1"/>
  <c r="I420" i="1"/>
  <c r="S297" i="1"/>
  <c r="Q480" i="1"/>
  <c r="J340" i="1"/>
  <c r="I196" i="1"/>
  <c r="R166" i="1"/>
  <c r="J344" i="1"/>
  <c r="I104" i="1"/>
  <c r="Q227" i="1"/>
  <c r="S348" i="1"/>
  <c r="Q293" i="1"/>
  <c r="T66" i="1"/>
  <c r="J410" i="1"/>
  <c r="Q167" i="1"/>
  <c r="S404" i="1"/>
  <c r="Q474" i="1"/>
  <c r="Q228" i="1"/>
  <c r="J316" i="1"/>
  <c r="I359" i="1"/>
  <c r="K321" i="1"/>
  <c r="J395" i="1"/>
  <c r="S383" i="1"/>
  <c r="S405" i="1"/>
  <c r="I332" i="1"/>
  <c r="J314" i="1"/>
  <c r="K75" i="1"/>
  <c r="Q205" i="1"/>
  <c r="I455" i="1"/>
  <c r="S309" i="1"/>
  <c r="I123" i="1"/>
  <c r="R150" i="1"/>
  <c r="I418" i="1"/>
  <c r="Q424" i="1"/>
  <c r="Q479" i="1"/>
  <c r="I511" i="1"/>
  <c r="Q308" i="1"/>
  <c r="J170" i="1"/>
  <c r="R306" i="1"/>
  <c r="Q182" i="1"/>
  <c r="R162" i="1"/>
  <c r="K389" i="1"/>
  <c r="J382" i="1"/>
  <c r="R168" i="1"/>
  <c r="I180" i="1"/>
  <c r="Q249" i="1"/>
  <c r="Q244" i="1"/>
  <c r="I491" i="1"/>
  <c r="R412" i="1"/>
  <c r="Q271" i="1"/>
  <c r="S393" i="1"/>
  <c r="Q234" i="1"/>
  <c r="I204" i="1"/>
  <c r="Q178" i="1"/>
  <c r="K363" i="1"/>
  <c r="Q362" i="1"/>
  <c r="Q169" i="1"/>
  <c r="I94" i="1"/>
  <c r="I419" i="1"/>
  <c r="K295" i="1"/>
  <c r="I151" i="1"/>
  <c r="R195" i="1"/>
  <c r="R160" i="1"/>
  <c r="S374" i="1"/>
  <c r="J363" i="1"/>
  <c r="I400" i="1"/>
  <c r="Q264" i="1"/>
  <c r="I264" i="1"/>
  <c r="S327" i="1"/>
  <c r="Q332" i="1"/>
  <c r="I166" i="1"/>
  <c r="J331" i="1"/>
  <c r="R171" i="1"/>
  <c r="I391" i="1"/>
  <c r="J45" i="1"/>
  <c r="S342" i="1"/>
  <c r="J411" i="1"/>
  <c r="I163" i="1"/>
  <c r="Q219" i="1"/>
  <c r="Q386" i="1"/>
  <c r="S322" i="1"/>
  <c r="I177" i="1"/>
  <c r="I158" i="1"/>
  <c r="I122" i="1"/>
  <c r="I389" i="1"/>
  <c r="Q116" i="1"/>
  <c r="Q397" i="1"/>
  <c r="I356" i="1"/>
  <c r="L45" i="1"/>
  <c r="I135" i="1"/>
  <c r="Q48" i="1"/>
  <c r="I251" i="1"/>
  <c r="Q157" i="1"/>
  <c r="J385" i="1"/>
  <c r="R385" i="1"/>
  <c r="J302" i="1"/>
  <c r="S381" i="1"/>
  <c r="L74" i="1"/>
  <c r="K43" i="1"/>
  <c r="R338" i="1"/>
  <c r="Q401" i="1"/>
  <c r="I299" i="1"/>
  <c r="K410" i="1"/>
  <c r="Q509" i="1"/>
  <c r="Q136" i="1"/>
  <c r="J298" i="1"/>
  <c r="I214" i="1"/>
  <c r="Q241" i="1"/>
  <c r="K313" i="1"/>
  <c r="I176" i="1"/>
  <c r="I484" i="1"/>
  <c r="L47" i="1"/>
  <c r="Q510" i="1"/>
  <c r="J362" i="1"/>
  <c r="Q378" i="1"/>
  <c r="R302" i="1"/>
  <c r="L39" i="1"/>
  <c r="S365" i="1"/>
  <c r="J42" i="1"/>
  <c r="I329" i="1"/>
  <c r="J346" i="1"/>
  <c r="R172" i="1"/>
  <c r="R301" i="1"/>
  <c r="I279" i="1"/>
  <c r="I386" i="1"/>
  <c r="S343" i="1"/>
  <c r="K49" i="1"/>
  <c r="J335" i="1"/>
  <c r="I319" i="1"/>
  <c r="Q208" i="1"/>
  <c r="J403" i="1"/>
  <c r="I361" i="1"/>
  <c r="Q478" i="1"/>
  <c r="Q282" i="1"/>
  <c r="I125" i="1"/>
  <c r="I238" i="1"/>
  <c r="Q394" i="1"/>
  <c r="J374" i="1"/>
  <c r="Q175" i="1"/>
  <c r="R324" i="1"/>
  <c r="J339" i="1"/>
  <c r="Q70" i="1"/>
  <c r="K325" i="1"/>
  <c r="J380" i="1"/>
  <c r="Q200" i="1"/>
  <c r="I367" i="1"/>
  <c r="J407" i="1"/>
  <c r="J358" i="1"/>
  <c r="K336" i="1"/>
  <c r="J180" i="1"/>
  <c r="J70" i="1"/>
  <c r="S403" i="1"/>
  <c r="I405" i="1"/>
  <c r="I503" i="1"/>
  <c r="Q194" i="1"/>
  <c r="K337" i="1"/>
  <c r="I497" i="1"/>
  <c r="J400" i="1"/>
  <c r="I375" i="1"/>
  <c r="I513" i="1"/>
  <c r="R177" i="1"/>
  <c r="S344" i="1"/>
  <c r="I301" i="1"/>
  <c r="Q94" i="1"/>
  <c r="K381" i="1"/>
  <c r="S411" i="1"/>
  <c r="R392" i="1"/>
  <c r="Q415" i="1"/>
  <c r="Q371" i="1"/>
  <c r="J349" i="1"/>
  <c r="J393" i="1"/>
  <c r="K309" i="1"/>
  <c r="Q262" i="1"/>
  <c r="Q501" i="1"/>
  <c r="R300" i="1"/>
  <c r="K358" i="1"/>
  <c r="R73" i="1"/>
  <c r="R186" i="1"/>
  <c r="I149" i="1"/>
  <c r="R296" i="1"/>
  <c r="Q233" i="1"/>
  <c r="Q92" i="1"/>
  <c r="R170" i="1"/>
  <c r="K388" i="1"/>
  <c r="Q210" i="1"/>
  <c r="J148" i="1"/>
  <c r="R318" i="1"/>
  <c r="J196" i="1"/>
  <c r="I246" i="1"/>
  <c r="R184" i="1"/>
  <c r="Q88" i="1"/>
  <c r="K310" i="1"/>
  <c r="R387" i="1"/>
  <c r="R327" i="1"/>
  <c r="Q246" i="1"/>
  <c r="I403" i="1"/>
  <c r="R336" i="1"/>
  <c r="Q106" i="1"/>
  <c r="R149" i="1"/>
  <c r="I345" i="1"/>
  <c r="K37" i="1"/>
  <c r="Q218" i="1"/>
  <c r="J319" i="1"/>
  <c r="I424" i="1"/>
  <c r="Q313" i="1"/>
  <c r="S407" i="1"/>
  <c r="I443" i="1"/>
  <c r="Q380" i="1"/>
  <c r="K322" i="1"/>
  <c r="Q115" i="1"/>
  <c r="I317" i="1"/>
  <c r="K357" i="1"/>
  <c r="R362" i="1"/>
  <c r="I506" i="1"/>
  <c r="I404" i="1"/>
  <c r="J166" i="1"/>
  <c r="R361" i="1"/>
  <c r="S371" i="1"/>
  <c r="R372" i="1"/>
  <c r="Q259" i="1"/>
  <c r="Q142" i="1"/>
  <c r="Q338" i="1"/>
  <c r="J194" i="1"/>
  <c r="J75" i="1"/>
  <c r="S303" i="1"/>
  <c r="Q255" i="1"/>
  <c r="R64" i="1"/>
  <c r="I313" i="1"/>
  <c r="Q443" i="1"/>
  <c r="K338" i="1"/>
  <c r="S389" i="1"/>
  <c r="Q188" i="1"/>
  <c r="Q99" i="1"/>
  <c r="K341" i="1"/>
  <c r="K409" i="1"/>
  <c r="R198" i="1"/>
  <c r="Q294" i="1"/>
  <c r="T48" i="1"/>
  <c r="I480" i="1"/>
  <c r="Q126" i="1"/>
  <c r="S58" i="1"/>
  <c r="J159" i="1"/>
  <c r="M159" i="1" s="1"/>
  <c r="K320" i="1"/>
  <c r="J145" i="1"/>
  <c r="I382" i="1"/>
  <c r="I193" i="1"/>
  <c r="I121" i="1"/>
  <c r="J366" i="1"/>
  <c r="I261" i="1"/>
  <c r="Q384" i="1"/>
  <c r="Q129" i="1"/>
  <c r="Q191" i="1"/>
  <c r="I40" i="1"/>
  <c r="I464" i="1"/>
  <c r="Q217" i="1"/>
  <c r="J161" i="1"/>
  <c r="M161" i="1" s="1"/>
  <c r="I202" i="1"/>
  <c r="I351" i="1"/>
  <c r="K403" i="1"/>
  <c r="K298" i="1"/>
  <c r="Q235" i="1"/>
  <c r="Q168" i="1"/>
  <c r="Q224" i="1"/>
  <c r="Q319" i="1"/>
  <c r="Q389" i="1"/>
  <c r="I517" i="1"/>
  <c r="R190" i="1"/>
  <c r="L66" i="1"/>
  <c r="J305" i="1"/>
  <c r="I318" i="1"/>
  <c r="Q425" i="1"/>
  <c r="Q150" i="1"/>
  <c r="K383" i="1"/>
  <c r="Q504" i="1"/>
  <c r="I277" i="1"/>
  <c r="I231" i="1"/>
  <c r="J370" i="1"/>
  <c r="J189" i="1"/>
  <c r="I363" i="1"/>
  <c r="I523" i="1"/>
  <c r="T38" i="1"/>
  <c r="J373" i="1"/>
  <c r="S385" i="1"/>
  <c r="Q422" i="1"/>
  <c r="S72" i="1"/>
  <c r="K294" i="1"/>
  <c r="I430" i="1"/>
  <c r="Q420" i="1"/>
  <c r="R179" i="1"/>
  <c r="T73" i="1"/>
  <c r="J152" i="1"/>
  <c r="S331" i="1"/>
  <c r="Q230" i="1"/>
  <c r="Q490" i="1"/>
  <c r="J329" i="1"/>
  <c r="J182" i="1"/>
  <c r="J173" i="1"/>
  <c r="Q252" i="1"/>
  <c r="Q446" i="1"/>
  <c r="I457" i="1"/>
  <c r="Q466" i="1"/>
  <c r="Q198" i="1"/>
  <c r="I520" i="1"/>
  <c r="Q315" i="1"/>
  <c r="J177" i="1"/>
  <c r="K326" i="1"/>
  <c r="Q180" i="1"/>
  <c r="Q242" i="1"/>
  <c r="I516" i="1"/>
  <c r="R174" i="1"/>
  <c r="I307" i="1"/>
  <c r="I144" i="1"/>
  <c r="R192" i="1"/>
  <c r="Q450" i="1"/>
  <c r="I417" i="1"/>
  <c r="I131" i="1"/>
  <c r="Q465" i="1"/>
  <c r="Q336" i="1"/>
  <c r="J140" i="1"/>
  <c r="R366" i="1"/>
  <c r="J352" i="1"/>
  <c r="I380" i="1"/>
  <c r="I116" i="1"/>
  <c r="S294" i="1"/>
  <c r="R330" i="1"/>
  <c r="S313" i="1"/>
  <c r="Q368" i="1"/>
  <c r="K38" i="1"/>
  <c r="Q231" i="1"/>
  <c r="Q209" i="1"/>
  <c r="Q152" i="1"/>
  <c r="J333" i="1"/>
  <c r="S330" i="1"/>
  <c r="Q179" i="1"/>
  <c r="I184" i="1"/>
  <c r="J191" i="1"/>
  <c r="Q448" i="1"/>
  <c r="Q403" i="1"/>
  <c r="Q213" i="1"/>
  <c r="Q330" i="1"/>
  <c r="I262" i="1"/>
  <c r="Q155" i="1"/>
  <c r="J405" i="1"/>
  <c r="I278" i="1"/>
  <c r="Q141" i="1"/>
  <c r="S325" i="1"/>
  <c r="Q239" i="1"/>
  <c r="R407" i="1"/>
  <c r="Q187" i="1"/>
  <c r="T69" i="1"/>
  <c r="I133" i="1"/>
  <c r="R401" i="1"/>
  <c r="R295" i="1"/>
  <c r="I354" i="1"/>
  <c r="J36" i="1"/>
  <c r="Q223" i="1"/>
  <c r="Q354" i="1"/>
  <c r="J192" i="1"/>
  <c r="Q413" i="1"/>
  <c r="R409" i="1"/>
  <c r="I374" i="1"/>
  <c r="K400" i="1"/>
  <c r="S391" i="1"/>
  <c r="S51" i="1"/>
  <c r="J139" i="1"/>
  <c r="R143" i="1"/>
  <c r="K56" i="1"/>
  <c r="R165" i="1"/>
  <c r="R138" i="1"/>
  <c r="S298" i="1"/>
  <c r="I291" i="1"/>
  <c r="Q220" i="1"/>
  <c r="I259" i="1"/>
  <c r="Q197" i="1"/>
  <c r="R397" i="1"/>
  <c r="K328" i="1"/>
  <c r="R188" i="1"/>
  <c r="J198" i="1"/>
  <c r="S377" i="1"/>
  <c r="I481" i="1"/>
  <c r="I470" i="1"/>
  <c r="I234" i="1"/>
  <c r="R364" i="1"/>
  <c r="K402" i="1"/>
  <c r="I197" i="1"/>
  <c r="Q521" i="1"/>
  <c r="Q402" i="1"/>
  <c r="S364" i="1"/>
  <c r="K308" i="1"/>
  <c r="J39" i="1"/>
  <c r="J193" i="1"/>
  <c r="S74" i="1"/>
  <c r="I228" i="1"/>
  <c r="S318" i="1"/>
  <c r="R298" i="1"/>
  <c r="I208" i="1"/>
  <c r="R200" i="1"/>
  <c r="R47" i="1"/>
  <c r="K300" i="1"/>
  <c r="I242" i="1"/>
  <c r="Q261" i="1"/>
  <c r="R394" i="1"/>
  <c r="I160" i="1"/>
  <c r="Q173" i="1"/>
  <c r="I521" i="1"/>
  <c r="I254" i="1"/>
  <c r="Q418" i="1"/>
  <c r="J195" i="1"/>
  <c r="J186" i="1"/>
  <c r="K349" i="1"/>
  <c r="I210" i="1"/>
  <c r="K397" i="1"/>
  <c r="Q471" i="1"/>
  <c r="R72" i="1"/>
  <c r="I500" i="1"/>
  <c r="Q284" i="1"/>
  <c r="Q174" i="1"/>
  <c r="Q314" i="1"/>
  <c r="K361" i="1"/>
  <c r="Q183" i="1"/>
  <c r="R411" i="1"/>
  <c r="I230" i="1"/>
  <c r="Q489" i="1"/>
  <c r="K301" i="1"/>
  <c r="S384" i="1"/>
  <c r="I448" i="1"/>
  <c r="R398" i="1"/>
  <c r="Q505" i="1"/>
  <c r="I186" i="1"/>
  <c r="Q289" i="1"/>
  <c r="R140" i="1"/>
  <c r="I170" i="1"/>
  <c r="Q345" i="1"/>
  <c r="I312" i="1"/>
  <c r="S75" i="1"/>
  <c r="Q232" i="1"/>
  <c r="I501" i="1"/>
  <c r="I106" i="1"/>
  <c r="R197" i="1"/>
  <c r="Q437" i="1"/>
  <c r="I220" i="1"/>
  <c r="S363" i="1"/>
  <c r="K47" i="1"/>
  <c r="J308" i="1"/>
  <c r="K369" i="1"/>
  <c r="J304" i="1"/>
  <c r="K396" i="1"/>
  <c r="I181" i="1"/>
  <c r="I145" i="1"/>
  <c r="S317" i="1"/>
  <c r="S39" i="1"/>
  <c r="I396" i="1"/>
  <c r="Q123" i="1"/>
  <c r="J74" i="1"/>
  <c r="K314" i="1"/>
  <c r="I93" i="1"/>
  <c r="Q238" i="1"/>
  <c r="Q347" i="1"/>
  <c r="I370" i="1"/>
  <c r="I96" i="1"/>
  <c r="J321" i="1"/>
  <c r="I97" i="1"/>
  <c r="S67" i="1"/>
  <c r="J174" i="1"/>
  <c r="J200" i="1"/>
  <c r="S359" i="1"/>
  <c r="R154" i="1"/>
  <c r="L43" i="1"/>
  <c r="J144" i="1"/>
  <c r="I519" i="1"/>
  <c r="I499" i="1"/>
  <c r="K413" i="1"/>
  <c r="R391" i="1"/>
  <c r="Q93" i="1"/>
  <c r="I300" i="1"/>
  <c r="R204" i="1"/>
  <c r="R46" i="1"/>
  <c r="I237" i="1"/>
  <c r="Q370" i="1"/>
  <c r="T57" i="1"/>
  <c r="S341" i="1"/>
  <c r="K406" i="1"/>
  <c r="Q452" i="1"/>
  <c r="I362" i="1"/>
  <c r="J386" i="1"/>
  <c r="I226" i="1"/>
  <c r="I518" i="1"/>
  <c r="Q485" i="1"/>
  <c r="I348" i="1"/>
  <c r="R382" i="1"/>
  <c r="I525" i="1"/>
  <c r="I461" i="1"/>
  <c r="R305" i="1"/>
  <c r="I239" i="1"/>
  <c r="Q266" i="1"/>
  <c r="J391" i="1"/>
  <c r="I95" i="1"/>
  <c r="K372" i="1"/>
  <c r="Q320" i="1"/>
  <c r="I369" i="1"/>
  <c r="J379" i="1"/>
  <c r="I327" i="1"/>
  <c r="J141" i="1"/>
  <c r="J184" i="1"/>
  <c r="Q176" i="1"/>
  <c r="Q236" i="1"/>
  <c r="K55" i="1"/>
  <c r="S354" i="1"/>
  <c r="I376" i="1"/>
  <c r="R203" i="1"/>
  <c r="Q146" i="1"/>
  <c r="K412" i="1"/>
  <c r="K401" i="1"/>
  <c r="I260" i="1"/>
  <c r="R393" i="1"/>
  <c r="I378" i="1"/>
  <c r="I412" i="1"/>
  <c r="J396" i="1"/>
  <c r="Q451" i="1"/>
  <c r="R402" i="1"/>
  <c r="I213" i="1"/>
  <c r="Q278" i="1"/>
  <c r="I515" i="1"/>
  <c r="Q453" i="1"/>
  <c r="Q440" i="1"/>
  <c r="Q250" i="1"/>
  <c r="I224" i="1"/>
  <c r="I407" i="1"/>
  <c r="Q373" i="1"/>
  <c r="Q327" i="1"/>
  <c r="J318" i="1"/>
  <c r="I460" i="1"/>
  <c r="I232" i="1"/>
  <c r="K334" i="1"/>
  <c r="I198" i="1"/>
  <c r="Q331" i="1"/>
  <c r="Q340" i="1"/>
  <c r="J327" i="1"/>
  <c r="Q494" i="1"/>
  <c r="Q350" i="1"/>
  <c r="S398" i="1"/>
  <c r="Q193" i="1"/>
  <c r="Q374" i="1"/>
  <c r="R194" i="1"/>
  <c r="S358" i="1"/>
  <c r="K395" i="1"/>
  <c r="I245" i="1"/>
  <c r="R173" i="1"/>
  <c r="K307" i="1"/>
  <c r="I293" i="1"/>
  <c r="Q50" i="1"/>
  <c r="Q520" i="1"/>
  <c r="K393" i="1"/>
  <c r="S326" i="1"/>
  <c r="Q526" i="1"/>
  <c r="I233" i="1"/>
  <c r="T45" i="1"/>
  <c r="K329" i="1"/>
  <c r="Q379" i="1"/>
  <c r="Q247" i="1"/>
  <c r="Q493" i="1"/>
  <c r="T75" i="1"/>
  <c r="I371" i="1"/>
  <c r="Q399" i="1"/>
  <c r="Q377" i="1"/>
  <c r="Q221" i="1"/>
  <c r="Q132" i="1"/>
  <c r="Q382" i="1"/>
  <c r="R147" i="1"/>
  <c r="Q405" i="1"/>
  <c r="J178" i="1"/>
  <c r="S367" i="1"/>
  <c r="R356" i="1"/>
  <c r="Q523" i="1"/>
  <c r="K394" i="1"/>
  <c r="I296" i="1"/>
  <c r="I70" i="1"/>
  <c r="J384" i="1"/>
  <c r="I330" i="1"/>
  <c r="Q279" i="1"/>
  <c r="I397" i="1"/>
  <c r="J44" i="1"/>
  <c r="I474" i="1"/>
  <c r="K299" i="1"/>
  <c r="J179" i="1"/>
  <c r="I120" i="1"/>
  <c r="Q326" i="1"/>
  <c r="R304" i="1"/>
  <c r="J163" i="1"/>
  <c r="Q329" i="1"/>
  <c r="Q49" i="1"/>
  <c r="I447" i="1"/>
  <c r="Q517" i="1"/>
  <c r="Q512" i="1"/>
  <c r="I205" i="1"/>
  <c r="J406" i="1"/>
  <c r="Q100" i="1"/>
  <c r="K351" i="1"/>
  <c r="S378" i="1"/>
  <c r="Q495" i="1"/>
  <c r="Q254" i="1"/>
  <c r="I148" i="1"/>
  <c r="S388" i="1"/>
  <c r="R355" i="1"/>
  <c r="J315" i="1"/>
  <c r="J203" i="1"/>
  <c r="S357" i="1"/>
  <c r="K58" i="1"/>
  <c r="I463" i="1"/>
  <c r="J309" i="1"/>
  <c r="R294" i="1"/>
  <c r="I302" i="1"/>
  <c r="N159" i="1"/>
  <c r="Q253" i="1"/>
  <c r="I194" i="1"/>
  <c r="Q303" i="1"/>
  <c r="K371" i="1"/>
  <c r="Q417" i="1"/>
  <c r="K348" i="1"/>
  <c r="I89" i="1"/>
  <c r="Q69" i="1"/>
  <c r="Q506" i="1"/>
  <c r="I510" i="1"/>
  <c r="I338" i="1"/>
  <c r="J312" i="1"/>
  <c r="K398" i="1"/>
  <c r="K39" i="1"/>
  <c r="I305" i="1"/>
  <c r="R365" i="1"/>
  <c r="R175" i="1"/>
  <c r="Q214" i="1"/>
  <c r="I199" i="1"/>
  <c r="I492" i="1"/>
  <c r="I334" i="1"/>
  <c r="S332" i="1"/>
  <c r="R329" i="1"/>
  <c r="Q257" i="1"/>
  <c r="Q111" i="1"/>
  <c r="Q103" i="1"/>
  <c r="Q460" i="1"/>
  <c r="R347" i="1"/>
  <c r="Q211" i="1"/>
  <c r="Q196" i="1"/>
  <c r="J295" i="1"/>
  <c r="I490" i="1"/>
  <c r="R74" i="1"/>
  <c r="R341" i="1"/>
  <c r="I171" i="1"/>
  <c r="Q499" i="1"/>
  <c r="R344" i="1"/>
  <c r="Q184" i="1"/>
  <c r="J183" i="1"/>
  <c r="K316" i="1"/>
  <c r="K373" i="1"/>
  <c r="I216" i="1"/>
  <c r="I384" i="1"/>
  <c r="I340" i="1"/>
  <c r="R357" i="1"/>
  <c r="J317" i="1"/>
  <c r="I179" i="1"/>
  <c r="S402" i="1"/>
  <c r="S305" i="1"/>
  <c r="S69" i="1"/>
  <c r="I335" i="1"/>
  <c r="S412" i="1"/>
  <c r="J353" i="1"/>
  <c r="J348" i="1"/>
  <c r="T74" i="1"/>
  <c r="I409" i="1"/>
  <c r="N160" i="1"/>
  <c r="J326" i="1"/>
  <c r="S360" i="1"/>
  <c r="Q406" i="1"/>
  <c r="I402" i="1"/>
  <c r="J300" i="1"/>
  <c r="Q427" i="1"/>
  <c r="R191" i="1"/>
  <c r="I399" i="1"/>
  <c r="I229" i="1"/>
  <c r="I509" i="1"/>
  <c r="S376" i="1"/>
  <c r="Q154" i="1"/>
  <c r="J205" i="1"/>
  <c r="Q365" i="1"/>
  <c r="I514" i="1"/>
  <c r="I425" i="1"/>
  <c r="S302" i="1"/>
  <c r="I357" i="1"/>
  <c r="S323" i="1"/>
  <c r="S312" i="1"/>
  <c r="R400" i="1"/>
  <c r="Q454" i="1"/>
  <c r="Q270" i="1"/>
  <c r="J365" i="1"/>
  <c r="I276" i="1"/>
  <c r="J367" i="1"/>
  <c r="J328" i="1"/>
  <c r="R328" i="1"/>
  <c r="S380" i="1"/>
  <c r="Q426" i="1"/>
  <c r="S356" i="1"/>
  <c r="Q190" i="1"/>
  <c r="Q172" i="1"/>
  <c r="L61" i="1"/>
  <c r="I134" i="1"/>
  <c r="Q477" i="1"/>
  <c r="I473" i="1"/>
  <c r="J156" i="1"/>
  <c r="I256" i="1"/>
  <c r="R146" i="1"/>
  <c r="K324" i="1"/>
  <c r="I498" i="1"/>
  <c r="I445" i="1"/>
  <c r="R403" i="1"/>
  <c r="Q248" i="1"/>
  <c r="S350" i="1"/>
  <c r="I413" i="1"/>
  <c r="J341" i="1"/>
  <c r="I124" i="1"/>
  <c r="I303" i="1"/>
  <c r="K386" i="1"/>
  <c r="R340" i="1"/>
  <c r="K360" i="1"/>
  <c r="Q414" i="1"/>
  <c r="J297" i="1"/>
  <c r="J306" i="1"/>
  <c r="K382" i="1"/>
  <c r="Q351" i="1"/>
  <c r="Q316" i="1"/>
  <c r="Q212" i="1"/>
  <c r="I111" i="1"/>
  <c r="S73" i="1"/>
  <c r="J169" i="1"/>
  <c r="Q296" i="1"/>
  <c r="Q337" i="1"/>
  <c r="R339" i="1"/>
  <c r="Q508" i="1"/>
  <c r="R380" i="1"/>
  <c r="I127" i="1"/>
  <c r="I395" i="1"/>
  <c r="Q381" i="1"/>
  <c r="I388" i="1"/>
  <c r="Q145" i="1"/>
  <c r="I290" i="1"/>
  <c r="R316" i="1"/>
  <c r="R199" i="1"/>
  <c r="Q35" i="1"/>
  <c r="S370" i="1"/>
  <c r="I504" i="1"/>
  <c r="S368" i="1"/>
  <c r="I139" i="1"/>
  <c r="Q260" i="1"/>
  <c r="K344" i="1"/>
  <c r="I173" i="1"/>
  <c r="J310" i="1"/>
  <c r="Q391" i="1"/>
  <c r="Q353" i="1"/>
  <c r="K390" i="1"/>
  <c r="I192" i="1"/>
  <c r="J188" i="1"/>
  <c r="Q107" i="1"/>
  <c r="Q445" i="1"/>
  <c r="I189" i="1"/>
  <c r="I373" i="1"/>
  <c r="S71" i="1"/>
  <c r="J325" i="1"/>
  <c r="S316" i="1"/>
  <c r="Q216" i="1"/>
  <c r="Q77" i="1"/>
  <c r="Q164" i="1"/>
  <c r="I183" i="1"/>
  <c r="I507" i="1"/>
  <c r="Q334" i="1"/>
  <c r="S396" i="1"/>
  <c r="I35" i="1"/>
  <c r="Q75" i="1"/>
  <c r="J368" i="1"/>
  <c r="Q140" i="1"/>
  <c r="R317" i="1"/>
  <c r="J48" i="1"/>
  <c r="I453" i="1"/>
  <c r="Q436" i="1"/>
  <c r="Q392" i="1"/>
  <c r="S336" i="1"/>
  <c r="I331" i="1"/>
  <c r="J204" i="1"/>
  <c r="I175" i="1"/>
  <c r="J401" i="1"/>
  <c r="J369" i="1"/>
  <c r="S390" i="1"/>
  <c r="Q177" i="1"/>
  <c r="Q500" i="1"/>
  <c r="R180" i="1"/>
  <c r="I423" i="1"/>
  <c r="Q419" i="1"/>
  <c r="J199" i="1"/>
  <c r="I422" i="1"/>
  <c r="Q516" i="1"/>
  <c r="I372" i="1"/>
  <c r="I325" i="1"/>
  <c r="Q204" i="1"/>
  <c r="Q170" i="1"/>
  <c r="Q256" i="1"/>
  <c r="S413" i="1"/>
  <c r="I304" i="1"/>
  <c r="Q288" i="1"/>
  <c r="Q109" i="1"/>
  <c r="I522" i="1"/>
  <c r="I99" i="1"/>
  <c r="Q277" i="1"/>
  <c r="J361" i="1"/>
  <c r="S352" i="1"/>
  <c r="I138" i="1"/>
  <c r="I476" i="1"/>
  <c r="I108" i="1"/>
  <c r="S335" i="1"/>
  <c r="I406" i="1"/>
  <c r="R202" i="1"/>
  <c r="J381" i="1"/>
  <c r="I379" i="1"/>
  <c r="R390" i="1"/>
  <c r="Q139" i="1"/>
  <c r="I322" i="1"/>
  <c r="J294" i="1"/>
  <c r="R367" i="1"/>
  <c r="Q171" i="1"/>
  <c r="J307" i="1"/>
  <c r="J142" i="1"/>
  <c r="I130" i="1"/>
  <c r="R187" i="1"/>
  <c r="Q267" i="1"/>
  <c r="K305" i="1"/>
  <c r="K331" i="1"/>
  <c r="Q240" i="1"/>
  <c r="R314" i="1"/>
  <c r="K367" i="1"/>
  <c r="R310" i="1"/>
  <c r="I366" i="1"/>
  <c r="J50" i="1"/>
  <c r="Q346" i="1"/>
  <c r="R363" i="1"/>
  <c r="Q395" i="1"/>
  <c r="R311" i="1"/>
  <c r="J390" i="1"/>
  <c r="K323" i="1"/>
  <c r="Q311" i="1"/>
  <c r="K377" i="1"/>
  <c r="I429" i="1"/>
  <c r="I442" i="1"/>
  <c r="J392" i="1"/>
  <c r="I126" i="1"/>
  <c r="J394" i="1"/>
  <c r="I508" i="1"/>
  <c r="S387" i="1"/>
  <c r="Q181" i="1"/>
  <c r="I167" i="1"/>
  <c r="Q366" i="1"/>
  <c r="I252" i="1"/>
  <c r="R308" i="1"/>
  <c r="S307" i="1"/>
  <c r="S300" i="1"/>
  <c r="R370" i="1"/>
  <c r="T71" i="1"/>
  <c r="Q325" i="1"/>
  <c r="Q101" i="1"/>
  <c r="I308" i="1"/>
  <c r="J303" i="1"/>
  <c r="R334" i="1"/>
  <c r="Q459" i="1"/>
  <c r="Q258" i="1"/>
  <c r="Q263" i="1"/>
  <c r="Q98" i="1"/>
  <c r="I505" i="1"/>
  <c r="I385" i="1"/>
  <c r="K303" i="1"/>
  <c r="I195" i="1"/>
  <c r="J190" i="1"/>
  <c r="I415" i="1"/>
  <c r="K376" i="1"/>
  <c r="J402" i="1"/>
  <c r="Q375" i="1"/>
  <c r="I88" i="1"/>
  <c r="S399" i="1"/>
  <c r="Q487" i="1"/>
  <c r="I243" i="1"/>
  <c r="I355" i="1"/>
  <c r="R196" i="1"/>
  <c r="I190" i="1"/>
  <c r="I454" i="1"/>
  <c r="I309" i="1"/>
  <c r="I352" i="1"/>
  <c r="Q185" i="1"/>
  <c r="R396" i="1"/>
  <c r="J301" i="1"/>
  <c r="Q122" i="1"/>
  <c r="J185" i="1"/>
  <c r="Q268" i="1"/>
  <c r="R369" i="1"/>
  <c r="I485" i="1"/>
  <c r="I390" i="1"/>
  <c r="K315" i="1"/>
  <c r="I416" i="1"/>
  <c r="Q245" i="1"/>
  <c r="K339" i="1"/>
  <c r="R183" i="1"/>
  <c r="S299" i="1"/>
  <c r="Q387" i="1"/>
  <c r="Q128" i="1"/>
  <c r="J412" i="1"/>
  <c r="R48" i="1"/>
  <c r="K365" i="1"/>
  <c r="Q97" i="1"/>
  <c r="R75" i="1"/>
  <c r="Q432" i="1"/>
  <c r="I437" i="1"/>
  <c r="J172" i="1"/>
  <c r="R193" i="1"/>
  <c r="R359" i="1"/>
  <c r="I493" i="1"/>
  <c r="I247" i="1"/>
  <c r="I182" i="1"/>
  <c r="I526" i="1"/>
  <c r="I471" i="1"/>
  <c r="I394" i="1"/>
  <c r="I178" i="1"/>
  <c r="I401" i="1"/>
  <c r="Q447" i="1"/>
  <c r="R325" i="1"/>
  <c r="S319" i="1"/>
  <c r="K347" i="1"/>
  <c r="I387" i="1"/>
  <c r="R378" i="1"/>
  <c r="K335" i="1"/>
  <c r="I172" i="1"/>
  <c r="I185" i="1"/>
  <c r="Q104" i="1"/>
  <c r="Q110" i="1"/>
  <c r="J296" i="1"/>
  <c r="I191" i="1"/>
  <c r="Q333" i="1"/>
  <c r="I227" i="1"/>
  <c r="Q215" i="1"/>
  <c r="R189" i="1"/>
  <c r="R182" i="1"/>
  <c r="I408" i="1"/>
  <c r="I60" i="1"/>
  <c r="Q138" i="1"/>
  <c r="I320" i="1"/>
  <c r="J201" i="1"/>
  <c r="Q114" i="1"/>
  <c r="I432" i="1"/>
  <c r="I314" i="1"/>
  <c r="I328" i="1"/>
  <c r="I462" i="1"/>
  <c r="Q295" i="1"/>
  <c r="J357" i="1"/>
  <c r="K296" i="1"/>
  <c r="K350" i="1"/>
  <c r="Q393" i="1"/>
  <c r="K332" i="1"/>
  <c r="I392" i="1"/>
  <c r="Q243" i="1"/>
  <c r="T72" i="1"/>
  <c r="R337" i="1"/>
  <c r="M160" i="1"/>
  <c r="N161" i="1"/>
  <c r="K407" i="1"/>
  <c r="Q430" i="1"/>
  <c r="Q407" i="1"/>
  <c r="Q73" i="1"/>
  <c r="Q195" i="1"/>
  <c r="Q71" i="1"/>
  <c r="R315" i="1"/>
  <c r="I255" i="1"/>
  <c r="I284" i="1"/>
  <c r="Q186" i="1"/>
  <c r="R331" i="1"/>
  <c r="I441" i="1"/>
  <c r="J320" i="1"/>
  <c r="Q457" i="1"/>
  <c r="I209" i="1"/>
  <c r="Q74" i="1"/>
  <c r="I225" i="1"/>
  <c r="I468" i="1"/>
  <c r="I377" i="1"/>
  <c r="J356" i="1"/>
  <c r="R326" i="1"/>
  <c r="I465" i="1"/>
  <c r="Q301" i="1"/>
  <c r="J187" i="1"/>
  <c r="I241" i="1"/>
  <c r="R322" i="1"/>
  <c r="R375" i="1"/>
  <c r="R71" i="1"/>
  <c r="I489" i="1"/>
  <c r="I383" i="1"/>
  <c r="Q357" i="1"/>
  <c r="Q300" i="1"/>
  <c r="I265" i="1"/>
  <c r="Q119" i="1"/>
  <c r="S296" i="1"/>
  <c r="J322" i="1"/>
  <c r="J347" i="1"/>
  <c r="Q297" i="1"/>
  <c r="I435" i="1"/>
  <c r="R406" i="1"/>
  <c r="K327" i="1"/>
  <c r="I92" i="1"/>
  <c r="Q161" i="1"/>
  <c r="Q359" i="1"/>
  <c r="Q488" i="1"/>
  <c r="R313" i="1"/>
  <c r="J175" i="1"/>
  <c r="J364" i="1"/>
  <c r="R312" i="1"/>
  <c r="Q90" i="1"/>
  <c r="Q429" i="1"/>
  <c r="I222" i="1"/>
  <c r="I187" i="1"/>
  <c r="B1" i="1" l="1"/>
</calcChain>
</file>

<file path=xl/sharedStrings.xml><?xml version="1.0" encoding="utf-8"?>
<sst xmlns="http://schemas.openxmlformats.org/spreadsheetml/2006/main" count="2071" uniqueCount="708">
  <si>
    <t>input</t>
    <phoneticPr fontId="1"/>
  </si>
  <si>
    <t>output</t>
    <phoneticPr fontId="1"/>
  </si>
  <si>
    <t>テスト対象関数名</t>
    <rPh sb="3" eb="5">
      <t>タイショウ</t>
    </rPh>
    <rPh sb="5" eb="8">
      <t>カンスウメイ</t>
    </rPh>
    <phoneticPr fontId="1"/>
  </si>
  <si>
    <t>2進→2進</t>
    <rPh sb="1" eb="2">
      <t>シン</t>
    </rPh>
    <phoneticPr fontId="1"/>
  </si>
  <si>
    <t>2進→7進</t>
    <rPh sb="1" eb="2">
      <t>シン</t>
    </rPh>
    <phoneticPr fontId="1"/>
  </si>
  <si>
    <t>2進→16進</t>
    <rPh sb="1" eb="2">
      <t>シン</t>
    </rPh>
    <phoneticPr fontId="1"/>
  </si>
  <si>
    <t>7進→2進</t>
    <phoneticPr fontId="1"/>
  </si>
  <si>
    <t>7進→7進</t>
    <phoneticPr fontId="1"/>
  </si>
  <si>
    <t>7進→16進</t>
    <phoneticPr fontId="1"/>
  </si>
  <si>
    <t>16進→2進</t>
    <phoneticPr fontId="1"/>
  </si>
  <si>
    <t>16進→7進</t>
    <phoneticPr fontId="1"/>
  </si>
  <si>
    <t>16進→16進</t>
    <phoneticPr fontId="1"/>
  </si>
  <si>
    <t>期待値</t>
    <rPh sb="0" eb="2">
      <t>キタイ</t>
    </rPh>
    <rPh sb="2" eb="3">
      <t>チ</t>
    </rPh>
    <phoneticPr fontId="1"/>
  </si>
  <si>
    <t>判定</t>
    <rPh sb="0" eb="2">
      <t>ハンテイ</t>
    </rPh>
    <phoneticPr fontId="1"/>
  </si>
  <si>
    <t>0</t>
  </si>
  <si>
    <t>10</t>
  </si>
  <si>
    <t>10001</t>
  </si>
  <si>
    <t>23</t>
  </si>
  <si>
    <t>11</t>
  </si>
  <si>
    <t>総合判定</t>
    <rPh sb="0" eb="2">
      <t>ソウゴウ</t>
    </rPh>
    <rPh sb="2" eb="4">
      <t>ハンテイ</t>
    </rPh>
    <phoneticPr fontId="1"/>
  </si>
  <si>
    <t>66</t>
  </si>
  <si>
    <t>100</t>
  </si>
  <si>
    <t>FF</t>
  </si>
  <si>
    <t>toRadix ^ 2 - 1</t>
    <phoneticPr fontId="1"/>
  </si>
  <si>
    <t>toRadix ^ 2</t>
    <phoneticPr fontId="1"/>
  </si>
  <si>
    <t>toRadix + 1</t>
    <phoneticPr fontId="1"/>
  </si>
  <si>
    <t>FF</t>
    <phoneticPr fontId="1"/>
  </si>
  <si>
    <t>toRadix ^ 3 - 1</t>
    <phoneticPr fontId="1"/>
  </si>
  <si>
    <t>toRadix ^ 3</t>
    <phoneticPr fontId="1"/>
  </si>
  <si>
    <t>1000000000000</t>
    <phoneticPr fontId="1"/>
  </si>
  <si>
    <t>111111111111</t>
    <phoneticPr fontId="1"/>
  </si>
  <si>
    <t>111</t>
  </si>
  <si>
    <t>666</t>
  </si>
  <si>
    <t>FFF</t>
  </si>
  <si>
    <t>1000</t>
  </si>
  <si>
    <t>FFF</t>
    <phoneticPr fontId="1"/>
  </si>
  <si>
    <t>序数のオーバーフロー</t>
    <rPh sb="0" eb="2">
      <t>ジョスウ</t>
    </rPh>
    <phoneticPr fontId="1"/>
  </si>
  <si>
    <t>被除数のオーバーフロー</t>
    <rPh sb="0" eb="1">
      <t>ヒ</t>
    </rPh>
    <rPh sb="1" eb="3">
      <t>ジョスウ</t>
    </rPh>
    <phoneticPr fontId="1"/>
  </si>
  <si>
    <t>オーバーフローしない最大</t>
    <rPh sb="10" eb="11">
      <t>サイ</t>
    </rPh>
    <rPh sb="11" eb="12">
      <t>ダイ</t>
    </rPh>
    <phoneticPr fontId="1"/>
  </si>
  <si>
    <t>オーバフローする最小</t>
    <rPh sb="8" eb="10">
      <t>サイショウ</t>
    </rPh>
    <phoneticPr fontId="1"/>
  </si>
  <si>
    <t>1111111111111111111111111111111</t>
    <phoneticPr fontId="1"/>
  </si>
  <si>
    <t>10000000000000000000000000000000</t>
    <phoneticPr fontId="1"/>
  </si>
  <si>
    <t>0割チェック</t>
    <rPh sb="1" eb="2">
      <t>ワリ</t>
    </rPh>
    <phoneticPr fontId="1"/>
  </si>
  <si>
    <t>1割チェック</t>
    <rPh sb="1" eb="2">
      <t>ワリ</t>
    </rPh>
    <phoneticPr fontId="1"/>
  </si>
  <si>
    <t>1</t>
  </si>
  <si>
    <t/>
  </si>
  <si>
    <t>2進</t>
    <rPh sb="1" eb="2">
      <t>シン</t>
    </rPh>
    <phoneticPr fontId="1"/>
  </si>
  <si>
    <t>10進</t>
    <rPh sb="2" eb="3">
      <t>シン</t>
    </rPh>
    <phoneticPr fontId="1"/>
  </si>
  <si>
    <t>16進</t>
  </si>
  <si>
    <t>16進</t>
    <rPh sb="2" eb="3">
      <t>シン</t>
    </rPh>
    <phoneticPr fontId="1"/>
  </si>
  <si>
    <t>7FFFFFFF</t>
    <phoneticPr fontId="1"/>
  </si>
  <si>
    <t>(2,147,483,647(10))</t>
    <phoneticPr fontId="1"/>
  </si>
  <si>
    <t>(2,147,483,648(10))</t>
    <phoneticPr fontId="1"/>
  </si>
  <si>
    <t>(toRadixによる除算ループが</t>
    <phoneticPr fontId="1"/>
  </si>
  <si>
    <t xml:space="preserve"> 1回まわる時の最小限界)</t>
    <phoneticPr fontId="1"/>
  </si>
  <si>
    <t xml:space="preserve"> 1回まわる時の最大限界)</t>
    <phoneticPr fontId="1"/>
  </si>
  <si>
    <t xml:space="preserve"> 2回まわるの最小限界)</t>
    <phoneticPr fontId="1"/>
  </si>
  <si>
    <t xml:space="preserve"> 2回まわる時の最大限界)</t>
    <phoneticPr fontId="1"/>
  </si>
  <si>
    <t xml:space="preserve"> 3回まわるの最小限界)</t>
    <phoneticPr fontId="1"/>
  </si>
  <si>
    <t>divide</t>
    <phoneticPr fontId="1"/>
  </si>
  <si>
    <t>convIntPrtOfNPntToIntPrtOfNPnt</t>
    <phoneticPr fontId="1"/>
  </si>
  <si>
    <t>001111111111111111111111111111111</t>
    <phoneticPr fontId="1"/>
  </si>
  <si>
    <t>002147483647</t>
    <phoneticPr fontId="1"/>
  </si>
  <si>
    <t>007FFFFFFF</t>
    <phoneticPr fontId="1"/>
  </si>
  <si>
    <t>001000000000000000000000000000000000</t>
  </si>
  <si>
    <t>001000000000000000000000000000000000</t>
    <phoneticPr fontId="1"/>
  </si>
  <si>
    <t>00214748364800</t>
  </si>
  <si>
    <t>00214748364800</t>
    <phoneticPr fontId="1"/>
  </si>
  <si>
    <t>008000000000</t>
  </si>
  <si>
    <t>008000000000</t>
    <phoneticPr fontId="1"/>
  </si>
  <si>
    <t>00111111111111111111111111111111100</t>
    <phoneticPr fontId="1"/>
  </si>
  <si>
    <t>00214748364700</t>
    <phoneticPr fontId="1"/>
  </si>
  <si>
    <t>007FFFFFFF00</t>
    <phoneticPr fontId="1"/>
  </si>
  <si>
    <t>00000000000000000000000000000000100</t>
  </si>
  <si>
    <t>00000000000100</t>
  </si>
  <si>
    <t>000000000100</t>
  </si>
  <si>
    <t>小数点以下桁数指定</t>
    <rPh sb="0" eb="3">
      <t>ショウスウテン</t>
    </rPh>
    <rPh sb="3" eb="5">
      <t>イカ</t>
    </rPh>
    <rPh sb="5" eb="7">
      <t>ケタスウ</t>
    </rPh>
    <rPh sb="7" eb="9">
      <t>シテイ</t>
    </rPh>
    <phoneticPr fontId="1"/>
  </si>
  <si>
    <t>0桁</t>
    <rPh sb="1" eb="2">
      <t>ケタ</t>
    </rPh>
    <phoneticPr fontId="1"/>
  </si>
  <si>
    <t>011</t>
  </si>
  <si>
    <t>010</t>
  </si>
  <si>
    <t>0010</t>
  </si>
  <si>
    <t>3</t>
  </si>
  <si>
    <t>001</t>
  </si>
  <si>
    <t>5</t>
  </si>
  <si>
    <t>商 = 0</t>
    <rPh sb="0" eb="1">
      <t>ショウ</t>
    </rPh>
    <phoneticPr fontId="1"/>
  </si>
  <si>
    <t>商 = 1</t>
    <phoneticPr fontId="1"/>
  </si>
  <si>
    <t>剰余 = 0</t>
  </si>
  <si>
    <t>剰余 = 1</t>
  </si>
  <si>
    <t>商 = Radix - 1</t>
    <rPh sb="0" eb="1">
      <t>ショウ</t>
    </rPh>
    <phoneticPr fontId="1"/>
  </si>
  <si>
    <t>商 = Radix</t>
    <rPh sb="0" eb="1">
      <t>ショウ</t>
    </rPh>
    <phoneticPr fontId="1"/>
  </si>
  <si>
    <t>商 = Radix + 1</t>
    <rPh sb="0" eb="1">
      <t>ショウ</t>
    </rPh>
    <phoneticPr fontId="1"/>
  </si>
  <si>
    <t>商 = Radix ^ 2 - 1</t>
    <rPh sb="0" eb="1">
      <t>ショウ</t>
    </rPh>
    <phoneticPr fontId="1"/>
  </si>
  <si>
    <t>商 = Radix ^ 2</t>
    <rPh sb="0" eb="1">
      <t>ショウ</t>
    </rPh>
    <phoneticPr fontId="1"/>
  </si>
  <si>
    <t>商 = Radix ^ 2 + 1</t>
    <rPh sb="0" eb="1">
      <t>ショウ</t>
    </rPh>
    <phoneticPr fontId="1"/>
  </si>
  <si>
    <t>商 = Radix ^ 3 - 1</t>
    <rPh sb="0" eb="1">
      <t>ショウ</t>
    </rPh>
    <phoneticPr fontId="1"/>
  </si>
  <si>
    <t>商 = Radix ^ 3</t>
    <rPh sb="0" eb="1">
      <t>ショウ</t>
    </rPh>
    <phoneticPr fontId="1"/>
  </si>
  <si>
    <t>商 = Radix ^ 3 + 1</t>
    <rPh sb="0" eb="1">
      <t>ショウ</t>
    </rPh>
    <phoneticPr fontId="1"/>
  </si>
  <si>
    <t>剰余 = Radix - 1</t>
  </si>
  <si>
    <t>00</t>
  </si>
  <si>
    <t>F</t>
  </si>
  <si>
    <t>F</t>
    <phoneticPr fontId="1"/>
  </si>
  <si>
    <t>9</t>
  </si>
  <si>
    <t>被除数の桁数キープ</t>
    <phoneticPr fontId="1"/>
  </si>
  <si>
    <t>1111111111111111111111111111111</t>
    <phoneticPr fontId="1"/>
  </si>
  <si>
    <t>2147483647</t>
    <phoneticPr fontId="1"/>
  </si>
  <si>
    <t>1000000000000000000000000000000000</t>
    <phoneticPr fontId="1"/>
  </si>
  <si>
    <t>214748364800</t>
    <phoneticPr fontId="1"/>
  </si>
  <si>
    <t>8000000000</t>
    <phoneticPr fontId="1"/>
  </si>
  <si>
    <t>0000000000000000000000000000001</t>
  </si>
  <si>
    <t>0000000001</t>
  </si>
  <si>
    <t>00000001</t>
  </si>
  <si>
    <t>1</t>
    <phoneticPr fontId="1"/>
  </si>
  <si>
    <t>1</t>
    <phoneticPr fontId="1"/>
  </si>
  <si>
    <t>9</t>
    <phoneticPr fontId="1"/>
  </si>
  <si>
    <t>10</t>
    <phoneticPr fontId="1"/>
  </si>
  <si>
    <t>11</t>
    <phoneticPr fontId="1"/>
  </si>
  <si>
    <t>1</t>
    <phoneticPr fontId="1"/>
  </si>
  <si>
    <t>19</t>
    <phoneticPr fontId="1"/>
  </si>
  <si>
    <t>1F</t>
    <phoneticPr fontId="1"/>
  </si>
  <si>
    <t>01</t>
    <phoneticPr fontId="1"/>
  </si>
  <si>
    <t>01</t>
    <phoneticPr fontId="1"/>
  </si>
  <si>
    <t>0</t>
    <phoneticPr fontId="1"/>
  </si>
  <si>
    <t>0</t>
    <phoneticPr fontId="1"/>
  </si>
  <si>
    <t>90</t>
    <phoneticPr fontId="1"/>
  </si>
  <si>
    <t>F0</t>
    <phoneticPr fontId="1"/>
  </si>
  <si>
    <t>09</t>
    <phoneticPr fontId="1"/>
  </si>
  <si>
    <t>0F</t>
    <phoneticPr fontId="1"/>
  </si>
  <si>
    <t>91</t>
    <phoneticPr fontId="1"/>
  </si>
  <si>
    <t>F1</t>
    <phoneticPr fontId="1"/>
  </si>
  <si>
    <t>1</t>
    <phoneticPr fontId="1"/>
  </si>
  <si>
    <t>99</t>
    <phoneticPr fontId="1"/>
  </si>
  <si>
    <t>FF</t>
    <phoneticPr fontId="1"/>
  </si>
  <si>
    <t>9</t>
    <phoneticPr fontId="1"/>
  </si>
  <si>
    <t>F</t>
    <phoneticPr fontId="1"/>
  </si>
  <si>
    <t>0</t>
    <phoneticPr fontId="1"/>
  </si>
  <si>
    <t>0</t>
    <phoneticPr fontId="1"/>
  </si>
  <si>
    <t>100</t>
    <phoneticPr fontId="1"/>
  </si>
  <si>
    <t>1</t>
    <phoneticPr fontId="1"/>
  </si>
  <si>
    <t>1</t>
    <phoneticPr fontId="1"/>
  </si>
  <si>
    <t>9</t>
    <phoneticPr fontId="1"/>
  </si>
  <si>
    <t>F</t>
    <phoneticPr fontId="1"/>
  </si>
  <si>
    <t>101</t>
    <phoneticPr fontId="1"/>
  </si>
  <si>
    <t>109</t>
    <phoneticPr fontId="1"/>
  </si>
  <si>
    <t>10F</t>
    <phoneticPr fontId="1"/>
  </si>
  <si>
    <t>101</t>
    <phoneticPr fontId="1"/>
  </si>
  <si>
    <t>0</t>
    <phoneticPr fontId="1"/>
  </si>
  <si>
    <t>0</t>
    <phoneticPr fontId="1"/>
  </si>
  <si>
    <t>0</t>
    <phoneticPr fontId="1"/>
  </si>
  <si>
    <t>110</t>
    <phoneticPr fontId="1"/>
  </si>
  <si>
    <t>011</t>
    <phoneticPr fontId="1"/>
  </si>
  <si>
    <t>111</t>
    <phoneticPr fontId="1"/>
  </si>
  <si>
    <t>119</t>
    <phoneticPr fontId="1"/>
  </si>
  <si>
    <t>11F</t>
    <phoneticPr fontId="1"/>
  </si>
  <si>
    <t>990</t>
    <phoneticPr fontId="1"/>
  </si>
  <si>
    <t>099</t>
  </si>
  <si>
    <t>099</t>
    <phoneticPr fontId="1"/>
  </si>
  <si>
    <t>0</t>
    <phoneticPr fontId="1"/>
  </si>
  <si>
    <t>0FF</t>
  </si>
  <si>
    <t>0FF</t>
    <phoneticPr fontId="1"/>
  </si>
  <si>
    <t>0</t>
    <phoneticPr fontId="1"/>
  </si>
  <si>
    <t>FF0</t>
    <phoneticPr fontId="1"/>
  </si>
  <si>
    <t>111</t>
    <phoneticPr fontId="1"/>
  </si>
  <si>
    <t>991</t>
    <phoneticPr fontId="1"/>
  </si>
  <si>
    <t>FF1</t>
    <phoneticPr fontId="1"/>
  </si>
  <si>
    <t>999</t>
    <phoneticPr fontId="1"/>
  </si>
  <si>
    <t>FFF</t>
    <phoneticPr fontId="1"/>
  </si>
  <si>
    <t>1000</t>
    <phoneticPr fontId="1"/>
  </si>
  <si>
    <t>0100</t>
  </si>
  <si>
    <t>1001</t>
    <phoneticPr fontId="1"/>
  </si>
  <si>
    <t>1009</t>
    <phoneticPr fontId="1"/>
  </si>
  <si>
    <t>100F</t>
    <phoneticPr fontId="1"/>
  </si>
  <si>
    <t>1010</t>
    <phoneticPr fontId="1"/>
  </si>
  <si>
    <t>0101</t>
  </si>
  <si>
    <t>1011</t>
  </si>
  <si>
    <t>1011</t>
    <phoneticPr fontId="1"/>
  </si>
  <si>
    <t>1019</t>
    <phoneticPr fontId="1"/>
  </si>
  <si>
    <t>101F</t>
    <phoneticPr fontId="1"/>
  </si>
  <si>
    <t>10000</t>
    <phoneticPr fontId="1"/>
  </si>
  <si>
    <t>01000</t>
  </si>
  <si>
    <t>10001</t>
    <phoneticPr fontId="1"/>
  </si>
  <si>
    <t>10009</t>
    <phoneticPr fontId="1"/>
  </si>
  <si>
    <t>1000F</t>
    <phoneticPr fontId="1"/>
  </si>
  <si>
    <t>1111</t>
    <phoneticPr fontId="1"/>
  </si>
  <si>
    <t>1110</t>
    <phoneticPr fontId="1"/>
  </si>
  <si>
    <t>1110</t>
    <phoneticPr fontId="1"/>
  </si>
  <si>
    <t>1119</t>
    <phoneticPr fontId="1"/>
  </si>
  <si>
    <t>1111</t>
    <phoneticPr fontId="1"/>
  </si>
  <si>
    <t>111F</t>
    <phoneticPr fontId="1"/>
  </si>
  <si>
    <t>0111</t>
  </si>
  <si>
    <t>10010</t>
    <phoneticPr fontId="1"/>
  </si>
  <si>
    <t>01001</t>
  </si>
  <si>
    <t>10011</t>
    <phoneticPr fontId="1"/>
  </si>
  <si>
    <t>10019</t>
    <phoneticPr fontId="1"/>
  </si>
  <si>
    <t>1001F</t>
    <phoneticPr fontId="1"/>
  </si>
  <si>
    <t>255桁</t>
    <rPh sb="3" eb="4">
      <t>ケタ</t>
    </rPh>
    <phoneticPr fontId="1"/>
  </si>
  <si>
    <t>1桁</t>
    <rPh sb="1" eb="2">
      <t>ケタ</t>
    </rPh>
    <phoneticPr fontId="1"/>
  </si>
  <si>
    <t>3</t>
    <phoneticPr fontId="1"/>
  </si>
  <si>
    <t>5</t>
    <phoneticPr fontId="1"/>
  </si>
  <si>
    <t>F</t>
    <phoneticPr fontId="1"/>
  </si>
  <si>
    <t>00101010101010101010101010101010101010101010101010101010101010101010101010101010101010101010101010101010101010101010101010101010101010101010101010101010101010101010101010101010101010101010101010101010101010101010101010101010101010101010101010101010101010101</t>
  </si>
  <si>
    <t>1</t>
    <phoneticPr fontId="1"/>
  </si>
  <si>
    <t>0333333333333333333333333333333333333333333333333333333333333333333333333333333333333333333333333333333333333333333333333333333333333333333333333333333333333333333333333333333333333333333333333333333333333333333333333333333333333333333333333333333333333333</t>
  </si>
  <si>
    <t>001010101010101010101010101010101010101010101010101010101010101010101010101010101010101010101010101010101010101010101010101010101010101010101010101010101010101010101010101010101010101010101010101010101010101010101010101010101010101010101010101010101010101010</t>
  </si>
  <si>
    <t>2進(256桁指定)</t>
    <rPh sb="1" eb="2">
      <t>シン</t>
    </rPh>
    <rPh sb="6" eb="7">
      <t>ケタ</t>
    </rPh>
    <rPh sb="7" eb="9">
      <t>シテイ</t>
    </rPh>
    <phoneticPr fontId="1"/>
  </si>
  <si>
    <t>2進(255桁指定)</t>
    <rPh sb="1" eb="2">
      <t>シン</t>
    </rPh>
    <rPh sb="6" eb="7">
      <t>ケタ</t>
    </rPh>
    <rPh sb="7" eb="9">
      <t>シテイ</t>
    </rPh>
    <phoneticPr fontId="1"/>
  </si>
  <si>
    <t>0555555555555555555555555555555555555555555555555555555555555555555555555555555555555555555555555555555555555555555555555555555555555555555555555555555555555555555555555555555555555555555555555555555555555555555555555555555555555555555555555555555555555555</t>
  </si>
  <si>
    <t>03</t>
  </si>
  <si>
    <t>05</t>
  </si>
  <si>
    <t>2進(1桁指定)</t>
    <rPh sb="1" eb="2">
      <t>シン</t>
    </rPh>
    <rPh sb="4" eb="5">
      <t>ケタ</t>
    </rPh>
    <rPh sb="5" eb="7">
      <t>シテイ</t>
    </rPh>
    <phoneticPr fontId="1"/>
  </si>
  <si>
    <t>2進(2桁指定)</t>
    <rPh sb="1" eb="2">
      <t>シン</t>
    </rPh>
    <rPh sb="4" eb="5">
      <t>ケタ</t>
    </rPh>
    <rPh sb="5" eb="7">
      <t>シテイ</t>
    </rPh>
    <phoneticPr fontId="1"/>
  </si>
  <si>
    <t>(-)桁</t>
    <rPh sb="3" eb="4">
      <t>ケタ</t>
    </rPh>
    <phoneticPr fontId="1"/>
  </si>
  <si>
    <t>観点</t>
    <rPh sb="0" eb="2">
      <t>カンテン</t>
    </rPh>
    <phoneticPr fontId="1"/>
  </si>
  <si>
    <t>add</t>
    <phoneticPr fontId="1"/>
  </si>
  <si>
    <t>桁数あわせ</t>
    <rPh sb="0" eb="2">
      <t>ケタスウ</t>
    </rPh>
    <phoneticPr fontId="1"/>
  </si>
  <si>
    <t>val1 = 1文字, val2 = 1文字</t>
    <rPh sb="8" eb="10">
      <t>モジ</t>
    </rPh>
    <phoneticPr fontId="1"/>
  </si>
  <si>
    <t>val1 = 1文字, val2 = 2文字</t>
    <rPh sb="8" eb="10">
      <t>モジ</t>
    </rPh>
    <phoneticPr fontId="1"/>
  </si>
  <si>
    <t>val1 = 2文字, val2 = 1文字</t>
    <rPh sb="8" eb="10">
      <t>モジ</t>
    </rPh>
    <phoneticPr fontId="1"/>
  </si>
  <si>
    <t>00</t>
    <phoneticPr fontId="1"/>
  </si>
  <si>
    <t>和算ループ回数</t>
    <rPh sb="0" eb="2">
      <t>ワザン</t>
    </rPh>
    <rPh sb="5" eb="7">
      <t>カイスウ</t>
    </rPh>
    <phoneticPr fontId="1"/>
  </si>
  <si>
    <t>ループ1回</t>
    <rPh sb="4" eb="5">
      <t>カイ</t>
    </rPh>
    <phoneticPr fontId="1"/>
  </si>
  <si>
    <t>2進</t>
    <rPh sb="1" eb="2">
      <t>シン</t>
    </rPh>
    <phoneticPr fontId="1"/>
  </si>
  <si>
    <t>10進</t>
    <rPh sb="2" eb="3">
      <t>シン</t>
    </rPh>
    <phoneticPr fontId="1"/>
  </si>
  <si>
    <t>16進</t>
    <rPh sb="2" eb="3">
      <t>シン</t>
    </rPh>
    <phoneticPr fontId="1"/>
  </si>
  <si>
    <t>F</t>
    <phoneticPr fontId="1"/>
  </si>
  <si>
    <t>ループ2回</t>
    <rPh sb="4" eb="5">
      <t>カイ</t>
    </rPh>
    <phoneticPr fontId="1"/>
  </si>
  <si>
    <t>ループ3回</t>
    <rPh sb="4" eb="5">
      <t>カイ</t>
    </rPh>
    <phoneticPr fontId="1"/>
  </si>
  <si>
    <t>11</t>
    <phoneticPr fontId="1"/>
  </si>
  <si>
    <t>1</t>
    <phoneticPr fontId="1"/>
  </si>
  <si>
    <t>99</t>
  </si>
  <si>
    <t>99</t>
    <phoneticPr fontId="1"/>
  </si>
  <si>
    <t>1</t>
    <phoneticPr fontId="1"/>
  </si>
  <si>
    <t>FF</t>
    <phoneticPr fontId="1"/>
  </si>
  <si>
    <t>1</t>
    <phoneticPr fontId="1"/>
  </si>
  <si>
    <t>111</t>
    <phoneticPr fontId="1"/>
  </si>
  <si>
    <t>1</t>
    <phoneticPr fontId="1"/>
  </si>
  <si>
    <t>999</t>
    <phoneticPr fontId="1"/>
  </si>
  <si>
    <t>1</t>
    <phoneticPr fontId="1"/>
  </si>
  <si>
    <t>FFF</t>
    <phoneticPr fontId="1"/>
  </si>
  <si>
    <t>val1=0,val2=0,前桁carrier=0</t>
  </si>
  <si>
    <t>val1=0,val2=0,前桁carrier=1</t>
  </si>
  <si>
    <t>val1=0,val2=1,前桁carrier=0</t>
  </si>
  <si>
    <t>val1=0,val2=1,前桁carrier=1</t>
  </si>
  <si>
    <t>val1=1,val2=0,前桁carrier=0</t>
  </si>
  <si>
    <t>val1=1,val2=0,前桁carrier=1</t>
  </si>
  <si>
    <t>val1=1,val2=1,前桁carrier=0</t>
  </si>
  <si>
    <t>val1=1,val2=1,前桁carrier=1</t>
  </si>
  <si>
    <t>加算アルゴリズム</t>
    <rPh sb="0" eb="2">
      <t>カサン</t>
    </rPh>
    <phoneticPr fontId="1"/>
  </si>
  <si>
    <t>00</t>
    <phoneticPr fontId="1"/>
  </si>
  <si>
    <t>01</t>
  </si>
  <si>
    <t>01</t>
    <phoneticPr fontId="1"/>
  </si>
  <si>
    <t>09</t>
  </si>
  <si>
    <t>09</t>
    <phoneticPr fontId="1"/>
  </si>
  <si>
    <t>09</t>
    <phoneticPr fontId="1"/>
  </si>
  <si>
    <t>0F</t>
  </si>
  <si>
    <t>0F</t>
    <phoneticPr fontId="1"/>
  </si>
  <si>
    <t>18</t>
  </si>
  <si>
    <t>1E</t>
  </si>
  <si>
    <t>10</t>
    <phoneticPr fontId="1"/>
  </si>
  <si>
    <t>01</t>
    <phoneticPr fontId="1"/>
  </si>
  <si>
    <t>00</t>
    <phoneticPr fontId="1"/>
  </si>
  <si>
    <t>90</t>
    <phoneticPr fontId="1"/>
  </si>
  <si>
    <t>F0</t>
    <phoneticPr fontId="1"/>
  </si>
  <si>
    <t>99</t>
    <phoneticPr fontId="1"/>
  </si>
  <si>
    <t>108</t>
  </si>
  <si>
    <t>10E</t>
  </si>
  <si>
    <t>val1=0,val2=0</t>
    <phoneticPr fontId="1"/>
  </si>
  <si>
    <t>val1=0,val2=1</t>
    <phoneticPr fontId="1"/>
  </si>
  <si>
    <t>val1=1,val2=0</t>
    <phoneticPr fontId="1"/>
  </si>
  <si>
    <t>val1=1,val2=1</t>
    <phoneticPr fontId="1"/>
  </si>
  <si>
    <t>0</t>
    <phoneticPr fontId="1"/>
  </si>
  <si>
    <t>0</t>
    <phoneticPr fontId="1"/>
  </si>
  <si>
    <t>0</t>
    <phoneticPr fontId="1"/>
  </si>
  <si>
    <t>1</t>
    <phoneticPr fontId="1"/>
  </si>
  <si>
    <t>9</t>
    <phoneticPr fontId="1"/>
  </si>
  <si>
    <t>F</t>
    <phoneticPr fontId="1"/>
  </si>
  <si>
    <t>0</t>
    <phoneticPr fontId="1"/>
  </si>
  <si>
    <t>11</t>
    <phoneticPr fontId="1"/>
  </si>
  <si>
    <t>10</t>
    <phoneticPr fontId="1"/>
  </si>
  <si>
    <t>90</t>
    <phoneticPr fontId="1"/>
  </si>
  <si>
    <t>F0</t>
    <phoneticPr fontId="1"/>
  </si>
  <si>
    <t>101</t>
  </si>
  <si>
    <t>189</t>
  </si>
  <si>
    <t>1EF</t>
  </si>
  <si>
    <t>1</t>
    <phoneticPr fontId="1"/>
  </si>
  <si>
    <t>10進(最大)</t>
    <rPh sb="2" eb="3">
      <t>シン</t>
    </rPh>
    <rPh sb="4" eb="5">
      <t>サイ</t>
    </rPh>
    <rPh sb="5" eb="6">
      <t>ダイ</t>
    </rPh>
    <phoneticPr fontId="1"/>
  </si>
  <si>
    <t>10進(最小)</t>
    <rPh sb="2" eb="3">
      <t>シン</t>
    </rPh>
    <rPh sb="4" eb="6">
      <t>サイショウ</t>
    </rPh>
    <phoneticPr fontId="1"/>
  </si>
  <si>
    <t>16進(最大)</t>
    <rPh sb="2" eb="3">
      <t>シン</t>
    </rPh>
    <rPh sb="4" eb="5">
      <t>サイ</t>
    </rPh>
    <rPh sb="5" eb="6">
      <t>ダイ</t>
    </rPh>
    <phoneticPr fontId="1"/>
  </si>
  <si>
    <t>16進(最小)</t>
    <rPh sb="2" eb="3">
      <t>シン</t>
    </rPh>
    <rPh sb="4" eb="6">
      <t>サイショウ</t>
    </rPh>
    <phoneticPr fontId="1"/>
  </si>
  <si>
    <t>9</t>
    <phoneticPr fontId="1"/>
  </si>
  <si>
    <t>F</t>
    <phoneticPr fontId="1"/>
  </si>
  <si>
    <t>1</t>
    <phoneticPr fontId="1"/>
  </si>
  <si>
    <t>110</t>
  </si>
  <si>
    <t>198</t>
  </si>
  <si>
    <t>1FE</t>
  </si>
  <si>
    <t>multipleByOneDigit</t>
    <phoneticPr fontId="1"/>
  </si>
  <si>
    <t>0掛けチェック</t>
    <rPh sb="1" eb="2">
      <t>カ</t>
    </rPh>
    <phoneticPr fontId="1"/>
  </si>
  <si>
    <t>1掛けチェック</t>
    <rPh sb="1" eb="2">
      <t>カ</t>
    </rPh>
    <phoneticPr fontId="1"/>
  </si>
  <si>
    <t>0</t>
    <phoneticPr fontId="1"/>
  </si>
  <si>
    <t>1</t>
    <phoneticPr fontId="1"/>
  </si>
  <si>
    <t>10</t>
    <phoneticPr fontId="1"/>
  </si>
  <si>
    <t>11</t>
    <phoneticPr fontId="1"/>
  </si>
  <si>
    <t>101</t>
    <phoneticPr fontId="1"/>
  </si>
  <si>
    <t>乗算ループ回数</t>
    <rPh sb="0" eb="2">
      <t>ジョウザン</t>
    </rPh>
    <rPh sb="5" eb="7">
      <t>カイスウ</t>
    </rPh>
    <phoneticPr fontId="1"/>
  </si>
  <si>
    <t>ループ1回</t>
    <rPh sb="4" eb="5">
      <t>カイ</t>
    </rPh>
    <phoneticPr fontId="1"/>
  </si>
  <si>
    <t>3進</t>
    <rPh sb="1" eb="2">
      <t>シン</t>
    </rPh>
    <phoneticPr fontId="1"/>
  </si>
  <si>
    <t>10進</t>
    <rPh sb="2" eb="3">
      <t>シン</t>
    </rPh>
    <phoneticPr fontId="1"/>
  </si>
  <si>
    <t>16進</t>
    <rPh sb="2" eb="3">
      <t>シン</t>
    </rPh>
    <phoneticPr fontId="1"/>
  </si>
  <si>
    <t>2</t>
  </si>
  <si>
    <t>2</t>
    <phoneticPr fontId="1"/>
  </si>
  <si>
    <t>22</t>
    <phoneticPr fontId="1"/>
  </si>
  <si>
    <t>2</t>
    <phoneticPr fontId="1"/>
  </si>
  <si>
    <t>2</t>
    <phoneticPr fontId="1"/>
  </si>
  <si>
    <t>2</t>
    <phoneticPr fontId="1"/>
  </si>
  <si>
    <t>5</t>
    <phoneticPr fontId="1"/>
  </si>
  <si>
    <t>4</t>
  </si>
  <si>
    <t>A</t>
  </si>
  <si>
    <t>22</t>
    <phoneticPr fontId="1"/>
  </si>
  <si>
    <t>55</t>
    <phoneticPr fontId="1"/>
  </si>
  <si>
    <t>ループ2回</t>
    <rPh sb="4" eb="5">
      <t>カイ</t>
    </rPh>
    <phoneticPr fontId="1"/>
  </si>
  <si>
    <t>121</t>
  </si>
  <si>
    <t>44</t>
  </si>
  <si>
    <t>AA</t>
  </si>
  <si>
    <t>ループ3回</t>
    <rPh sb="4" eb="5">
      <t>カイ</t>
    </rPh>
    <phoneticPr fontId="1"/>
  </si>
  <si>
    <t>222</t>
    <phoneticPr fontId="1"/>
  </si>
  <si>
    <t>555</t>
    <phoneticPr fontId="1"/>
  </si>
  <si>
    <t>1221</t>
  </si>
  <si>
    <t>444</t>
  </si>
  <si>
    <t>AAA</t>
  </si>
  <si>
    <t>被乗数=0,乗数=0</t>
    <rPh sb="0" eb="1">
      <t>ヒ</t>
    </rPh>
    <rPh sb="1" eb="3">
      <t>ジョウスウ</t>
    </rPh>
    <rPh sb="6" eb="8">
      <t>ジョウスウ</t>
    </rPh>
    <phoneticPr fontId="1"/>
  </si>
  <si>
    <t>乗算アルゴリズム</t>
    <rPh sb="0" eb="2">
      <t>ジョウザン</t>
    </rPh>
    <phoneticPr fontId="1"/>
  </si>
  <si>
    <t>0</t>
    <phoneticPr fontId="1"/>
  </si>
  <si>
    <t>0</t>
    <phoneticPr fontId="1"/>
  </si>
  <si>
    <t>被乗数=0,乗数=1</t>
    <rPh sb="0" eb="1">
      <t>ヒ</t>
    </rPh>
    <rPh sb="1" eb="3">
      <t>ジョウスウ</t>
    </rPh>
    <rPh sb="6" eb="8">
      <t>ジョウスウ</t>
    </rPh>
    <phoneticPr fontId="1"/>
  </si>
  <si>
    <t>(※ここでの"1"は、</t>
    <phoneticPr fontId="1"/>
  </si>
  <si>
    <t>　減基数(radix - 1))</t>
    <rPh sb="1" eb="2">
      <t>ゲン</t>
    </rPh>
    <rPh sb="2" eb="4">
      <t>キスウ</t>
    </rPh>
    <phoneticPr fontId="1"/>
  </si>
  <si>
    <t>0</t>
    <phoneticPr fontId="1"/>
  </si>
  <si>
    <t>2</t>
    <phoneticPr fontId="1"/>
  </si>
  <si>
    <t>9</t>
    <phoneticPr fontId="1"/>
  </si>
  <si>
    <t>F</t>
    <phoneticPr fontId="1"/>
  </si>
  <si>
    <t>被乗数=1,乗数=0</t>
    <rPh sb="0" eb="1">
      <t>ヒ</t>
    </rPh>
    <rPh sb="1" eb="3">
      <t>ジョウスウ</t>
    </rPh>
    <rPh sb="6" eb="8">
      <t>ジョウスウ</t>
    </rPh>
    <phoneticPr fontId="1"/>
  </si>
  <si>
    <t>2</t>
    <phoneticPr fontId="1"/>
  </si>
  <si>
    <t>9</t>
    <phoneticPr fontId="1"/>
  </si>
  <si>
    <t>F</t>
    <phoneticPr fontId="1"/>
  </si>
  <si>
    <t>被乗数=1,乗数=1</t>
    <rPh sb="0" eb="1">
      <t>ヒ</t>
    </rPh>
    <rPh sb="1" eb="3">
      <t>ジョウスウ</t>
    </rPh>
    <rPh sb="6" eb="8">
      <t>ジョウスウ</t>
    </rPh>
    <phoneticPr fontId="1"/>
  </si>
  <si>
    <t>E1</t>
  </si>
  <si>
    <t>81</t>
  </si>
  <si>
    <t>5</t>
    <phoneticPr fontId="1"/>
  </si>
  <si>
    <t>2</t>
    <phoneticPr fontId="1"/>
  </si>
  <si>
    <t>8</t>
    <phoneticPr fontId="1"/>
  </si>
  <si>
    <t>被乗数=0,乗数=0,前桁carrier=0</t>
  </si>
  <si>
    <t>被乗数=0,乗数=0,前桁carrier=1</t>
  </si>
  <si>
    <t>被乗数=0,乗数=1,前桁carrier=0</t>
  </si>
  <si>
    <t>被乗数=0,乗数=1,前桁carrier=1</t>
  </si>
  <si>
    <t>被乗数=1,乗数=0,前桁carrier=0</t>
  </si>
  <si>
    <t>被乗数=1,乗数=0,前桁carrier=1</t>
  </si>
  <si>
    <t>被乗数=1,乗数=1,前桁carrier=0</t>
  </si>
  <si>
    <t>被乗数=1,乗数=1,前桁carrier=1</t>
  </si>
  <si>
    <t>0</t>
    <phoneticPr fontId="1"/>
  </si>
  <si>
    <t>00</t>
    <phoneticPr fontId="1"/>
  </si>
  <si>
    <t>-</t>
  </si>
  <si>
    <t>-</t>
    <phoneticPr fontId="1"/>
  </si>
  <si>
    <t>-</t>
    <phoneticPr fontId="1"/>
  </si>
  <si>
    <t>2</t>
    <phoneticPr fontId="1"/>
  </si>
  <si>
    <t>9</t>
    <phoneticPr fontId="1"/>
  </si>
  <si>
    <t>F</t>
    <phoneticPr fontId="1"/>
  </si>
  <si>
    <t>0</t>
    <phoneticPr fontId="1"/>
  </si>
  <si>
    <t>02</t>
    <phoneticPr fontId="1"/>
  </si>
  <si>
    <t>09</t>
    <phoneticPr fontId="1"/>
  </si>
  <si>
    <t>0F</t>
    <phoneticPr fontId="1"/>
  </si>
  <si>
    <t>0</t>
    <phoneticPr fontId="1"/>
  </si>
  <si>
    <t>-</t>
    <phoneticPr fontId="1"/>
  </si>
  <si>
    <t>-</t>
    <phoneticPr fontId="1"/>
  </si>
  <si>
    <t>ありえない→</t>
    <phoneticPr fontId="1"/>
  </si>
  <si>
    <t>20</t>
    <phoneticPr fontId="1"/>
  </si>
  <si>
    <t>90</t>
    <phoneticPr fontId="1"/>
  </si>
  <si>
    <t>F0</t>
    <phoneticPr fontId="1"/>
  </si>
  <si>
    <t>810</t>
  </si>
  <si>
    <t>E10</t>
  </si>
  <si>
    <t>99</t>
    <phoneticPr fontId="1"/>
  </si>
  <si>
    <t>FF</t>
    <phoneticPr fontId="1"/>
  </si>
  <si>
    <t>891</t>
  </si>
  <si>
    <t>EF1</t>
  </si>
  <si>
    <t>1</t>
    <phoneticPr fontId="1"/>
  </si>
  <si>
    <t>2</t>
    <phoneticPr fontId="1"/>
  </si>
  <si>
    <t>3</t>
    <phoneticPr fontId="1"/>
  </si>
  <si>
    <t>5</t>
    <phoneticPr fontId="1"/>
  </si>
  <si>
    <t>3</t>
    <phoneticPr fontId="1"/>
  </si>
  <si>
    <t>multiple</t>
    <phoneticPr fontId="1"/>
  </si>
  <si>
    <t>1010</t>
  </si>
  <si>
    <t>0</t>
    <phoneticPr fontId="1"/>
  </si>
  <si>
    <t>radix - 1</t>
    <phoneticPr fontId="1"/>
  </si>
  <si>
    <t>11</t>
    <phoneticPr fontId="1"/>
  </si>
  <si>
    <t>11</t>
    <phoneticPr fontId="1"/>
  </si>
  <si>
    <t>0</t>
    <phoneticPr fontId="1"/>
  </si>
  <si>
    <t>1</t>
    <phoneticPr fontId="1"/>
  </si>
  <si>
    <t>9</t>
    <phoneticPr fontId="1"/>
  </si>
  <si>
    <t>F</t>
    <phoneticPr fontId="1"/>
  </si>
  <si>
    <t>10</t>
    <phoneticPr fontId="1"/>
  </si>
  <si>
    <t>radix - 1, radix - 1</t>
    <phoneticPr fontId="1"/>
  </si>
  <si>
    <t>99</t>
    <phoneticPr fontId="1"/>
  </si>
  <si>
    <t>FF</t>
    <phoneticPr fontId="1"/>
  </si>
  <si>
    <t>1001</t>
  </si>
  <si>
    <t>22</t>
  </si>
  <si>
    <t>22</t>
    <phoneticPr fontId="1"/>
  </si>
  <si>
    <t>2</t>
    <phoneticPr fontId="1"/>
  </si>
  <si>
    <t>1012</t>
  </si>
  <si>
    <t>1089</t>
  </si>
  <si>
    <t>10EF</t>
  </si>
  <si>
    <t>2桁目が繰上りなし</t>
    <phoneticPr fontId="1"/>
  </si>
  <si>
    <t>20</t>
    <phoneticPr fontId="1"/>
  </si>
  <si>
    <t>12</t>
    <phoneticPr fontId="1"/>
  </si>
  <si>
    <t>15</t>
    <phoneticPr fontId="1"/>
  </si>
  <si>
    <t>300</t>
  </si>
  <si>
    <t>18</t>
    <phoneticPr fontId="1"/>
  </si>
  <si>
    <t>2桁目が繰上り</t>
    <phoneticPr fontId="1"/>
  </si>
  <si>
    <t>21</t>
    <phoneticPr fontId="1"/>
  </si>
  <si>
    <t>1120</t>
  </si>
  <si>
    <t>51</t>
    <phoneticPr fontId="1"/>
  </si>
  <si>
    <t>81</t>
    <phoneticPr fontId="1"/>
  </si>
  <si>
    <t>1020</t>
  </si>
  <si>
    <t>2桁目も繰上り</t>
    <phoneticPr fontId="1"/>
  </si>
  <si>
    <t>1桁目が繰上り、</t>
    <rPh sb="1" eb="2">
      <t>ケタ</t>
    </rPh>
    <rPh sb="2" eb="3">
      <t>メ</t>
    </rPh>
    <rPh sb="4" eb="5">
      <t>ク</t>
    </rPh>
    <rPh sb="5" eb="6">
      <t>ア</t>
    </rPh>
    <phoneticPr fontId="1"/>
  </si>
  <si>
    <t>1桁目が繰上りなし、</t>
    <rPh sb="1" eb="2">
      <t>ケタ</t>
    </rPh>
    <rPh sb="2" eb="3">
      <t>メ</t>
    </rPh>
    <rPh sb="4" eb="5">
      <t>ク</t>
    </rPh>
    <rPh sb="5" eb="6">
      <t>ア</t>
    </rPh>
    <phoneticPr fontId="1"/>
  </si>
  <si>
    <t>22</t>
    <phoneticPr fontId="1"/>
  </si>
  <si>
    <t>2101</t>
  </si>
  <si>
    <t>55</t>
    <phoneticPr fontId="1"/>
  </si>
  <si>
    <t>1210</t>
  </si>
  <si>
    <t>88</t>
    <phoneticPr fontId="1"/>
  </si>
  <si>
    <t>ループ3回</t>
    <rPh sb="4" eb="5">
      <t>カイ</t>
    </rPh>
    <phoneticPr fontId="1"/>
  </si>
  <si>
    <t>全ての桁で繰上り</t>
    <rPh sb="0" eb="1">
      <t>スベ</t>
    </rPh>
    <rPh sb="3" eb="4">
      <t>ケタ</t>
    </rPh>
    <rPh sb="5" eb="7">
      <t>クリアガ</t>
    </rPh>
    <phoneticPr fontId="1"/>
  </si>
  <si>
    <t>222</t>
    <phoneticPr fontId="1"/>
  </si>
  <si>
    <t>555</t>
    <phoneticPr fontId="1"/>
  </si>
  <si>
    <t>888</t>
    <phoneticPr fontId="1"/>
  </si>
  <si>
    <t>21201</t>
  </si>
  <si>
    <t>12210</t>
  </si>
  <si>
    <t>3桁目のみ繰上り</t>
    <rPh sb="1" eb="2">
      <t>ケタ</t>
    </rPh>
    <rPh sb="2" eb="3">
      <t>メ</t>
    </rPh>
    <rPh sb="5" eb="7">
      <t>クリアガ</t>
    </rPh>
    <phoneticPr fontId="1"/>
  </si>
  <si>
    <t>200</t>
    <phoneticPr fontId="1"/>
  </si>
  <si>
    <t>500</t>
    <phoneticPr fontId="1"/>
  </si>
  <si>
    <t>800</t>
    <phoneticPr fontId="1"/>
  </si>
  <si>
    <t>12100</t>
  </si>
  <si>
    <t>11000</t>
  </si>
  <si>
    <t>convFrcPrtOfNPntToFrcPrtOfNPnt</t>
    <phoneticPr fontId="1"/>
  </si>
  <si>
    <t>変換桁数</t>
    <rPh sb="0" eb="2">
      <t>ヘンカン</t>
    </rPh>
    <rPh sb="2" eb="4">
      <t>ケタスウ</t>
    </rPh>
    <phoneticPr fontId="1"/>
  </si>
  <si>
    <t>3333333333</t>
  </si>
  <si>
    <t>8</t>
  </si>
  <si>
    <t>0010010010</t>
  </si>
  <si>
    <t>2492492492</t>
  </si>
  <si>
    <t>0001</t>
  </si>
  <si>
    <t>0303030303</t>
  </si>
  <si>
    <t>2進→4進</t>
    <rPh sb="1" eb="2">
      <t>シン</t>
    </rPh>
    <phoneticPr fontId="1"/>
  </si>
  <si>
    <t>2進→8進</t>
    <rPh sb="1" eb="2">
      <t>シン</t>
    </rPh>
    <phoneticPr fontId="1"/>
  </si>
  <si>
    <t>16進→4進</t>
    <phoneticPr fontId="1"/>
  </si>
  <si>
    <t>16進→8進</t>
    <phoneticPr fontId="1"/>
  </si>
  <si>
    <t>8進→2進</t>
    <phoneticPr fontId="1"/>
  </si>
  <si>
    <t>8進→4進</t>
    <phoneticPr fontId="1"/>
  </si>
  <si>
    <t>8進→16進</t>
    <phoneticPr fontId="1"/>
  </si>
  <si>
    <t>0.0</t>
    <phoneticPr fontId="1"/>
  </si>
  <si>
    <t>0.10</t>
    <phoneticPr fontId="1"/>
  </si>
  <si>
    <t>001</t>
    <phoneticPr fontId="1"/>
  </si>
  <si>
    <t>0001</t>
    <phoneticPr fontId="1"/>
  </si>
  <si>
    <t>4</t>
    <phoneticPr fontId="1"/>
  </si>
  <si>
    <t>1</t>
    <phoneticPr fontId="1"/>
  </si>
  <si>
    <t>2</t>
    <phoneticPr fontId="1"/>
  </si>
  <si>
    <t>002</t>
    <phoneticPr fontId="1"/>
  </si>
  <si>
    <t>000001</t>
    <phoneticPr fontId="1"/>
  </si>
  <si>
    <t>01</t>
    <phoneticPr fontId="1"/>
  </si>
  <si>
    <t>00000001</t>
    <phoneticPr fontId="1"/>
  </si>
  <si>
    <t>000000001</t>
    <phoneticPr fontId="1"/>
  </si>
  <si>
    <t>000000000001</t>
    <phoneticPr fontId="1"/>
  </si>
  <si>
    <t>04</t>
    <phoneticPr fontId="1"/>
  </si>
  <si>
    <t>008</t>
    <phoneticPr fontId="1"/>
  </si>
  <si>
    <t>変換不要確認</t>
    <rPh sb="0" eb="2">
      <t>ヘンカン</t>
    </rPh>
    <rPh sb="2" eb="4">
      <t>フヨウ</t>
    </rPh>
    <rPh sb="4" eb="6">
      <t>カクニン</t>
    </rPh>
    <phoneticPr fontId="1"/>
  </si>
  <si>
    <t>変換最小</t>
    <rPh sb="0" eb="2">
      <t>ヘンカン</t>
    </rPh>
    <rPh sb="2" eb="4">
      <t>サイショウ</t>
    </rPh>
    <phoneticPr fontId="1"/>
  </si>
  <si>
    <t>右側の不要な0</t>
    <rPh sb="0" eb="2">
      <t>ミギガワ</t>
    </rPh>
    <rPh sb="3" eb="5">
      <t>フヨウ</t>
    </rPh>
    <phoneticPr fontId="1"/>
  </si>
  <si>
    <t>ループ回数</t>
    <rPh sb="3" eb="5">
      <t>カイスウ</t>
    </rPh>
    <phoneticPr fontId="1"/>
  </si>
  <si>
    <t>33</t>
  </si>
  <si>
    <t>333333333333333333333333333333333333333333333333333333333333333333333333333333333333333333333333333333333333333333333333333333333333333333333333333333333333333333333333333333333333333333333333333333333333333333333333333333333333333333333333333333333333333</t>
  </si>
  <si>
    <t>subtract</t>
    <phoneticPr fontId="1"/>
  </si>
  <si>
    <t>減算ループ回数</t>
    <rPh sb="0" eb="2">
      <t>ゲンザン</t>
    </rPh>
    <rPh sb="5" eb="7">
      <t>カイスウ</t>
    </rPh>
    <phoneticPr fontId="1"/>
  </si>
  <si>
    <t>1</t>
    <phoneticPr fontId="1"/>
  </si>
  <si>
    <t>1</t>
    <phoneticPr fontId="1"/>
  </si>
  <si>
    <t>9</t>
    <phoneticPr fontId="1"/>
  </si>
  <si>
    <t>F</t>
    <phoneticPr fontId="1"/>
  </si>
  <si>
    <t>10</t>
    <phoneticPr fontId="1"/>
  </si>
  <si>
    <t>1</t>
    <phoneticPr fontId="1"/>
  </si>
  <si>
    <t>100</t>
    <phoneticPr fontId="1"/>
  </si>
  <si>
    <t>1</t>
    <phoneticPr fontId="1"/>
  </si>
  <si>
    <t>大小比較</t>
    <rPh sb="0" eb="2">
      <t>ダイショウ</t>
    </rPh>
    <rPh sb="2" eb="4">
      <t>ヒカク</t>
    </rPh>
    <phoneticPr fontId="1"/>
  </si>
  <si>
    <t>一番左の桁でval1&gt;val2</t>
    <rPh sb="0" eb="2">
      <t>イチバン</t>
    </rPh>
    <rPh sb="2" eb="3">
      <t>ヒダリ</t>
    </rPh>
    <rPh sb="4" eb="5">
      <t>ケタ</t>
    </rPh>
    <phoneticPr fontId="1"/>
  </si>
  <si>
    <t>一番左の桁でval1&lt;val2</t>
    <rPh sb="0" eb="2">
      <t>イチバン</t>
    </rPh>
    <rPh sb="2" eb="3">
      <t>ヒダリ</t>
    </rPh>
    <rPh sb="4" eb="5">
      <t>ケタ</t>
    </rPh>
    <phoneticPr fontId="1"/>
  </si>
  <si>
    <t>一番右の桁でval1&gt;val2</t>
    <rPh sb="0" eb="2">
      <t>イチバン</t>
    </rPh>
    <rPh sb="2" eb="3">
      <t>ミギ</t>
    </rPh>
    <rPh sb="4" eb="5">
      <t>ケタ</t>
    </rPh>
    <phoneticPr fontId="1"/>
  </si>
  <si>
    <t>111</t>
    <phoneticPr fontId="1"/>
  </si>
  <si>
    <t>99</t>
    <phoneticPr fontId="1"/>
  </si>
  <si>
    <t>11</t>
    <phoneticPr fontId="1"/>
  </si>
  <si>
    <t>FFF</t>
    <phoneticPr fontId="1"/>
  </si>
  <si>
    <t>FF</t>
    <phoneticPr fontId="1"/>
  </si>
  <si>
    <t>199</t>
    <phoneticPr fontId="1"/>
  </si>
  <si>
    <t>1FF</t>
    <phoneticPr fontId="1"/>
  </si>
  <si>
    <t>111</t>
    <phoneticPr fontId="1"/>
  </si>
  <si>
    <t>110</t>
    <phoneticPr fontId="1"/>
  </si>
  <si>
    <t>999</t>
    <phoneticPr fontId="1"/>
  </si>
  <si>
    <t>998</t>
    <phoneticPr fontId="1"/>
  </si>
  <si>
    <t>FFF</t>
    <phoneticPr fontId="1"/>
  </si>
  <si>
    <t>FFE</t>
    <phoneticPr fontId="1"/>
  </si>
  <si>
    <t>一番右の桁でval1&lt;val2</t>
    <rPh sb="0" eb="2">
      <t>イチバン</t>
    </rPh>
    <rPh sb="2" eb="3">
      <t>ミギ</t>
    </rPh>
    <rPh sb="4" eb="5">
      <t>ケタ</t>
    </rPh>
    <phoneticPr fontId="1"/>
  </si>
  <si>
    <t>110</t>
    <phoneticPr fontId="1"/>
  </si>
  <si>
    <t>FFE</t>
    <phoneticPr fontId="1"/>
  </si>
  <si>
    <t>途中の桁でval1&gt;val2</t>
    <rPh sb="0" eb="2">
      <t>トチュウ</t>
    </rPh>
    <rPh sb="3" eb="4">
      <t>ケタ</t>
    </rPh>
    <phoneticPr fontId="1"/>
  </si>
  <si>
    <t>途中の桁でval1&lt;val2</t>
    <rPh sb="0" eb="2">
      <t>トチュウ</t>
    </rPh>
    <rPh sb="3" eb="4">
      <t>ケタ</t>
    </rPh>
    <phoneticPr fontId="1"/>
  </si>
  <si>
    <t>00100</t>
  </si>
  <si>
    <t>00100</t>
    <phoneticPr fontId="1"/>
  </si>
  <si>
    <t>99899</t>
  </si>
  <si>
    <t>99899</t>
    <phoneticPr fontId="1"/>
  </si>
  <si>
    <t>FFEFF</t>
  </si>
  <si>
    <t>FFEFF</t>
    <phoneticPr fontId="1"/>
  </si>
  <si>
    <t>99900</t>
  </si>
  <si>
    <t>99900</t>
    <phoneticPr fontId="1"/>
  </si>
  <si>
    <t>FFF00</t>
  </si>
  <si>
    <t>FFF00</t>
    <phoneticPr fontId="1"/>
  </si>
  <si>
    <t>00001</t>
  </si>
  <si>
    <t>00</t>
    <phoneticPr fontId="1"/>
  </si>
  <si>
    <t>00</t>
    <phoneticPr fontId="1"/>
  </si>
  <si>
    <t>減算アルゴリズム</t>
    <rPh sb="0" eb="2">
      <t>ゲンザン</t>
    </rPh>
    <phoneticPr fontId="1"/>
  </si>
  <si>
    <t>10</t>
    <phoneticPr fontId="1"/>
  </si>
  <si>
    <t>0</t>
    <phoneticPr fontId="1"/>
  </si>
  <si>
    <t>0</t>
    <phoneticPr fontId="1"/>
  </si>
  <si>
    <t>1</t>
    <phoneticPr fontId="1"/>
  </si>
  <si>
    <t>1</t>
    <phoneticPr fontId="1"/>
  </si>
  <si>
    <t>9</t>
    <phoneticPr fontId="1"/>
  </si>
  <si>
    <t>9</t>
    <phoneticPr fontId="1"/>
  </si>
  <si>
    <t>F</t>
    <phoneticPr fontId="1"/>
  </si>
  <si>
    <t>F</t>
    <phoneticPr fontId="1"/>
  </si>
  <si>
    <t>100</t>
    <phoneticPr fontId="1"/>
  </si>
  <si>
    <t>100</t>
    <phoneticPr fontId="1"/>
  </si>
  <si>
    <t>1</t>
    <phoneticPr fontId="1"/>
  </si>
  <si>
    <t>11</t>
    <phoneticPr fontId="1"/>
  </si>
  <si>
    <t>110</t>
    <phoneticPr fontId="1"/>
  </si>
  <si>
    <t>1</t>
    <phoneticPr fontId="1"/>
  </si>
  <si>
    <t>1</t>
    <phoneticPr fontId="1"/>
  </si>
  <si>
    <t>F</t>
    <phoneticPr fontId="1"/>
  </si>
  <si>
    <t>109</t>
  </si>
  <si>
    <t>109</t>
    <phoneticPr fontId="1"/>
  </si>
  <si>
    <t>19</t>
    <phoneticPr fontId="1"/>
  </si>
  <si>
    <t>10F</t>
  </si>
  <si>
    <t>10F</t>
    <phoneticPr fontId="1"/>
  </si>
  <si>
    <t>108</t>
    <phoneticPr fontId="1"/>
  </si>
  <si>
    <t>9</t>
    <phoneticPr fontId="1"/>
  </si>
  <si>
    <t>10E</t>
    <phoneticPr fontId="1"/>
  </si>
  <si>
    <t>F</t>
    <phoneticPr fontId="1"/>
  </si>
  <si>
    <t>101</t>
    <phoneticPr fontId="1"/>
  </si>
  <si>
    <t>1</t>
    <phoneticPr fontId="1"/>
  </si>
  <si>
    <t>1F</t>
    <phoneticPr fontId="1"/>
  </si>
  <si>
    <t>10E</t>
    <phoneticPr fontId="1"/>
  </si>
  <si>
    <t>1F</t>
    <phoneticPr fontId="1"/>
  </si>
  <si>
    <t>1F</t>
    <phoneticPr fontId="1"/>
  </si>
  <si>
    <t>F</t>
    <phoneticPr fontId="1"/>
  </si>
  <si>
    <t>118</t>
    <phoneticPr fontId="1"/>
  </si>
  <si>
    <t>11E</t>
    <phoneticPr fontId="1"/>
  </si>
  <si>
    <t>1E</t>
    <phoneticPr fontId="1"/>
  </si>
  <si>
    <t>090</t>
  </si>
  <si>
    <t>0F0</t>
  </si>
  <si>
    <t>089</t>
  </si>
  <si>
    <t>0EF</t>
  </si>
  <si>
    <t>マイナス値判定</t>
    <rPh sb="4" eb="5">
      <t>チ</t>
    </rPh>
    <rPh sb="5" eb="7">
      <t>ハンテイ</t>
    </rPh>
    <phoneticPr fontId="1"/>
  </si>
  <si>
    <t>0</t>
    <phoneticPr fontId="1"/>
  </si>
  <si>
    <t>1</t>
    <phoneticPr fontId="1"/>
  </si>
  <si>
    <t>8</t>
    <phoneticPr fontId="1"/>
  </si>
  <si>
    <t>9</t>
    <phoneticPr fontId="1"/>
  </si>
  <si>
    <t>E</t>
    <phoneticPr fontId="1"/>
  </si>
  <si>
    <t>F</t>
    <phoneticPr fontId="1"/>
  </si>
  <si>
    <t>7進→7進(0桁指定)</t>
    <rPh sb="7" eb="8">
      <t>ケタ</t>
    </rPh>
    <rPh sb="8" eb="10">
      <t>シテイ</t>
    </rPh>
    <phoneticPr fontId="1"/>
  </si>
  <si>
    <t>7進→16進(0桁指定)</t>
    <phoneticPr fontId="1"/>
  </si>
  <si>
    <t>checkNPntStr</t>
    <phoneticPr fontId="1"/>
  </si>
  <si>
    <t>1進</t>
    <rPh sb="1" eb="2">
      <t>シン</t>
    </rPh>
    <phoneticPr fontId="1"/>
  </si>
  <si>
    <t>2進</t>
    <rPh sb="1" eb="2">
      <t>シン</t>
    </rPh>
    <phoneticPr fontId="1"/>
  </si>
  <si>
    <t>10進</t>
    <rPh sb="2" eb="3">
      <t>シン</t>
    </rPh>
    <phoneticPr fontId="1"/>
  </si>
  <si>
    <t>16進</t>
    <rPh sb="2" eb="3">
      <t>シン</t>
    </rPh>
    <phoneticPr fontId="1"/>
  </si>
  <si>
    <t>17進</t>
    <rPh sb="2" eb="3">
      <t>シン</t>
    </rPh>
    <phoneticPr fontId="1"/>
  </si>
  <si>
    <t>文字コード範囲</t>
    <rPh sb="0" eb="2">
      <t>モジ</t>
    </rPh>
    <rPh sb="5" eb="7">
      <t>ハンイ</t>
    </rPh>
    <phoneticPr fontId="1"/>
  </si>
  <si>
    <t>Null文字列</t>
    <rPh sb="4" eb="7">
      <t>モジレツ</t>
    </rPh>
    <phoneticPr fontId="1"/>
  </si>
  <si>
    <t>基数範囲</t>
    <rPh sb="0" eb="2">
      <t>キスウ</t>
    </rPh>
    <rPh sb="2" eb="4">
      <t>ハンイ</t>
    </rPh>
    <phoneticPr fontId="1"/>
  </si>
  <si>
    <t>9進</t>
    <rPh sb="1" eb="2">
      <t>シン</t>
    </rPh>
    <phoneticPr fontId="1"/>
  </si>
  <si>
    <t>11進</t>
    <rPh sb="2" eb="3">
      <t>シン</t>
    </rPh>
    <phoneticPr fontId="1"/>
  </si>
  <si>
    <t>OK最小</t>
    <rPh sb="2" eb="4">
      <t>サイショウ</t>
    </rPh>
    <phoneticPr fontId="1"/>
  </si>
  <si>
    <t>OK最大</t>
    <rPh sb="2" eb="4">
      <t>サイダイ</t>
    </rPh>
    <phoneticPr fontId="1"/>
  </si>
  <si>
    <t>A</t>
    <phoneticPr fontId="1"/>
  </si>
  <si>
    <t>F</t>
    <phoneticPr fontId="1"/>
  </si>
  <si>
    <t>基数変換テーブルで</t>
    <rPh sb="0" eb="2">
      <t>キスウ</t>
    </rPh>
    <rPh sb="2" eb="4">
      <t>ヘンカン</t>
    </rPh>
    <phoneticPr fontId="1"/>
  </si>
  <si>
    <t>解決不可能</t>
    <phoneticPr fontId="1"/>
  </si>
  <si>
    <t>解決可能</t>
    <phoneticPr fontId="1"/>
  </si>
  <si>
    <t>3進(桁上りしない最大)</t>
  </si>
  <si>
    <t>3進(桁上り)</t>
  </si>
  <si>
    <t>10進(桁上りしない最大)</t>
  </si>
  <si>
    <t>10進(桁上り最小)</t>
  </si>
  <si>
    <t>10進(桁上り最大)</t>
  </si>
  <si>
    <t>16進(桁上りしない最大)</t>
  </si>
  <si>
    <t>16進(桁上り最小)</t>
  </si>
  <si>
    <t>16進(桁上り最大)</t>
  </si>
  <si>
    <t>変換テーブル内最小</t>
  </si>
  <si>
    <t>変換テーブル内中間</t>
  </si>
  <si>
    <t>変換テーブル内最大</t>
  </si>
  <si>
    <t>NG最小</t>
    <rPh sb="2" eb="4">
      <t>サイショウ</t>
    </rPh>
    <phoneticPr fontId="1"/>
  </si>
  <si>
    <t>A</t>
    <phoneticPr fontId="1"/>
  </si>
  <si>
    <t>B</t>
    <phoneticPr fontId="1"/>
  </si>
  <si>
    <t>G</t>
    <phoneticPr fontId="1"/>
  </si>
  <si>
    <t>8</t>
    <phoneticPr fontId="1"/>
  </si>
  <si>
    <t>9</t>
    <phoneticPr fontId="1"/>
  </si>
  <si>
    <t>NG検出位置</t>
    <rPh sb="2" eb="4">
      <t>ケンシュツ</t>
    </rPh>
    <rPh sb="4" eb="6">
      <t>イチ</t>
    </rPh>
    <phoneticPr fontId="1"/>
  </si>
  <si>
    <t>2文字目</t>
    <rPh sb="1" eb="4">
      <t>モジメ</t>
    </rPh>
    <phoneticPr fontId="1"/>
  </si>
  <si>
    <t>途中</t>
    <rPh sb="0" eb="2">
      <t>トチュウ</t>
    </rPh>
    <phoneticPr fontId="1"/>
  </si>
  <si>
    <t>最後</t>
    <rPh sb="0" eb="2">
      <t>サイゴ</t>
    </rPh>
    <phoneticPr fontId="1"/>
  </si>
  <si>
    <t>121</t>
    <phoneticPr fontId="1"/>
  </si>
  <si>
    <t>898</t>
    <phoneticPr fontId="1"/>
  </si>
  <si>
    <t>9A9</t>
    <phoneticPr fontId="1"/>
  </si>
  <si>
    <t>ABA</t>
    <phoneticPr fontId="1"/>
  </si>
  <si>
    <t>FGF</t>
    <phoneticPr fontId="1"/>
  </si>
  <si>
    <t>11211</t>
    <phoneticPr fontId="1"/>
  </si>
  <si>
    <t>88988</t>
    <phoneticPr fontId="1"/>
  </si>
  <si>
    <t>99A99</t>
    <phoneticPr fontId="1"/>
  </si>
  <si>
    <t>AABAA</t>
    <phoneticPr fontId="1"/>
  </si>
  <si>
    <t>FFGFF</t>
    <phoneticPr fontId="1"/>
  </si>
  <si>
    <t>11112</t>
    <phoneticPr fontId="1"/>
  </si>
  <si>
    <t>88889</t>
    <phoneticPr fontId="1"/>
  </si>
  <si>
    <t>9999A</t>
    <phoneticPr fontId="1"/>
  </si>
  <si>
    <t>AAAAB</t>
    <phoneticPr fontId="1"/>
  </si>
  <si>
    <t>FFFFG</t>
    <phoneticPr fontId="1"/>
  </si>
  <si>
    <t>すべてOK</t>
    <phoneticPr fontId="1"/>
  </si>
  <si>
    <t>01</t>
    <phoneticPr fontId="1"/>
  </si>
  <si>
    <t>01234567890</t>
    <phoneticPr fontId="1"/>
  </si>
  <si>
    <t>0123456780</t>
    <phoneticPr fontId="1"/>
  </si>
  <si>
    <t>0123456789A0</t>
    <phoneticPr fontId="1"/>
  </si>
  <si>
    <t>0123456789ABCDEF0</t>
    <phoneticPr fontId="1"/>
  </si>
  <si>
    <t>符号</t>
    <rPh sb="0" eb="2">
      <t>フゴウ</t>
    </rPh>
    <phoneticPr fontId="1"/>
  </si>
  <si>
    <t>1文字目</t>
    <rPh sb="1" eb="4">
      <t>モジメ</t>
    </rPh>
    <phoneticPr fontId="1"/>
  </si>
  <si>
    <t>2文字目</t>
    <rPh sb="1" eb="4">
      <t>モジメ</t>
    </rPh>
    <phoneticPr fontId="1"/>
  </si>
  <si>
    <t>-1</t>
    <phoneticPr fontId="1"/>
  </si>
  <si>
    <t>1-</t>
    <phoneticPr fontId="1"/>
  </si>
  <si>
    <t>小数点位置</t>
    <rPh sb="0" eb="3">
      <t>ショウスウテン</t>
    </rPh>
    <rPh sb="3" eb="5">
      <t>イチ</t>
    </rPh>
    <phoneticPr fontId="1"/>
  </si>
  <si>
    <t>.0</t>
    <phoneticPr fontId="1"/>
  </si>
  <si>
    <t>separateToIntAndFrc</t>
    <phoneticPr fontId="1"/>
  </si>
  <si>
    <t>checkNPntStrでエラー</t>
    <phoneticPr fontId="1"/>
  </si>
  <si>
    <t>Null文字列</t>
    <rPh sb="4" eb="7">
      <t>モジレツ</t>
    </rPh>
    <phoneticPr fontId="1"/>
  </si>
  <si>
    <t>基数が範囲外</t>
    <rPh sb="0" eb="2">
      <t>キスウ</t>
    </rPh>
    <rPh sb="3" eb="5">
      <t>ハンイ</t>
    </rPh>
    <rPh sb="5" eb="6">
      <t>ガイ</t>
    </rPh>
    <phoneticPr fontId="1"/>
  </si>
  <si>
    <t>1文字</t>
    <rPh sb="1" eb="3">
      <t>モジ</t>
    </rPh>
    <phoneticPr fontId="1"/>
  </si>
  <si>
    <t>2文字</t>
    <rPh sb="1" eb="3">
      <t>モジ</t>
    </rPh>
    <phoneticPr fontId="1"/>
  </si>
  <si>
    <t>3文字</t>
    <rPh sb="1" eb="3">
      <t>モジ</t>
    </rPh>
    <phoneticPr fontId="1"/>
  </si>
  <si>
    <t>整数部抽出</t>
    <rPh sb="0" eb="2">
      <t>セイスウ</t>
    </rPh>
    <rPh sb="2" eb="3">
      <t>ブ</t>
    </rPh>
    <rPh sb="3" eb="5">
      <t>チュウシュツ</t>
    </rPh>
    <phoneticPr fontId="1"/>
  </si>
  <si>
    <t>(+)</t>
    <phoneticPr fontId="1"/>
  </si>
  <si>
    <t>(-)</t>
    <phoneticPr fontId="1"/>
  </si>
  <si>
    <t>0.0</t>
    <phoneticPr fontId="1"/>
  </si>
  <si>
    <t>1文字目でdot</t>
    <rPh sb="1" eb="4">
      <t>モジメ</t>
    </rPh>
    <phoneticPr fontId="1"/>
  </si>
  <si>
    <t>2文字目でdot</t>
    <rPh sb="1" eb="4">
      <t>モジメ</t>
    </rPh>
    <phoneticPr fontId="1"/>
  </si>
  <si>
    <t>最後 - 1 文字目でdot</t>
    <rPh sb="0" eb="2">
      <t>サイゴ</t>
    </rPh>
    <rPh sb="7" eb="10">
      <t>モジメ</t>
    </rPh>
    <phoneticPr fontId="1"/>
  </si>
  <si>
    <t>2 and 3 文字目でdot</t>
    <rPh sb="8" eb="11">
      <t>モジメ</t>
    </rPh>
    <phoneticPr fontId="1"/>
  </si>
  <si>
    <t>0..3</t>
    <phoneticPr fontId="1"/>
  </si>
  <si>
    <t>0123.4</t>
    <phoneticPr fontId="1"/>
  </si>
  <si>
    <t>2 and (最後 - 1)文字目でdot</t>
    <rPh sb="7" eb="9">
      <t>サイゴ</t>
    </rPh>
    <rPh sb="14" eb="17">
      <t>モジメ</t>
    </rPh>
    <phoneticPr fontId="1"/>
  </si>
  <si>
    <t>0.819818.4</t>
    <phoneticPr fontId="1"/>
  </si>
  <si>
    <t>+</t>
  </si>
  <si>
    <t>+</t>
    <phoneticPr fontId="1"/>
  </si>
  <si>
    <t>-</t>
    <phoneticPr fontId="1"/>
  </si>
  <si>
    <t>-.0</t>
    <phoneticPr fontId="1"/>
  </si>
  <si>
    <t>-0.0</t>
    <phoneticPr fontId="1"/>
  </si>
  <si>
    <t>-0..3</t>
    <phoneticPr fontId="1"/>
  </si>
  <si>
    <t>-0123.4</t>
    <phoneticPr fontId="1"/>
  </si>
  <si>
    <t>-0.819818.4</t>
    <phoneticPr fontId="1"/>
  </si>
  <si>
    <t>12</t>
  </si>
  <si>
    <t>123</t>
  </si>
  <si>
    <t>123</t>
    <phoneticPr fontId="1"/>
  </si>
  <si>
    <t>-12</t>
    <phoneticPr fontId="1"/>
  </si>
  <si>
    <t>-123</t>
    <phoneticPr fontId="1"/>
  </si>
  <si>
    <t>小数部抽出</t>
    <rPh sb="0" eb="3">
      <t>ショウスウブ</t>
    </rPh>
    <rPh sb="3" eb="5">
      <t>チュウシュツ</t>
    </rPh>
    <phoneticPr fontId="1"/>
  </si>
  <si>
    <t>整数1文字</t>
    <rPh sb="0" eb="2">
      <t>セイスウ</t>
    </rPh>
    <rPh sb="3" eb="5">
      <t>モジ</t>
    </rPh>
    <phoneticPr fontId="1"/>
  </si>
  <si>
    <t>1.2</t>
    <phoneticPr fontId="1"/>
  </si>
  <si>
    <t>1.23</t>
    <phoneticPr fontId="1"/>
  </si>
  <si>
    <t>1.234</t>
    <phoneticPr fontId="1"/>
  </si>
  <si>
    <t>234</t>
  </si>
  <si>
    <t>整数2文字</t>
    <rPh sb="0" eb="2">
      <t>セイスウ</t>
    </rPh>
    <rPh sb="3" eb="5">
      <t>モジ</t>
    </rPh>
    <phoneticPr fontId="1"/>
  </si>
  <si>
    <t>整数3文字</t>
    <rPh sb="0" eb="2">
      <t>セイスウ</t>
    </rPh>
    <rPh sb="3" eb="5">
      <t>モジ</t>
    </rPh>
    <phoneticPr fontId="1"/>
  </si>
  <si>
    <t>12.3</t>
    <phoneticPr fontId="1"/>
  </si>
  <si>
    <t>12.34</t>
    <phoneticPr fontId="1"/>
  </si>
  <si>
    <t>12.345</t>
    <phoneticPr fontId="1"/>
  </si>
  <si>
    <t>34</t>
  </si>
  <si>
    <t>345</t>
  </si>
  <si>
    <t>123.4</t>
    <phoneticPr fontId="1"/>
  </si>
  <si>
    <t>123.45</t>
    <phoneticPr fontId="1"/>
  </si>
  <si>
    <t>123.456</t>
    <phoneticPr fontId="1"/>
  </si>
  <si>
    <t>45</t>
  </si>
  <si>
    <t>456</t>
  </si>
  <si>
    <t>-1.2</t>
    <phoneticPr fontId="1"/>
  </si>
  <si>
    <t>-1.23</t>
    <phoneticPr fontId="1"/>
  </si>
  <si>
    <t>-1.234</t>
    <phoneticPr fontId="1"/>
  </si>
  <si>
    <t>-12.3</t>
    <phoneticPr fontId="1"/>
  </si>
  <si>
    <t>-12.34</t>
    <phoneticPr fontId="1"/>
  </si>
  <si>
    <t>-12.345</t>
    <phoneticPr fontId="1"/>
  </si>
  <si>
    <t>-123.4</t>
    <phoneticPr fontId="1"/>
  </si>
  <si>
    <t>-123.45</t>
    <phoneticPr fontId="1"/>
  </si>
  <si>
    <t>-123.456</t>
    <phoneticPr fontId="1"/>
  </si>
  <si>
    <t>0削除</t>
    <rPh sb="1" eb="3">
      <t>サクジョ</t>
    </rPh>
    <phoneticPr fontId="1"/>
  </si>
  <si>
    <t>削除しない指定</t>
    <rPh sb="0" eb="2">
      <t>サクジョ</t>
    </rPh>
    <rPh sb="5" eb="7">
      <t>シテイ</t>
    </rPh>
    <phoneticPr fontId="1"/>
  </si>
  <si>
    <t>削除する</t>
    <rPh sb="0" eb="2">
      <t>サクジョ</t>
    </rPh>
    <phoneticPr fontId="1"/>
  </si>
  <si>
    <t>001.100</t>
    <phoneticPr fontId="1"/>
  </si>
  <si>
    <t>整数部がすべて0</t>
    <rPh sb="0" eb="3">
      <t>セイスウブ</t>
    </rPh>
    <phoneticPr fontId="1"/>
  </si>
  <si>
    <t>000.100</t>
    <phoneticPr fontId="1"/>
  </si>
  <si>
    <t>小数部がすべて0</t>
    <rPh sb="0" eb="3">
      <t>ショウスウブ</t>
    </rPh>
    <phoneticPr fontId="1"/>
  </si>
  <si>
    <t>整数&amp;小数すべてが0</t>
    <rPh sb="0" eb="2">
      <t>セイスウ</t>
    </rPh>
    <rPh sb="3" eb="5">
      <t>ショウスウ</t>
    </rPh>
    <phoneticPr fontId="1"/>
  </si>
  <si>
    <t>001.000</t>
    <phoneticPr fontId="1"/>
  </si>
  <si>
    <t>000.000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</si>
</sst>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9"/>
      <color theme="1"/>
      <name val="ＭＳ ゴシック"/>
      <family val="2"/>
      <charset val="128"/>
    </font>
    <font>
      <sz val="6"/>
      <name val="ＭＳ ゴシック"/>
      <family val="2"/>
      <charset val="128"/>
    </font>
    <font>
      <b/>
      <sz val="9"/>
      <color theme="1"/>
      <name val="ＭＳ ゴシック"/>
      <family val="3"/>
      <charset val="128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37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0" xfId="0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0" fillId="0" borderId="0" xfId="0" applyBorder="1">
      <alignment vertical="center"/>
    </xf>
    <xf numFmtId="0" fontId="0" fillId="0" borderId="0" xfId="0" applyFill="1" applyBorder="1">
      <alignment vertical="center"/>
    </xf>
    <xf numFmtId="0" fontId="0" fillId="0" borderId="1" xfId="0" applyBorder="1" applyAlignment="1">
      <alignment horizontal="right" vertical="center"/>
    </xf>
    <xf numFmtId="49" fontId="0" fillId="0" borderId="1" xfId="0" applyNumberFormat="1" applyBorder="1" applyAlignment="1">
      <alignment horizontal="right" vertical="center"/>
    </xf>
    <xf numFmtId="49" fontId="0" fillId="0" borderId="3" xfId="0" applyNumberFormat="1" applyBorder="1">
      <alignment vertical="center"/>
    </xf>
    <xf numFmtId="49" fontId="0" fillId="0" borderId="3" xfId="0" applyNumberFormat="1" applyBorder="1" applyAlignment="1">
      <alignment horizontal="right" vertical="center"/>
    </xf>
    <xf numFmtId="49" fontId="0" fillId="0" borderId="1" xfId="0" applyNumberFormat="1" applyBorder="1">
      <alignment vertical="center"/>
    </xf>
    <xf numFmtId="49" fontId="0" fillId="0" borderId="2" xfId="0" applyNumberFormat="1" applyBorder="1" applyAlignment="1">
      <alignment horizontal="right" vertical="center"/>
    </xf>
    <xf numFmtId="49" fontId="0" fillId="0" borderId="0" xfId="0" applyNumberFormat="1" applyBorder="1" applyAlignment="1">
      <alignment horizontal="right"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49" fontId="0" fillId="0" borderId="0" xfId="0" applyNumberFormat="1" applyAlignment="1">
      <alignment horizontal="right" vertical="center"/>
    </xf>
    <xf numFmtId="49" fontId="0" fillId="0" borderId="6" xfId="0" applyNumberFormat="1" applyBorder="1" applyAlignment="1">
      <alignment horizontal="right" vertical="center"/>
    </xf>
    <xf numFmtId="49" fontId="0" fillId="0" borderId="7" xfId="0" applyNumberFormat="1" applyBorder="1" applyAlignment="1">
      <alignment horizontal="right" vertical="center"/>
    </xf>
    <xf numFmtId="49" fontId="0" fillId="0" borderId="3" xfId="0" applyNumberFormat="1" applyBorder="1" applyAlignment="1">
      <alignment horizontal="left" vertical="center"/>
    </xf>
    <xf numFmtId="49" fontId="0" fillId="0" borderId="1" xfId="0" applyNumberForma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2" xfId="0" applyFill="1" applyBorder="1">
      <alignment vertical="center"/>
    </xf>
    <xf numFmtId="49" fontId="0" fillId="0" borderId="2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8" xfId="0" applyBorder="1">
      <alignment vertical="center"/>
    </xf>
    <xf numFmtId="49" fontId="0" fillId="0" borderId="9" xfId="0" applyNumberFormat="1" applyBorder="1" applyAlignment="1">
      <alignment horizontal="right" vertical="center"/>
    </xf>
    <xf numFmtId="49" fontId="0" fillId="0" borderId="8" xfId="0" applyNumberFormat="1" applyBorder="1" applyAlignment="1">
      <alignment horizontal="right" vertical="center"/>
    </xf>
    <xf numFmtId="0" fontId="0" fillId="0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5" xfId="0" applyFill="1" applyBorder="1">
      <alignment vertical="center"/>
    </xf>
    <xf numFmtId="0" fontId="0" fillId="0" borderId="0" xfId="0" applyFill="1" applyBorder="1" applyAlignment="1">
      <alignment horizontal="left" vertical="center"/>
    </xf>
    <xf numFmtId="0" fontId="0" fillId="0" borderId="7" xfId="0" applyBorder="1">
      <alignment vertical="center"/>
    </xf>
    <xf numFmtId="0" fontId="0" fillId="0" borderId="6" xfId="0" applyBorder="1">
      <alignment vertical="center"/>
    </xf>
  </cellXfs>
  <cellStyles count="1">
    <cellStyle name="標準" xfId="0" builtinId="0"/>
  </cellStyles>
  <dxfs count="8"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C7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528"/>
  <sheetViews>
    <sheetView tabSelected="1" zoomScale="85" zoomScaleNormal="85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20" sqref="K20"/>
    </sheetView>
  </sheetViews>
  <sheetFormatPr defaultRowHeight="11.25" x14ac:dyDescent="0.15"/>
  <cols>
    <col min="1" max="1" width="28" customWidth="1"/>
    <col min="2" max="2" width="26.1640625" bestFit="1" customWidth="1"/>
    <col min="3" max="3" width="34.33203125" bestFit="1" customWidth="1"/>
    <col min="4" max="4" width="26.1640625" customWidth="1"/>
    <col min="5" max="5" width="37.83203125" style="1" bestFit="1" customWidth="1"/>
    <col min="6" max="6" width="37.5" bestFit="1" customWidth="1"/>
    <col min="9" max="9" width="40" style="1" bestFit="1" customWidth="1"/>
    <col min="10" max="10" width="7.1640625" customWidth="1"/>
    <col min="11" max="11" width="9.1640625" customWidth="1"/>
    <col min="13" max="13" width="40" style="1" bestFit="1" customWidth="1"/>
    <col min="14" max="14" width="7.1640625" customWidth="1"/>
    <col min="15" max="15" width="9.1640625" customWidth="1"/>
    <col min="17" max="17" width="7.1640625" style="1" customWidth="1"/>
    <col min="18" max="18" width="7.1640625" bestFit="1" customWidth="1"/>
    <col min="19" max="19" width="7.1640625" customWidth="1"/>
    <col min="20" max="20" width="7.1640625" bestFit="1" customWidth="1"/>
  </cols>
  <sheetData>
    <row r="1" spans="1:20" x14ac:dyDescent="0.15">
      <c r="A1" s="4" t="s">
        <v>19</v>
      </c>
      <c r="B1" s="5" t="str">
        <f>IF(COUNTIF(Q:T,FALSE)=0, "OK", "NG")</f>
        <v>OK</v>
      </c>
    </row>
    <row r="3" spans="1:20" x14ac:dyDescent="0.15">
      <c r="A3" t="s">
        <v>2</v>
      </c>
      <c r="B3" t="s">
        <v>211</v>
      </c>
      <c r="E3" s="1" t="s">
        <v>0</v>
      </c>
      <c r="I3" s="1" t="s">
        <v>1</v>
      </c>
      <c r="M3" s="1" t="s">
        <v>12</v>
      </c>
      <c r="Q3" s="1" t="s">
        <v>13</v>
      </c>
    </row>
    <row r="4" spans="1:20" s="2" customFormat="1" x14ac:dyDescent="0.15">
      <c r="A4" s="2" t="s">
        <v>639</v>
      </c>
      <c r="B4" s="2" t="s">
        <v>640</v>
      </c>
      <c r="C4" s="2" t="s">
        <v>641</v>
      </c>
      <c r="E4" s="3"/>
      <c r="F4" s="2">
        <v>10</v>
      </c>
      <c r="G4" s="2" t="b">
        <v>0</v>
      </c>
      <c r="I4" s="3" t="e">
        <f>TESTseparateToIntAndFrc(E4,F4,G4)</f>
        <v>#NULL!</v>
      </c>
      <c r="J4" s="2" t="str">
        <f>TESTseparateToIntAndFrcByRef1(E4,F4,G4)</f>
        <v/>
      </c>
      <c r="K4" s="2" t="str">
        <f>TESTseparateToIntAndFrcByRef2(E4,F4,G4)</f>
        <v/>
      </c>
      <c r="L4" s="2" t="b">
        <f>TESTseparateToIntAndFrcByRef3(E4,F4,G4)</f>
        <v>0</v>
      </c>
      <c r="M4" s="3" t="e">
        <v>#NULL!</v>
      </c>
      <c r="N4" s="2" t="s">
        <v>45</v>
      </c>
      <c r="O4" s="2" t="s">
        <v>45</v>
      </c>
      <c r="P4" s="2" t="b">
        <v>0</v>
      </c>
      <c r="Q4" s="3" t="b">
        <f t="shared" ref="Q4:Q14" si="0">getText(I4)=getText(M4)</f>
        <v>1</v>
      </c>
      <c r="R4" s="2" t="b">
        <f t="shared" ref="R4:R14" si="1">getText(J4)=getText(N4)</f>
        <v>1</v>
      </c>
      <c r="S4" s="2" t="b">
        <f t="shared" ref="S4:S14" si="2">getText(K4)=getText(O4)</f>
        <v>1</v>
      </c>
      <c r="T4" s="2" t="b">
        <f t="shared" ref="T4:T14" si="3">getText(L4)=getText(P4)</f>
        <v>1</v>
      </c>
    </row>
    <row r="5" spans="1:20" x14ac:dyDescent="0.15">
      <c r="B5" s="6"/>
      <c r="C5" s="2" t="s">
        <v>642</v>
      </c>
      <c r="D5" s="2"/>
      <c r="E5" s="3">
        <v>1</v>
      </c>
      <c r="F5" s="2">
        <v>1</v>
      </c>
      <c r="G5" s="2" t="b">
        <v>0</v>
      </c>
      <c r="H5" s="2"/>
      <c r="I5" s="3" t="e">
        <f t="shared" ref="I5:I29" si="4">TESTseparateToIntAndFrc(E5,F5,G5)</f>
        <v>#NUM!</v>
      </c>
      <c r="J5" s="2" t="str">
        <f t="shared" ref="J5:J29" si="5">TESTseparateToIntAndFrcByRef1(E5,F5,G5)</f>
        <v/>
      </c>
      <c r="K5" s="2" t="str">
        <f t="shared" ref="K5:K29" si="6">TESTseparateToIntAndFrcByRef2(E5,F5,G5)</f>
        <v/>
      </c>
      <c r="L5" s="2" t="b">
        <f t="shared" ref="L5:L29" si="7">TESTseparateToIntAndFrcByRef3(E5,F5,G5)</f>
        <v>0</v>
      </c>
      <c r="M5" s="3" t="e">
        <v>#NUM!</v>
      </c>
      <c r="N5" s="2" t="s">
        <v>45</v>
      </c>
      <c r="O5" s="2" t="s">
        <v>45</v>
      </c>
      <c r="P5" s="2" t="b">
        <v>0</v>
      </c>
      <c r="Q5" s="3" t="b">
        <f t="shared" si="0"/>
        <v>1</v>
      </c>
      <c r="R5" s="2" t="b">
        <f t="shared" si="1"/>
        <v>1</v>
      </c>
      <c r="S5" s="2" t="b">
        <f t="shared" si="2"/>
        <v>1</v>
      </c>
      <c r="T5" s="2" t="b">
        <f t="shared" si="3"/>
        <v>1</v>
      </c>
    </row>
    <row r="6" spans="1:20" x14ac:dyDescent="0.15">
      <c r="B6" s="2" t="s">
        <v>646</v>
      </c>
      <c r="C6" s="2" t="s">
        <v>647</v>
      </c>
      <c r="D6" s="2" t="s">
        <v>643</v>
      </c>
      <c r="E6" s="11" t="s">
        <v>111</v>
      </c>
      <c r="F6" s="2">
        <v>10</v>
      </c>
      <c r="G6" s="2" t="b">
        <v>0</v>
      </c>
      <c r="H6" s="2"/>
      <c r="I6" s="3">
        <f t="shared" si="4"/>
        <v>0</v>
      </c>
      <c r="J6" s="2" t="str">
        <f t="shared" si="5"/>
        <v>1</v>
      </c>
      <c r="K6" s="2" t="str">
        <f t="shared" si="6"/>
        <v/>
      </c>
      <c r="L6" s="2" t="b">
        <f t="shared" si="7"/>
        <v>0</v>
      </c>
      <c r="M6" s="3">
        <v>0</v>
      </c>
      <c r="N6" s="2" t="s">
        <v>44</v>
      </c>
      <c r="O6" s="2" t="s">
        <v>45</v>
      </c>
      <c r="P6" s="2" t="b">
        <v>0</v>
      </c>
      <c r="Q6" s="3" t="b">
        <f t="shared" ref="Q6:Q8" si="8">getText(I6)=getText(M6)</f>
        <v>1</v>
      </c>
      <c r="R6" s="2" t="b">
        <f t="shared" ref="R6:R8" si="9">getText(J6)=getText(N6)</f>
        <v>1</v>
      </c>
      <c r="S6" s="2" t="b">
        <f t="shared" ref="S6:S8" si="10">getText(K6)=getText(O6)</f>
        <v>1</v>
      </c>
      <c r="T6" s="2" t="b">
        <f t="shared" ref="T6:T8" si="11">getText(L6)=getText(P6)</f>
        <v>1</v>
      </c>
    </row>
    <row r="7" spans="1:20" x14ac:dyDescent="0.15">
      <c r="D7" t="s">
        <v>644</v>
      </c>
      <c r="E7" s="9" t="s">
        <v>410</v>
      </c>
      <c r="F7">
        <v>10</v>
      </c>
      <c r="G7" t="b">
        <v>0</v>
      </c>
      <c r="I7" s="1">
        <f t="shared" si="4"/>
        <v>0</v>
      </c>
      <c r="J7" t="str">
        <f t="shared" si="5"/>
        <v>12</v>
      </c>
      <c r="K7" t="str">
        <f t="shared" si="6"/>
        <v/>
      </c>
      <c r="L7" t="b">
        <f t="shared" si="7"/>
        <v>0</v>
      </c>
      <c r="M7" s="1">
        <v>0</v>
      </c>
      <c r="N7" t="s">
        <v>666</v>
      </c>
      <c r="O7" t="s">
        <v>45</v>
      </c>
      <c r="P7" t="b">
        <v>0</v>
      </c>
      <c r="Q7" s="1" t="b">
        <f t="shared" si="8"/>
        <v>1</v>
      </c>
      <c r="R7" t="b">
        <f t="shared" si="9"/>
        <v>1</v>
      </c>
      <c r="S7" t="b">
        <f t="shared" si="10"/>
        <v>1</v>
      </c>
      <c r="T7" t="b">
        <f t="shared" si="11"/>
        <v>1</v>
      </c>
    </row>
    <row r="8" spans="1:20" x14ac:dyDescent="0.15">
      <c r="D8" t="s">
        <v>645</v>
      </c>
      <c r="E8" s="9" t="s">
        <v>668</v>
      </c>
      <c r="F8">
        <v>10</v>
      </c>
      <c r="G8" t="b">
        <v>0</v>
      </c>
      <c r="I8" s="1">
        <f t="shared" si="4"/>
        <v>0</v>
      </c>
      <c r="J8" t="str">
        <f t="shared" si="5"/>
        <v>123</v>
      </c>
      <c r="K8" t="str">
        <f t="shared" si="6"/>
        <v/>
      </c>
      <c r="L8" t="b">
        <f t="shared" si="7"/>
        <v>0</v>
      </c>
      <c r="M8" s="1">
        <v>0</v>
      </c>
      <c r="N8" t="s">
        <v>667</v>
      </c>
      <c r="O8" t="s">
        <v>45</v>
      </c>
      <c r="P8" t="b">
        <v>0</v>
      </c>
      <c r="Q8" s="1" t="b">
        <f t="shared" si="8"/>
        <v>1</v>
      </c>
      <c r="R8" t="b">
        <f t="shared" si="9"/>
        <v>1</v>
      </c>
      <c r="S8" t="b">
        <f t="shared" si="10"/>
        <v>1</v>
      </c>
      <c r="T8" t="b">
        <f t="shared" si="11"/>
        <v>1</v>
      </c>
    </row>
    <row r="9" spans="1:20" x14ac:dyDescent="0.15">
      <c r="C9" s="2" t="s">
        <v>648</v>
      </c>
      <c r="D9" s="2" t="s">
        <v>643</v>
      </c>
      <c r="E9" s="11" t="s">
        <v>635</v>
      </c>
      <c r="F9" s="2">
        <v>10</v>
      </c>
      <c r="G9" s="2" t="b">
        <v>0</v>
      </c>
      <c r="H9" s="2"/>
      <c r="I9" s="3">
        <f t="shared" si="4"/>
        <v>0</v>
      </c>
      <c r="J9" s="2" t="str">
        <f t="shared" si="5"/>
        <v>1</v>
      </c>
      <c r="K9" s="2" t="str">
        <f t="shared" si="6"/>
        <v/>
      </c>
      <c r="L9" s="2" t="b">
        <f t="shared" si="7"/>
        <v>1</v>
      </c>
      <c r="M9" s="3">
        <v>0</v>
      </c>
      <c r="N9" s="2" t="s">
        <v>44</v>
      </c>
      <c r="O9" s="2" t="s">
        <v>45</v>
      </c>
      <c r="P9" s="2" t="b">
        <v>1</v>
      </c>
      <c r="Q9" s="3" t="b">
        <f t="shared" si="0"/>
        <v>1</v>
      </c>
      <c r="R9" s="2" t="b">
        <f t="shared" si="1"/>
        <v>1</v>
      </c>
      <c r="S9" s="2" t="b">
        <f t="shared" si="2"/>
        <v>1</v>
      </c>
      <c r="T9" s="2" t="b">
        <f t="shared" si="3"/>
        <v>1</v>
      </c>
    </row>
    <row r="10" spans="1:20" x14ac:dyDescent="0.15">
      <c r="D10" t="s">
        <v>644</v>
      </c>
      <c r="E10" s="9" t="s">
        <v>669</v>
      </c>
      <c r="F10">
        <v>10</v>
      </c>
      <c r="G10" t="b">
        <v>0</v>
      </c>
      <c r="I10" s="1">
        <f t="shared" si="4"/>
        <v>0</v>
      </c>
      <c r="J10" t="str">
        <f t="shared" si="5"/>
        <v>12</v>
      </c>
      <c r="K10" t="str">
        <f t="shared" si="6"/>
        <v/>
      </c>
      <c r="L10" t="b">
        <f t="shared" si="7"/>
        <v>1</v>
      </c>
      <c r="M10" s="1">
        <v>0</v>
      </c>
      <c r="N10" t="s">
        <v>666</v>
      </c>
      <c r="O10" t="s">
        <v>45</v>
      </c>
      <c r="P10" t="b">
        <v>1</v>
      </c>
      <c r="Q10" s="1" t="b">
        <f t="shared" si="0"/>
        <v>1</v>
      </c>
      <c r="R10" t="b">
        <f t="shared" si="1"/>
        <v>1</v>
      </c>
      <c r="S10" t="b">
        <f t="shared" si="2"/>
        <v>1</v>
      </c>
      <c r="T10" t="b">
        <f t="shared" si="3"/>
        <v>1</v>
      </c>
    </row>
    <row r="11" spans="1:20" x14ac:dyDescent="0.15">
      <c r="D11" t="s">
        <v>645</v>
      </c>
      <c r="E11" s="9" t="s">
        <v>670</v>
      </c>
      <c r="F11">
        <v>10</v>
      </c>
      <c r="G11" t="b">
        <v>0</v>
      </c>
      <c r="I11" s="1">
        <f t="shared" si="4"/>
        <v>0</v>
      </c>
      <c r="J11" t="str">
        <f t="shared" si="5"/>
        <v>123</v>
      </c>
      <c r="K11" t="str">
        <f t="shared" si="6"/>
        <v/>
      </c>
      <c r="L11" t="b">
        <f t="shared" si="7"/>
        <v>1</v>
      </c>
      <c r="M11" s="1">
        <v>0</v>
      </c>
      <c r="N11" t="s">
        <v>667</v>
      </c>
      <c r="O11" t="s">
        <v>45</v>
      </c>
      <c r="P11" t="b">
        <v>1</v>
      </c>
      <c r="Q11" s="1" t="b">
        <f t="shared" si="0"/>
        <v>1</v>
      </c>
      <c r="R11" t="b">
        <f t="shared" si="1"/>
        <v>1</v>
      </c>
      <c r="S11" t="b">
        <f t="shared" si="2"/>
        <v>1</v>
      </c>
      <c r="T11" t="b">
        <f t="shared" si="3"/>
        <v>1</v>
      </c>
    </row>
    <row r="12" spans="1:20" x14ac:dyDescent="0.15">
      <c r="B12" s="2" t="s">
        <v>671</v>
      </c>
      <c r="C12" s="2" t="s">
        <v>647</v>
      </c>
      <c r="D12" s="2" t="s">
        <v>643</v>
      </c>
      <c r="E12" s="11" t="s">
        <v>673</v>
      </c>
      <c r="F12" s="2">
        <v>10</v>
      </c>
      <c r="G12" s="2" t="b">
        <v>0</v>
      </c>
      <c r="H12" s="2"/>
      <c r="I12" s="3">
        <f t="shared" si="4"/>
        <v>0</v>
      </c>
      <c r="J12" s="2" t="str">
        <f t="shared" si="5"/>
        <v>1</v>
      </c>
      <c r="K12" s="2" t="str">
        <f t="shared" si="6"/>
        <v>2</v>
      </c>
      <c r="L12" s="2" t="b">
        <f t="shared" si="7"/>
        <v>0</v>
      </c>
      <c r="M12" s="3">
        <v>0</v>
      </c>
      <c r="N12" s="2" t="s">
        <v>44</v>
      </c>
      <c r="O12" s="2" t="s">
        <v>307</v>
      </c>
      <c r="P12" s="2" t="b">
        <v>0</v>
      </c>
      <c r="Q12" s="3" t="b">
        <f t="shared" si="0"/>
        <v>1</v>
      </c>
      <c r="R12" s="2" t="b">
        <f t="shared" si="1"/>
        <v>1</v>
      </c>
      <c r="S12" s="2" t="b">
        <f t="shared" si="2"/>
        <v>1</v>
      </c>
      <c r="T12" s="2" t="b">
        <f t="shared" si="3"/>
        <v>1</v>
      </c>
    </row>
    <row r="13" spans="1:20" x14ac:dyDescent="0.15">
      <c r="C13" t="s">
        <v>672</v>
      </c>
      <c r="D13" t="s">
        <v>644</v>
      </c>
      <c r="E13" s="9" t="s">
        <v>674</v>
      </c>
      <c r="F13">
        <v>10</v>
      </c>
      <c r="G13" t="b">
        <v>0</v>
      </c>
      <c r="I13" s="1">
        <f t="shared" si="4"/>
        <v>0</v>
      </c>
      <c r="J13" t="str">
        <f t="shared" si="5"/>
        <v>1</v>
      </c>
      <c r="K13" t="str">
        <f t="shared" si="6"/>
        <v>23</v>
      </c>
      <c r="L13" t="b">
        <f t="shared" si="7"/>
        <v>0</v>
      </c>
      <c r="M13" s="1">
        <v>0</v>
      </c>
      <c r="N13" t="s">
        <v>44</v>
      </c>
      <c r="O13" t="s">
        <v>17</v>
      </c>
      <c r="P13" t="b">
        <v>0</v>
      </c>
      <c r="Q13" s="1" t="b">
        <f t="shared" si="0"/>
        <v>1</v>
      </c>
      <c r="R13" t="b">
        <f t="shared" si="1"/>
        <v>1</v>
      </c>
      <c r="S13" t="b">
        <f t="shared" si="2"/>
        <v>1</v>
      </c>
      <c r="T13" t="b">
        <f t="shared" si="3"/>
        <v>1</v>
      </c>
    </row>
    <row r="14" spans="1:20" x14ac:dyDescent="0.15">
      <c r="D14" t="s">
        <v>645</v>
      </c>
      <c r="E14" s="9" t="s">
        <v>675</v>
      </c>
      <c r="F14">
        <v>10</v>
      </c>
      <c r="G14" t="b">
        <v>0</v>
      </c>
      <c r="I14" s="1">
        <f t="shared" si="4"/>
        <v>0</v>
      </c>
      <c r="J14" t="str">
        <f t="shared" si="5"/>
        <v>1</v>
      </c>
      <c r="K14" t="str">
        <f t="shared" si="6"/>
        <v>234</v>
      </c>
      <c r="L14" t="b">
        <f t="shared" si="7"/>
        <v>0</v>
      </c>
      <c r="M14" s="1">
        <v>0</v>
      </c>
      <c r="N14" t="s">
        <v>44</v>
      </c>
      <c r="O14" t="s">
        <v>676</v>
      </c>
      <c r="P14" t="b">
        <v>0</v>
      </c>
      <c r="Q14" s="1" t="b">
        <f t="shared" si="0"/>
        <v>1</v>
      </c>
      <c r="R14" t="b">
        <f t="shared" si="1"/>
        <v>1</v>
      </c>
      <c r="S14" t="b">
        <f t="shared" si="2"/>
        <v>1</v>
      </c>
      <c r="T14" t="b">
        <f t="shared" si="3"/>
        <v>1</v>
      </c>
    </row>
    <row r="15" spans="1:20" x14ac:dyDescent="0.15">
      <c r="C15" s="2" t="s">
        <v>647</v>
      </c>
      <c r="D15" s="2" t="s">
        <v>643</v>
      </c>
      <c r="E15" s="11" t="s">
        <v>679</v>
      </c>
      <c r="F15" s="2">
        <v>10</v>
      </c>
      <c r="G15" s="2" t="b">
        <v>0</v>
      </c>
      <c r="H15" s="2"/>
      <c r="I15" s="3">
        <f t="shared" si="4"/>
        <v>0</v>
      </c>
      <c r="J15" s="2" t="str">
        <f t="shared" si="5"/>
        <v>12</v>
      </c>
      <c r="K15" s="2" t="str">
        <f t="shared" si="6"/>
        <v>3</v>
      </c>
      <c r="L15" s="2" t="b">
        <f t="shared" si="7"/>
        <v>0</v>
      </c>
      <c r="M15" s="3">
        <v>0</v>
      </c>
      <c r="N15" s="2" t="s">
        <v>666</v>
      </c>
      <c r="O15" s="2" t="s">
        <v>81</v>
      </c>
      <c r="P15" s="2" t="b">
        <v>0</v>
      </c>
      <c r="Q15" s="3" t="b">
        <f t="shared" ref="Q15:Q23" si="12">getText(I15)=getText(M15)</f>
        <v>1</v>
      </c>
      <c r="R15" s="2" t="b">
        <f t="shared" ref="R15:R23" si="13">getText(J15)=getText(N15)</f>
        <v>1</v>
      </c>
      <c r="S15" s="2" t="b">
        <f t="shared" ref="S15:S23" si="14">getText(K15)=getText(O15)</f>
        <v>1</v>
      </c>
      <c r="T15" s="2" t="b">
        <f t="shared" ref="T15:T23" si="15">getText(L15)=getText(P15)</f>
        <v>1</v>
      </c>
    </row>
    <row r="16" spans="1:20" x14ac:dyDescent="0.15">
      <c r="C16" t="s">
        <v>677</v>
      </c>
      <c r="D16" t="s">
        <v>644</v>
      </c>
      <c r="E16" s="9" t="s">
        <v>680</v>
      </c>
      <c r="F16">
        <v>10</v>
      </c>
      <c r="G16" t="b">
        <v>0</v>
      </c>
      <c r="I16" s="1">
        <f t="shared" si="4"/>
        <v>0</v>
      </c>
      <c r="J16" t="str">
        <f t="shared" si="5"/>
        <v>12</v>
      </c>
      <c r="K16" t="str">
        <f t="shared" si="6"/>
        <v>34</v>
      </c>
      <c r="L16" t="b">
        <f t="shared" si="7"/>
        <v>0</v>
      </c>
      <c r="M16" s="1">
        <v>0</v>
      </c>
      <c r="N16" t="s">
        <v>666</v>
      </c>
      <c r="O16" t="s">
        <v>682</v>
      </c>
      <c r="P16" t="b">
        <v>0</v>
      </c>
      <c r="Q16" s="1" t="b">
        <f t="shared" si="12"/>
        <v>1</v>
      </c>
      <c r="R16" t="b">
        <f t="shared" si="13"/>
        <v>1</v>
      </c>
      <c r="S16" t="b">
        <f t="shared" si="14"/>
        <v>1</v>
      </c>
      <c r="T16" t="b">
        <f t="shared" si="15"/>
        <v>1</v>
      </c>
    </row>
    <row r="17" spans="2:20" x14ac:dyDescent="0.15">
      <c r="D17" t="s">
        <v>645</v>
      </c>
      <c r="E17" s="9" t="s">
        <v>681</v>
      </c>
      <c r="F17">
        <v>10</v>
      </c>
      <c r="G17" t="b">
        <v>0</v>
      </c>
      <c r="I17" s="1">
        <f t="shared" si="4"/>
        <v>0</v>
      </c>
      <c r="J17" t="str">
        <f t="shared" si="5"/>
        <v>12</v>
      </c>
      <c r="K17" t="str">
        <f t="shared" si="6"/>
        <v>345</v>
      </c>
      <c r="L17" t="b">
        <f t="shared" si="7"/>
        <v>0</v>
      </c>
      <c r="M17" s="1">
        <v>0</v>
      </c>
      <c r="N17" t="s">
        <v>666</v>
      </c>
      <c r="O17" t="s">
        <v>683</v>
      </c>
      <c r="P17" t="b">
        <v>0</v>
      </c>
      <c r="Q17" s="1" t="b">
        <f t="shared" si="12"/>
        <v>1</v>
      </c>
      <c r="R17" t="b">
        <f t="shared" si="13"/>
        <v>1</v>
      </c>
      <c r="S17" t="b">
        <f t="shared" si="14"/>
        <v>1</v>
      </c>
      <c r="T17" t="b">
        <f t="shared" si="15"/>
        <v>1</v>
      </c>
    </row>
    <row r="18" spans="2:20" x14ac:dyDescent="0.15">
      <c r="C18" s="2" t="s">
        <v>647</v>
      </c>
      <c r="D18" s="2" t="s">
        <v>643</v>
      </c>
      <c r="E18" s="11" t="s">
        <v>684</v>
      </c>
      <c r="F18" s="2">
        <v>10</v>
      </c>
      <c r="G18" s="2" t="b">
        <v>0</v>
      </c>
      <c r="H18" s="2"/>
      <c r="I18" s="3">
        <f t="shared" si="4"/>
        <v>0</v>
      </c>
      <c r="J18" s="2" t="str">
        <f t="shared" si="5"/>
        <v>123</v>
      </c>
      <c r="K18" s="2" t="str">
        <f t="shared" si="6"/>
        <v>4</v>
      </c>
      <c r="L18" s="2" t="b">
        <f t="shared" si="7"/>
        <v>0</v>
      </c>
      <c r="M18" s="3">
        <v>0</v>
      </c>
      <c r="N18" s="2" t="s">
        <v>667</v>
      </c>
      <c r="O18" s="2" t="s">
        <v>314</v>
      </c>
      <c r="P18" s="2" t="b">
        <v>0</v>
      </c>
      <c r="Q18" s="3" t="b">
        <f t="shared" si="12"/>
        <v>1</v>
      </c>
      <c r="R18" s="2" t="b">
        <f t="shared" si="13"/>
        <v>1</v>
      </c>
      <c r="S18" s="2" t="b">
        <f t="shared" si="14"/>
        <v>1</v>
      </c>
      <c r="T18" s="2" t="b">
        <f t="shared" si="15"/>
        <v>1</v>
      </c>
    </row>
    <row r="19" spans="2:20" x14ac:dyDescent="0.15">
      <c r="C19" t="s">
        <v>678</v>
      </c>
      <c r="D19" t="s">
        <v>644</v>
      </c>
      <c r="E19" s="9" t="s">
        <v>685</v>
      </c>
      <c r="F19">
        <v>10</v>
      </c>
      <c r="G19" t="b">
        <v>0</v>
      </c>
      <c r="I19" s="1">
        <f t="shared" si="4"/>
        <v>0</v>
      </c>
      <c r="J19" t="str">
        <f t="shared" si="5"/>
        <v>123</v>
      </c>
      <c r="K19" t="str">
        <f t="shared" si="6"/>
        <v>45</v>
      </c>
      <c r="L19" t="b">
        <f t="shared" si="7"/>
        <v>0</v>
      </c>
      <c r="M19" s="1">
        <v>0</v>
      </c>
      <c r="N19" t="s">
        <v>667</v>
      </c>
      <c r="O19" t="s">
        <v>687</v>
      </c>
      <c r="P19" t="b">
        <v>0</v>
      </c>
      <c r="Q19" s="1" t="b">
        <f t="shared" si="12"/>
        <v>1</v>
      </c>
      <c r="R19" t="b">
        <f t="shared" si="13"/>
        <v>1</v>
      </c>
      <c r="S19" t="b">
        <f t="shared" si="14"/>
        <v>1</v>
      </c>
      <c r="T19" t="b">
        <f t="shared" si="15"/>
        <v>1</v>
      </c>
    </row>
    <row r="20" spans="2:20" x14ac:dyDescent="0.15">
      <c r="D20" t="s">
        <v>645</v>
      </c>
      <c r="E20" s="9" t="s">
        <v>686</v>
      </c>
      <c r="F20">
        <v>10</v>
      </c>
      <c r="G20" t="b">
        <v>0</v>
      </c>
      <c r="I20" s="1">
        <f t="shared" si="4"/>
        <v>0</v>
      </c>
      <c r="J20" t="str">
        <f t="shared" si="5"/>
        <v>123</v>
      </c>
      <c r="K20" t="str">
        <f t="shared" si="6"/>
        <v>456</v>
      </c>
      <c r="L20" t="b">
        <f t="shared" si="7"/>
        <v>0</v>
      </c>
      <c r="M20" s="1">
        <v>0</v>
      </c>
      <c r="N20" t="s">
        <v>667</v>
      </c>
      <c r="O20" t="s">
        <v>688</v>
      </c>
      <c r="P20" t="b">
        <v>0</v>
      </c>
      <c r="Q20" s="1" t="b">
        <f t="shared" si="12"/>
        <v>1</v>
      </c>
      <c r="R20" t="b">
        <f t="shared" si="13"/>
        <v>1</v>
      </c>
      <c r="S20" t="b">
        <f t="shared" si="14"/>
        <v>1</v>
      </c>
      <c r="T20" t="b">
        <f t="shared" si="15"/>
        <v>1</v>
      </c>
    </row>
    <row r="21" spans="2:20" x14ac:dyDescent="0.15">
      <c r="C21" s="2" t="s">
        <v>648</v>
      </c>
      <c r="D21" s="2" t="s">
        <v>643</v>
      </c>
      <c r="E21" s="11" t="s">
        <v>689</v>
      </c>
      <c r="F21" s="2">
        <v>10</v>
      </c>
      <c r="G21" s="2" t="b">
        <v>0</v>
      </c>
      <c r="H21" s="2"/>
      <c r="I21" s="3">
        <f t="shared" si="4"/>
        <v>0</v>
      </c>
      <c r="J21" s="2" t="str">
        <f t="shared" si="5"/>
        <v>1</v>
      </c>
      <c r="K21" s="2" t="str">
        <f t="shared" si="6"/>
        <v>2</v>
      </c>
      <c r="L21" s="2" t="b">
        <f t="shared" si="7"/>
        <v>1</v>
      </c>
      <c r="M21" s="3">
        <v>0</v>
      </c>
      <c r="N21" s="2" t="s">
        <v>44</v>
      </c>
      <c r="O21" s="2" t="s">
        <v>307</v>
      </c>
      <c r="P21" s="2" t="b">
        <v>1</v>
      </c>
      <c r="Q21" s="3" t="b">
        <f t="shared" si="12"/>
        <v>1</v>
      </c>
      <c r="R21" s="2" t="b">
        <f t="shared" si="13"/>
        <v>1</v>
      </c>
      <c r="S21" s="2" t="b">
        <f t="shared" si="14"/>
        <v>1</v>
      </c>
      <c r="T21" s="2" t="b">
        <f t="shared" si="15"/>
        <v>1</v>
      </c>
    </row>
    <row r="22" spans="2:20" x14ac:dyDescent="0.15">
      <c r="C22" t="s">
        <v>672</v>
      </c>
      <c r="D22" t="s">
        <v>644</v>
      </c>
      <c r="E22" s="9" t="s">
        <v>690</v>
      </c>
      <c r="F22">
        <v>10</v>
      </c>
      <c r="G22" t="b">
        <v>0</v>
      </c>
      <c r="I22" s="1">
        <f t="shared" si="4"/>
        <v>0</v>
      </c>
      <c r="J22" t="str">
        <f t="shared" si="5"/>
        <v>1</v>
      </c>
      <c r="K22" t="str">
        <f t="shared" si="6"/>
        <v>23</v>
      </c>
      <c r="L22" t="b">
        <f t="shared" si="7"/>
        <v>1</v>
      </c>
      <c r="M22" s="1">
        <v>0</v>
      </c>
      <c r="N22" t="s">
        <v>44</v>
      </c>
      <c r="O22" t="s">
        <v>17</v>
      </c>
      <c r="P22" t="b">
        <v>1</v>
      </c>
      <c r="Q22" s="1" t="b">
        <f t="shared" si="12"/>
        <v>1</v>
      </c>
      <c r="R22" t="b">
        <f t="shared" si="13"/>
        <v>1</v>
      </c>
      <c r="S22" t="b">
        <f t="shared" si="14"/>
        <v>1</v>
      </c>
      <c r="T22" t="b">
        <f t="shared" si="15"/>
        <v>1</v>
      </c>
    </row>
    <row r="23" spans="2:20" x14ac:dyDescent="0.15">
      <c r="D23" t="s">
        <v>645</v>
      </c>
      <c r="E23" s="9" t="s">
        <v>691</v>
      </c>
      <c r="F23">
        <v>10</v>
      </c>
      <c r="G23" t="b">
        <v>0</v>
      </c>
      <c r="I23" s="1">
        <f t="shared" si="4"/>
        <v>0</v>
      </c>
      <c r="J23" t="str">
        <f t="shared" si="5"/>
        <v>1</v>
      </c>
      <c r="K23" t="str">
        <f t="shared" si="6"/>
        <v>234</v>
      </c>
      <c r="L23" t="b">
        <f t="shared" si="7"/>
        <v>1</v>
      </c>
      <c r="M23" s="1">
        <v>0</v>
      </c>
      <c r="N23" t="s">
        <v>44</v>
      </c>
      <c r="O23" t="s">
        <v>676</v>
      </c>
      <c r="P23" t="b">
        <v>1</v>
      </c>
      <c r="Q23" s="1" t="b">
        <f t="shared" si="12"/>
        <v>1</v>
      </c>
      <c r="R23" t="b">
        <f t="shared" si="13"/>
        <v>1</v>
      </c>
      <c r="S23" t="b">
        <f t="shared" si="14"/>
        <v>1</v>
      </c>
      <c r="T23" t="b">
        <f t="shared" si="15"/>
        <v>1</v>
      </c>
    </row>
    <row r="24" spans="2:20" x14ac:dyDescent="0.15">
      <c r="C24" s="2" t="s">
        <v>648</v>
      </c>
      <c r="D24" s="2" t="s">
        <v>643</v>
      </c>
      <c r="E24" s="11" t="s">
        <v>692</v>
      </c>
      <c r="F24" s="2">
        <v>10</v>
      </c>
      <c r="G24" s="2" t="b">
        <v>0</v>
      </c>
      <c r="H24" s="2"/>
      <c r="I24" s="3">
        <f t="shared" si="4"/>
        <v>0</v>
      </c>
      <c r="J24" s="2" t="str">
        <f t="shared" si="5"/>
        <v>12</v>
      </c>
      <c r="K24" s="2" t="str">
        <f t="shared" si="6"/>
        <v>3</v>
      </c>
      <c r="L24" s="2" t="b">
        <f t="shared" si="7"/>
        <v>1</v>
      </c>
      <c r="M24" s="3">
        <v>0</v>
      </c>
      <c r="N24" s="2" t="s">
        <v>666</v>
      </c>
      <c r="O24" s="2" t="s">
        <v>81</v>
      </c>
      <c r="P24" s="2" t="b">
        <v>1</v>
      </c>
      <c r="Q24" s="3" t="b">
        <f t="shared" ref="Q24:Q29" si="16">getText(I24)=getText(M24)</f>
        <v>1</v>
      </c>
      <c r="R24" s="2" t="b">
        <f t="shared" ref="R24:R29" si="17">getText(J24)=getText(N24)</f>
        <v>1</v>
      </c>
      <c r="S24" s="2" t="b">
        <f t="shared" ref="S24:S29" si="18">getText(K24)=getText(O24)</f>
        <v>1</v>
      </c>
      <c r="T24" s="2" t="b">
        <f t="shared" ref="T24:T29" si="19">getText(L24)=getText(P24)</f>
        <v>1</v>
      </c>
    </row>
    <row r="25" spans="2:20" x14ac:dyDescent="0.15">
      <c r="C25" t="s">
        <v>677</v>
      </c>
      <c r="D25" t="s">
        <v>644</v>
      </c>
      <c r="E25" s="9" t="s">
        <v>693</v>
      </c>
      <c r="F25">
        <v>10</v>
      </c>
      <c r="G25" t="b">
        <v>0</v>
      </c>
      <c r="I25" s="1">
        <f t="shared" si="4"/>
        <v>0</v>
      </c>
      <c r="J25" t="str">
        <f t="shared" si="5"/>
        <v>12</v>
      </c>
      <c r="K25" t="str">
        <f t="shared" si="6"/>
        <v>34</v>
      </c>
      <c r="L25" t="b">
        <f t="shared" si="7"/>
        <v>1</v>
      </c>
      <c r="M25" s="1">
        <v>0</v>
      </c>
      <c r="N25" t="s">
        <v>666</v>
      </c>
      <c r="O25" t="s">
        <v>682</v>
      </c>
      <c r="P25" t="b">
        <v>1</v>
      </c>
      <c r="Q25" s="1" t="b">
        <f t="shared" si="16"/>
        <v>1</v>
      </c>
      <c r="R25" t="b">
        <f t="shared" si="17"/>
        <v>1</v>
      </c>
      <c r="S25" t="b">
        <f t="shared" si="18"/>
        <v>1</v>
      </c>
      <c r="T25" t="b">
        <f t="shared" si="19"/>
        <v>1</v>
      </c>
    </row>
    <row r="26" spans="2:20" x14ac:dyDescent="0.15">
      <c r="D26" t="s">
        <v>645</v>
      </c>
      <c r="E26" s="9" t="s">
        <v>694</v>
      </c>
      <c r="F26">
        <v>10</v>
      </c>
      <c r="G26" t="b">
        <v>0</v>
      </c>
      <c r="I26" s="1">
        <f t="shared" si="4"/>
        <v>0</v>
      </c>
      <c r="J26" t="str">
        <f t="shared" si="5"/>
        <v>12</v>
      </c>
      <c r="K26" t="str">
        <f t="shared" si="6"/>
        <v>345</v>
      </c>
      <c r="L26" t="b">
        <f t="shared" si="7"/>
        <v>1</v>
      </c>
      <c r="M26" s="1">
        <v>0</v>
      </c>
      <c r="N26" t="s">
        <v>666</v>
      </c>
      <c r="O26" t="s">
        <v>683</v>
      </c>
      <c r="P26" t="b">
        <v>1</v>
      </c>
      <c r="Q26" s="1" t="b">
        <f t="shared" si="16"/>
        <v>1</v>
      </c>
      <c r="R26" t="b">
        <f t="shared" si="17"/>
        <v>1</v>
      </c>
      <c r="S26" t="b">
        <f t="shared" si="18"/>
        <v>1</v>
      </c>
      <c r="T26" t="b">
        <f t="shared" si="19"/>
        <v>1</v>
      </c>
    </row>
    <row r="27" spans="2:20" x14ac:dyDescent="0.15">
      <c r="C27" s="2" t="s">
        <v>648</v>
      </c>
      <c r="D27" s="2" t="s">
        <v>643</v>
      </c>
      <c r="E27" s="11" t="s">
        <v>695</v>
      </c>
      <c r="F27" s="2">
        <v>10</v>
      </c>
      <c r="G27" s="2" t="b">
        <v>0</v>
      </c>
      <c r="H27" s="2"/>
      <c r="I27" s="3">
        <f t="shared" si="4"/>
        <v>0</v>
      </c>
      <c r="J27" s="2" t="str">
        <f t="shared" si="5"/>
        <v>123</v>
      </c>
      <c r="K27" s="2" t="str">
        <f t="shared" si="6"/>
        <v>4</v>
      </c>
      <c r="L27" s="2" t="b">
        <f t="shared" si="7"/>
        <v>1</v>
      </c>
      <c r="M27" s="3">
        <v>0</v>
      </c>
      <c r="N27" s="2" t="s">
        <v>667</v>
      </c>
      <c r="O27" s="2" t="s">
        <v>314</v>
      </c>
      <c r="P27" s="2" t="b">
        <v>1</v>
      </c>
      <c r="Q27" s="3" t="b">
        <f t="shared" si="16"/>
        <v>1</v>
      </c>
      <c r="R27" s="2" t="b">
        <f t="shared" si="17"/>
        <v>1</v>
      </c>
      <c r="S27" s="2" t="b">
        <f t="shared" si="18"/>
        <v>1</v>
      </c>
      <c r="T27" s="2" t="b">
        <f t="shared" si="19"/>
        <v>1</v>
      </c>
    </row>
    <row r="28" spans="2:20" x14ac:dyDescent="0.15">
      <c r="C28" t="s">
        <v>678</v>
      </c>
      <c r="D28" t="s">
        <v>644</v>
      </c>
      <c r="E28" s="9" t="s">
        <v>696</v>
      </c>
      <c r="F28">
        <v>10</v>
      </c>
      <c r="G28" t="b">
        <v>0</v>
      </c>
      <c r="I28" s="1">
        <f t="shared" si="4"/>
        <v>0</v>
      </c>
      <c r="J28" t="str">
        <f t="shared" si="5"/>
        <v>123</v>
      </c>
      <c r="K28" t="str">
        <f t="shared" si="6"/>
        <v>45</v>
      </c>
      <c r="L28" t="b">
        <f t="shared" si="7"/>
        <v>1</v>
      </c>
      <c r="M28" s="1">
        <v>0</v>
      </c>
      <c r="N28" t="s">
        <v>667</v>
      </c>
      <c r="O28" t="s">
        <v>687</v>
      </c>
      <c r="P28" t="b">
        <v>1</v>
      </c>
      <c r="Q28" s="1" t="b">
        <f t="shared" si="16"/>
        <v>1</v>
      </c>
      <c r="R28" t="b">
        <f t="shared" si="17"/>
        <v>1</v>
      </c>
      <c r="S28" t="b">
        <f t="shared" si="18"/>
        <v>1</v>
      </c>
      <c r="T28" t="b">
        <f t="shared" si="19"/>
        <v>1</v>
      </c>
    </row>
    <row r="29" spans="2:20" x14ac:dyDescent="0.15">
      <c r="D29" t="s">
        <v>645</v>
      </c>
      <c r="E29" s="9" t="s">
        <v>697</v>
      </c>
      <c r="F29">
        <v>10</v>
      </c>
      <c r="G29" t="b">
        <v>0</v>
      </c>
      <c r="I29" s="1">
        <f t="shared" si="4"/>
        <v>0</v>
      </c>
      <c r="J29" t="str">
        <f t="shared" si="5"/>
        <v>123</v>
      </c>
      <c r="K29" t="str">
        <f t="shared" si="6"/>
        <v>456</v>
      </c>
      <c r="L29" t="b">
        <f t="shared" si="7"/>
        <v>1</v>
      </c>
      <c r="M29" s="1">
        <v>0</v>
      </c>
      <c r="N29" t="s">
        <v>667</v>
      </c>
      <c r="O29" t="s">
        <v>688</v>
      </c>
      <c r="P29" t="b">
        <v>1</v>
      </c>
      <c r="Q29" s="1" t="b">
        <f t="shared" si="16"/>
        <v>1</v>
      </c>
      <c r="R29" t="b">
        <f t="shared" si="17"/>
        <v>1</v>
      </c>
      <c r="S29" t="b">
        <f t="shared" si="18"/>
        <v>1</v>
      </c>
      <c r="T29" t="b">
        <f t="shared" si="19"/>
        <v>1</v>
      </c>
    </row>
    <row r="30" spans="2:20" x14ac:dyDescent="0.15">
      <c r="B30" s="2" t="s">
        <v>698</v>
      </c>
      <c r="C30" s="2" t="s">
        <v>699</v>
      </c>
      <c r="D30" s="2"/>
      <c r="E30" s="11" t="s">
        <v>701</v>
      </c>
      <c r="F30" s="2">
        <v>10</v>
      </c>
      <c r="G30" s="2" t="b">
        <v>0</v>
      </c>
      <c r="H30" s="2"/>
      <c r="I30" s="3">
        <f t="shared" ref="I30:I33" si="20">TESTseparateToIntAndFrc(E30,F30,G30)</f>
        <v>0</v>
      </c>
      <c r="J30" s="2" t="str">
        <f t="shared" ref="J30:J33" si="21">TESTseparateToIntAndFrcByRef1(E30,F30,G30)</f>
        <v>001</v>
      </c>
      <c r="K30" s="2" t="str">
        <f t="shared" ref="K30:K33" si="22">TESTseparateToIntAndFrcByRef2(E30,F30,G30)</f>
        <v>100</v>
      </c>
      <c r="L30" s="2" t="b">
        <f t="shared" ref="L30:L33" si="23">TESTseparateToIntAndFrcByRef3(E30,F30,G30)</f>
        <v>0</v>
      </c>
      <c r="M30" s="3">
        <v>0</v>
      </c>
      <c r="N30" s="2" t="s">
        <v>82</v>
      </c>
      <c r="O30" s="2" t="s">
        <v>21</v>
      </c>
      <c r="P30" s="2" t="b">
        <v>0</v>
      </c>
      <c r="Q30" s="3" t="b">
        <f t="shared" ref="Q30:Q34" si="24">getText(I30)=getText(M30)</f>
        <v>1</v>
      </c>
      <c r="R30" s="2" t="b">
        <f t="shared" ref="R30:R34" si="25">getText(J30)=getText(N30)</f>
        <v>1</v>
      </c>
      <c r="S30" s="2" t="b">
        <f t="shared" ref="S30:S34" si="26">getText(K30)=getText(O30)</f>
        <v>1</v>
      </c>
      <c r="T30" s="2" t="b">
        <f t="shared" ref="T30:T34" si="27">getText(L30)=getText(P30)</f>
        <v>1</v>
      </c>
    </row>
    <row r="31" spans="2:20" x14ac:dyDescent="0.15">
      <c r="C31" t="s">
        <v>700</v>
      </c>
      <c r="E31" s="9" t="s">
        <v>701</v>
      </c>
      <c r="F31">
        <v>10</v>
      </c>
      <c r="G31" t="b">
        <v>1</v>
      </c>
      <c r="I31" s="1">
        <f t="shared" si="20"/>
        <v>0</v>
      </c>
      <c r="J31" t="str">
        <f t="shared" si="21"/>
        <v>1</v>
      </c>
      <c r="K31" t="str">
        <f t="shared" si="22"/>
        <v>1</v>
      </c>
      <c r="L31" t="b">
        <f t="shared" si="23"/>
        <v>0</v>
      </c>
      <c r="M31" s="1">
        <v>0</v>
      </c>
      <c r="N31" t="s">
        <v>44</v>
      </c>
      <c r="O31" t="s">
        <v>44</v>
      </c>
      <c r="P31" t="b">
        <v>0</v>
      </c>
      <c r="Q31" s="1" t="b">
        <f t="shared" si="24"/>
        <v>1</v>
      </c>
      <c r="R31" t="b">
        <f t="shared" si="25"/>
        <v>1</v>
      </c>
      <c r="S31" t="b">
        <f t="shared" si="26"/>
        <v>1</v>
      </c>
      <c r="T31" t="b">
        <f t="shared" si="27"/>
        <v>1</v>
      </c>
    </row>
    <row r="32" spans="2:20" x14ac:dyDescent="0.15">
      <c r="C32" t="s">
        <v>702</v>
      </c>
      <c r="E32" s="9" t="s">
        <v>703</v>
      </c>
      <c r="F32">
        <v>10</v>
      </c>
      <c r="G32" t="b">
        <v>1</v>
      </c>
      <c r="I32" s="1">
        <f t="shared" si="20"/>
        <v>0</v>
      </c>
      <c r="J32" t="str">
        <f t="shared" si="21"/>
        <v>0</v>
      </c>
      <c r="K32" t="str">
        <f t="shared" si="22"/>
        <v>1</v>
      </c>
      <c r="L32" t="b">
        <f t="shared" si="23"/>
        <v>0</v>
      </c>
      <c r="M32" s="1">
        <v>0</v>
      </c>
      <c r="N32" t="s">
        <v>14</v>
      </c>
      <c r="O32" t="s">
        <v>44</v>
      </c>
      <c r="P32" t="b">
        <v>0</v>
      </c>
      <c r="Q32" s="1" t="b">
        <f t="shared" si="24"/>
        <v>1</v>
      </c>
      <c r="R32" t="b">
        <f t="shared" si="25"/>
        <v>1</v>
      </c>
      <c r="S32" t="b">
        <f t="shared" si="26"/>
        <v>1</v>
      </c>
      <c r="T32" t="b">
        <f t="shared" si="27"/>
        <v>1</v>
      </c>
    </row>
    <row r="33" spans="1:20" x14ac:dyDescent="0.15">
      <c r="C33" t="s">
        <v>704</v>
      </c>
      <c r="E33" s="9" t="s">
        <v>706</v>
      </c>
      <c r="F33">
        <v>10</v>
      </c>
      <c r="G33" t="b">
        <v>1</v>
      </c>
      <c r="I33" s="1">
        <f t="shared" si="20"/>
        <v>0</v>
      </c>
      <c r="J33" t="str">
        <f t="shared" si="21"/>
        <v>1</v>
      </c>
      <c r="K33" t="str">
        <f t="shared" si="22"/>
        <v/>
      </c>
      <c r="L33" t="b">
        <f t="shared" si="23"/>
        <v>0</v>
      </c>
      <c r="M33" s="1">
        <v>0</v>
      </c>
      <c r="N33" t="s">
        <v>44</v>
      </c>
      <c r="O33" t="s">
        <v>45</v>
      </c>
      <c r="P33" t="b">
        <v>0</v>
      </c>
      <c r="Q33" s="1" t="b">
        <f t="shared" si="24"/>
        <v>1</v>
      </c>
      <c r="R33" t="b">
        <f t="shared" si="25"/>
        <v>1</v>
      </c>
      <c r="S33" t="b">
        <f t="shared" si="26"/>
        <v>1</v>
      </c>
      <c r="T33" t="b">
        <f t="shared" si="27"/>
        <v>1</v>
      </c>
    </row>
    <row r="34" spans="1:20" x14ac:dyDescent="0.15">
      <c r="C34" t="s">
        <v>705</v>
      </c>
      <c r="E34" s="9" t="s">
        <v>707</v>
      </c>
      <c r="F34">
        <v>10</v>
      </c>
      <c r="G34" t="b">
        <v>1</v>
      </c>
      <c r="I34" s="1">
        <f t="shared" ref="I34" si="28">TESTseparateToIntAndFrc(E34,F34,G34)</f>
        <v>0</v>
      </c>
      <c r="J34" t="str">
        <f t="shared" ref="J34" si="29">TESTseparateToIntAndFrcByRef1(E34,F34,G34)</f>
        <v>0</v>
      </c>
      <c r="K34" t="str">
        <f t="shared" ref="K34" si="30">TESTseparateToIntAndFrcByRef2(E34,F34,G34)</f>
        <v/>
      </c>
      <c r="L34" t="b">
        <f t="shared" ref="L34" si="31">TESTseparateToIntAndFrcByRef3(E34,F34,G34)</f>
        <v>0</v>
      </c>
      <c r="M34" s="1">
        <v>0</v>
      </c>
      <c r="N34" t="s">
        <v>14</v>
      </c>
      <c r="O34" t="s">
        <v>45</v>
      </c>
      <c r="P34" t="b">
        <v>0</v>
      </c>
      <c r="Q34" s="1" t="b">
        <f t="shared" si="24"/>
        <v>1</v>
      </c>
      <c r="R34" t="b">
        <f t="shared" si="25"/>
        <v>1</v>
      </c>
      <c r="S34" t="b">
        <f t="shared" si="26"/>
        <v>1</v>
      </c>
      <c r="T34" t="b">
        <f t="shared" si="27"/>
        <v>1</v>
      </c>
    </row>
    <row r="35" spans="1:20" s="2" customFormat="1" x14ac:dyDescent="0.15">
      <c r="A35" s="2" t="s">
        <v>572</v>
      </c>
      <c r="B35" s="2" t="s">
        <v>580</v>
      </c>
      <c r="D35" s="2" t="s">
        <v>573</v>
      </c>
      <c r="E35" s="3">
        <v>1</v>
      </c>
      <c r="F35" s="2">
        <v>1</v>
      </c>
      <c r="I35" s="3">
        <f>TESTcheckNPntStr(E35,F35)</f>
        <v>0</v>
      </c>
      <c r="J35" s="2" t="b">
        <f>TESTcheckNPntStrByRef1(E35,F35)</f>
        <v>0</v>
      </c>
      <c r="K35" s="2">
        <f>TESTcheckNPntStrByRef2(E35,F35)</f>
        <v>0</v>
      </c>
      <c r="L35" s="2" t="e">
        <f>TESTcheckNPntStrByRef3(E35,F35)</f>
        <v>#NUM!</v>
      </c>
      <c r="M35" s="3">
        <v>0</v>
      </c>
      <c r="N35" s="2" t="b">
        <v>0</v>
      </c>
      <c r="O35" s="2">
        <v>0</v>
      </c>
      <c r="P35" s="2" t="e">
        <v>#NUM!</v>
      </c>
      <c r="Q35" s="3" t="b">
        <f t="shared" ref="Q35:R39" si="32">getText(I35)=getText(M35)</f>
        <v>1</v>
      </c>
      <c r="R35" s="2" t="b">
        <f t="shared" si="32"/>
        <v>1</v>
      </c>
      <c r="S35" s="2" t="b">
        <f t="shared" ref="S35:T39" si="33">getText(K35)=getText(O35)</f>
        <v>1</v>
      </c>
      <c r="T35" s="2" t="b">
        <f t="shared" si="33"/>
        <v>1</v>
      </c>
    </row>
    <row r="36" spans="1:20" x14ac:dyDescent="0.15">
      <c r="D36" t="s">
        <v>574</v>
      </c>
      <c r="E36" s="1">
        <v>1</v>
      </c>
      <c r="F36">
        <v>2</v>
      </c>
      <c r="I36" s="1">
        <f t="shared" ref="I36:I39" si="34">TESTcheckNPntStr(E36,F36)</f>
        <v>2</v>
      </c>
      <c r="J36" t="b">
        <f>TESTcheckNPntStrByRef1(E36,F36)</f>
        <v>0</v>
      </c>
      <c r="K36">
        <f t="shared" ref="K36:K39" si="35">TESTcheckNPntStrByRef2(E36,F36)</f>
        <v>0</v>
      </c>
      <c r="L36">
        <f t="shared" ref="L36:L50" si="36">TESTcheckNPntStrByRef3(E36,F36)</f>
        <v>0</v>
      </c>
      <c r="M36" s="1">
        <v>2</v>
      </c>
      <c r="N36" t="b">
        <v>0</v>
      </c>
      <c r="O36">
        <v>0</v>
      </c>
      <c r="P36">
        <v>0</v>
      </c>
      <c r="Q36" s="1" t="b">
        <f t="shared" si="32"/>
        <v>1</v>
      </c>
      <c r="R36" t="b">
        <f t="shared" si="32"/>
        <v>1</v>
      </c>
      <c r="S36" t="b">
        <f t="shared" si="33"/>
        <v>1</v>
      </c>
      <c r="T36" t="b">
        <f t="shared" si="33"/>
        <v>1</v>
      </c>
    </row>
    <row r="37" spans="1:20" x14ac:dyDescent="0.15">
      <c r="D37" t="s">
        <v>575</v>
      </c>
      <c r="E37" s="1">
        <v>1</v>
      </c>
      <c r="F37">
        <v>10</v>
      </c>
      <c r="I37" s="1">
        <f t="shared" si="34"/>
        <v>2</v>
      </c>
      <c r="J37" t="b">
        <f t="shared" ref="J37:J39" si="37">TESTcheckNPntStrByRef1(E37,F37)</f>
        <v>0</v>
      </c>
      <c r="K37">
        <f t="shared" si="35"/>
        <v>0</v>
      </c>
      <c r="L37">
        <f t="shared" si="36"/>
        <v>0</v>
      </c>
      <c r="M37" s="1">
        <v>2</v>
      </c>
      <c r="N37" t="b">
        <v>0</v>
      </c>
      <c r="O37">
        <v>0</v>
      </c>
      <c r="P37">
        <v>0</v>
      </c>
      <c r="Q37" s="1" t="b">
        <f t="shared" si="32"/>
        <v>1</v>
      </c>
      <c r="R37" t="b">
        <f t="shared" si="32"/>
        <v>1</v>
      </c>
      <c r="S37" t="b">
        <f t="shared" si="33"/>
        <v>1</v>
      </c>
      <c r="T37" t="b">
        <f t="shared" si="33"/>
        <v>1</v>
      </c>
    </row>
    <row r="38" spans="1:20" x14ac:dyDescent="0.15">
      <c r="D38" t="s">
        <v>576</v>
      </c>
      <c r="E38" s="1">
        <v>1</v>
      </c>
      <c r="F38">
        <v>16</v>
      </c>
      <c r="I38" s="1">
        <f t="shared" si="34"/>
        <v>2</v>
      </c>
      <c r="J38" t="b">
        <f t="shared" si="37"/>
        <v>0</v>
      </c>
      <c r="K38">
        <f t="shared" si="35"/>
        <v>0</v>
      </c>
      <c r="L38">
        <f t="shared" si="36"/>
        <v>0</v>
      </c>
      <c r="M38" s="1">
        <v>2</v>
      </c>
      <c r="N38" t="b">
        <v>0</v>
      </c>
      <c r="O38">
        <v>0</v>
      </c>
      <c r="P38">
        <v>0</v>
      </c>
      <c r="Q38" s="1" t="b">
        <f t="shared" si="32"/>
        <v>1</v>
      </c>
      <c r="R38" t="b">
        <f t="shared" si="32"/>
        <v>1</v>
      </c>
      <c r="S38" t="b">
        <f t="shared" si="33"/>
        <v>1</v>
      </c>
      <c r="T38" t="b">
        <f t="shared" si="33"/>
        <v>1</v>
      </c>
    </row>
    <row r="39" spans="1:20" x14ac:dyDescent="0.15">
      <c r="D39" t="s">
        <v>577</v>
      </c>
      <c r="E39" s="1">
        <v>1</v>
      </c>
      <c r="F39">
        <v>17</v>
      </c>
      <c r="I39" s="1">
        <f t="shared" si="34"/>
        <v>0</v>
      </c>
      <c r="J39" t="b">
        <f t="shared" si="37"/>
        <v>0</v>
      </c>
      <c r="K39">
        <f t="shared" si="35"/>
        <v>0</v>
      </c>
      <c r="L39" t="e">
        <f t="shared" si="36"/>
        <v>#NUM!</v>
      </c>
      <c r="M39" s="1">
        <v>0</v>
      </c>
      <c r="N39" t="b">
        <v>0</v>
      </c>
      <c r="O39">
        <v>0</v>
      </c>
      <c r="P39" t="e">
        <v>#NUM!</v>
      </c>
      <c r="Q39" s="1" t="b">
        <f t="shared" si="32"/>
        <v>1</v>
      </c>
      <c r="R39" t="b">
        <f t="shared" si="32"/>
        <v>1</v>
      </c>
      <c r="S39" t="b">
        <f t="shared" si="33"/>
        <v>1</v>
      </c>
      <c r="T39" t="b">
        <f t="shared" si="33"/>
        <v>1</v>
      </c>
    </row>
    <row r="40" spans="1:20" x14ac:dyDescent="0.15">
      <c r="B40" s="2" t="s">
        <v>579</v>
      </c>
      <c r="C40" s="2"/>
      <c r="D40" s="2"/>
      <c r="E40" s="3"/>
      <c r="F40" s="2">
        <v>10</v>
      </c>
      <c r="G40" s="2"/>
      <c r="H40" s="2"/>
      <c r="I40" s="3">
        <f t="shared" ref="I40" si="38">TESTcheckNPntStr(E40,F40)</f>
        <v>0</v>
      </c>
      <c r="J40" s="2" t="b">
        <f t="shared" ref="J40" si="39">TESTcheckNPntStrByRef1(E40,F40)</f>
        <v>0</v>
      </c>
      <c r="K40" s="2">
        <f t="shared" ref="K40" si="40">TESTcheckNPntStrByRef2(E40,F40)</f>
        <v>0</v>
      </c>
      <c r="L40" s="2" t="e">
        <f t="shared" si="36"/>
        <v>#NULL!</v>
      </c>
      <c r="M40" s="3">
        <v>0</v>
      </c>
      <c r="N40" s="2" t="b">
        <v>0</v>
      </c>
      <c r="O40" s="2">
        <v>0</v>
      </c>
      <c r="P40" s="2" t="e">
        <v>#NULL!</v>
      </c>
      <c r="Q40" s="3" t="b">
        <f t="shared" ref="Q40" si="41">getText(I40)=getText(M40)</f>
        <v>1</v>
      </c>
      <c r="R40" s="2" t="b">
        <f t="shared" ref="R40" si="42">getText(J40)=getText(N40)</f>
        <v>1</v>
      </c>
      <c r="S40" s="2" t="b">
        <f t="shared" ref="S40:T40" si="43">getText(K40)=getText(O40)</f>
        <v>1</v>
      </c>
      <c r="T40" s="2" t="b">
        <f t="shared" si="43"/>
        <v>1</v>
      </c>
    </row>
    <row r="41" spans="1:20" x14ac:dyDescent="0.15">
      <c r="B41" s="2" t="s">
        <v>578</v>
      </c>
      <c r="C41" s="2" t="s">
        <v>583</v>
      </c>
      <c r="D41" s="2" t="s">
        <v>574</v>
      </c>
      <c r="E41" s="3">
        <v>0</v>
      </c>
      <c r="F41" s="2">
        <v>2</v>
      </c>
      <c r="G41" s="2"/>
      <c r="H41" s="2"/>
      <c r="I41" s="3">
        <f t="shared" ref="I41:I45" si="44">TESTcheckNPntStr(E41,F41)</f>
        <v>2</v>
      </c>
      <c r="J41" s="2" t="b">
        <f t="shared" ref="J41:J45" si="45">TESTcheckNPntStrByRef1(E41,F41)</f>
        <v>0</v>
      </c>
      <c r="K41" s="2">
        <f t="shared" ref="K41:K45" si="46">TESTcheckNPntStrByRef2(E41,F41)</f>
        <v>0</v>
      </c>
      <c r="L41" s="2">
        <f t="shared" si="36"/>
        <v>0</v>
      </c>
      <c r="M41" s="3">
        <v>2</v>
      </c>
      <c r="N41" s="2" t="b">
        <v>0</v>
      </c>
      <c r="O41" s="2">
        <v>0</v>
      </c>
      <c r="P41" s="2">
        <v>0</v>
      </c>
      <c r="Q41" s="3" t="b">
        <f t="shared" ref="Q41" si="47">getText(I41)=getText(M41)</f>
        <v>1</v>
      </c>
      <c r="R41" s="2" t="b">
        <f t="shared" ref="R41" si="48">getText(J41)=getText(N41)</f>
        <v>1</v>
      </c>
      <c r="S41" s="2" t="b">
        <f t="shared" ref="S41:T41" si="49">getText(K41)=getText(O41)</f>
        <v>1</v>
      </c>
      <c r="T41" s="2" t="b">
        <f t="shared" si="49"/>
        <v>1</v>
      </c>
    </row>
    <row r="42" spans="1:20" x14ac:dyDescent="0.15">
      <c r="B42" s="6"/>
      <c r="C42" s="6"/>
      <c r="D42" s="7" t="s">
        <v>581</v>
      </c>
      <c r="E42" s="1">
        <v>0</v>
      </c>
      <c r="F42" s="7">
        <v>9</v>
      </c>
      <c r="G42" s="6"/>
      <c r="H42" s="6"/>
      <c r="I42" s="1">
        <f t="shared" ref="I42" si="50">TESTcheckNPntStr(E42,F42)</f>
        <v>2</v>
      </c>
      <c r="J42" s="6" t="b">
        <f t="shared" ref="J42" si="51">TESTcheckNPntStrByRef1(E42,F42)</f>
        <v>0</v>
      </c>
      <c r="K42" s="6">
        <f t="shared" ref="K42" si="52">TESTcheckNPntStrByRef2(E42,F42)</f>
        <v>0</v>
      </c>
      <c r="L42" s="6">
        <f t="shared" ref="L42" si="53">TESTcheckNPntStrByRef3(E42,F42)</f>
        <v>0</v>
      </c>
      <c r="M42" s="1">
        <v>2</v>
      </c>
      <c r="N42" s="6" t="b">
        <v>0</v>
      </c>
      <c r="O42" s="6">
        <v>0</v>
      </c>
      <c r="P42" s="6">
        <v>0</v>
      </c>
      <c r="Q42" s="1" t="b">
        <f t="shared" ref="Q42:Q57" si="54">getText(I42)=getText(M42)</f>
        <v>1</v>
      </c>
      <c r="R42" s="6" t="b">
        <f t="shared" ref="R42:R57" si="55">getText(J42)=getText(N42)</f>
        <v>1</v>
      </c>
      <c r="S42" s="6" t="b">
        <f t="shared" ref="S42:S57" si="56">getText(K42)=getText(O42)</f>
        <v>1</v>
      </c>
      <c r="T42" s="6" t="b">
        <f t="shared" ref="T42:T57" si="57">getText(L42)=getText(P42)</f>
        <v>1</v>
      </c>
    </row>
    <row r="43" spans="1:20" x14ac:dyDescent="0.15">
      <c r="D43" t="s">
        <v>575</v>
      </c>
      <c r="E43" s="1">
        <v>0</v>
      </c>
      <c r="F43" s="7">
        <v>10</v>
      </c>
      <c r="I43" s="1">
        <f t="shared" si="44"/>
        <v>2</v>
      </c>
      <c r="J43" t="b">
        <f t="shared" si="45"/>
        <v>0</v>
      </c>
      <c r="K43">
        <f t="shared" si="46"/>
        <v>0</v>
      </c>
      <c r="L43">
        <f t="shared" si="36"/>
        <v>0</v>
      </c>
      <c r="M43" s="1">
        <v>2</v>
      </c>
      <c r="N43" t="b">
        <v>0</v>
      </c>
      <c r="O43">
        <v>0</v>
      </c>
      <c r="P43">
        <v>0</v>
      </c>
      <c r="Q43" s="1" t="b">
        <f t="shared" si="54"/>
        <v>1</v>
      </c>
      <c r="R43" t="b">
        <f t="shared" si="55"/>
        <v>1</v>
      </c>
      <c r="S43" t="b">
        <f t="shared" si="56"/>
        <v>1</v>
      </c>
      <c r="T43" t="b">
        <f t="shared" si="57"/>
        <v>1</v>
      </c>
    </row>
    <row r="44" spans="1:20" x14ac:dyDescent="0.15">
      <c r="D44" t="s">
        <v>582</v>
      </c>
      <c r="E44" s="1">
        <v>0</v>
      </c>
      <c r="F44" s="7">
        <v>11</v>
      </c>
      <c r="I44" s="1">
        <f t="shared" si="44"/>
        <v>2</v>
      </c>
      <c r="J44" t="b">
        <f t="shared" si="45"/>
        <v>0</v>
      </c>
      <c r="K44">
        <f t="shared" si="46"/>
        <v>0</v>
      </c>
      <c r="L44">
        <f t="shared" si="36"/>
        <v>0</v>
      </c>
      <c r="M44" s="1">
        <v>2</v>
      </c>
      <c r="N44" t="b">
        <v>0</v>
      </c>
      <c r="O44">
        <v>0</v>
      </c>
      <c r="P44">
        <v>0</v>
      </c>
      <c r="Q44" s="1" t="b">
        <f t="shared" si="54"/>
        <v>1</v>
      </c>
      <c r="R44" t="b">
        <f t="shared" si="55"/>
        <v>1</v>
      </c>
      <c r="S44" t="b">
        <f t="shared" si="56"/>
        <v>1</v>
      </c>
      <c r="T44" t="b">
        <f t="shared" si="57"/>
        <v>1</v>
      </c>
    </row>
    <row r="45" spans="1:20" x14ac:dyDescent="0.15">
      <c r="D45" t="s">
        <v>576</v>
      </c>
      <c r="E45" s="1">
        <v>0</v>
      </c>
      <c r="F45" s="7">
        <v>16</v>
      </c>
      <c r="I45" s="1">
        <f t="shared" si="44"/>
        <v>2</v>
      </c>
      <c r="J45" t="b">
        <f t="shared" si="45"/>
        <v>0</v>
      </c>
      <c r="K45">
        <f t="shared" si="46"/>
        <v>0</v>
      </c>
      <c r="L45">
        <f t="shared" si="36"/>
        <v>0</v>
      </c>
      <c r="M45" s="1">
        <v>2</v>
      </c>
      <c r="N45" t="b">
        <v>0</v>
      </c>
      <c r="O45">
        <v>0</v>
      </c>
      <c r="P45">
        <v>0</v>
      </c>
      <c r="Q45" s="1" t="b">
        <f t="shared" si="54"/>
        <v>1</v>
      </c>
      <c r="R45" t="b">
        <f t="shared" si="55"/>
        <v>1</v>
      </c>
      <c r="S45" t="b">
        <f t="shared" si="56"/>
        <v>1</v>
      </c>
      <c r="T45" t="b">
        <f t="shared" si="57"/>
        <v>1</v>
      </c>
    </row>
    <row r="46" spans="1:20" x14ac:dyDescent="0.15">
      <c r="C46" s="2" t="s">
        <v>584</v>
      </c>
      <c r="D46" s="2" t="s">
        <v>574</v>
      </c>
      <c r="E46" s="11">
        <v>1</v>
      </c>
      <c r="F46" s="2">
        <v>2</v>
      </c>
      <c r="G46" s="2"/>
      <c r="H46" s="2"/>
      <c r="I46" s="3">
        <f t="shared" ref="I46:I55" si="58">TESTcheckNPntStr(E46,F46)</f>
        <v>2</v>
      </c>
      <c r="J46" s="2" t="b">
        <f t="shared" ref="J46:J55" si="59">TESTcheckNPntStrByRef1(E46,F46)</f>
        <v>0</v>
      </c>
      <c r="K46" s="2">
        <f t="shared" ref="K46:K55" si="60">TESTcheckNPntStrByRef2(E46,F46)</f>
        <v>0</v>
      </c>
      <c r="L46" s="2">
        <f t="shared" si="36"/>
        <v>0</v>
      </c>
      <c r="M46" s="3">
        <v>2</v>
      </c>
      <c r="N46" s="2" t="b">
        <v>0</v>
      </c>
      <c r="O46" s="2">
        <v>0</v>
      </c>
      <c r="P46" s="2">
        <v>0</v>
      </c>
      <c r="Q46" s="3" t="b">
        <f t="shared" si="54"/>
        <v>1</v>
      </c>
      <c r="R46" s="2" t="b">
        <f t="shared" si="55"/>
        <v>1</v>
      </c>
      <c r="S46" s="2" t="b">
        <f t="shared" si="56"/>
        <v>1</v>
      </c>
      <c r="T46" s="2" t="b">
        <f t="shared" si="57"/>
        <v>1</v>
      </c>
    </row>
    <row r="47" spans="1:20" x14ac:dyDescent="0.15">
      <c r="C47" s="6"/>
      <c r="D47" s="7" t="s">
        <v>581</v>
      </c>
      <c r="E47" s="9" t="s">
        <v>605</v>
      </c>
      <c r="F47" s="7">
        <v>9</v>
      </c>
      <c r="G47" s="6"/>
      <c r="H47" s="6"/>
      <c r="I47" s="1">
        <f t="shared" ref="I47" si="61">TESTcheckNPntStr(E47,F47)</f>
        <v>2</v>
      </c>
      <c r="J47" s="6" t="b">
        <f t="shared" ref="J47" si="62">TESTcheckNPntStrByRef1(E47,F47)</f>
        <v>0</v>
      </c>
      <c r="K47" s="6">
        <f t="shared" ref="K47" si="63">TESTcheckNPntStrByRef2(E47,F47)</f>
        <v>0</v>
      </c>
      <c r="L47" s="6">
        <f t="shared" ref="L47" si="64">TESTcheckNPntStrByRef3(E47,F47)</f>
        <v>0</v>
      </c>
      <c r="M47" s="1">
        <v>2</v>
      </c>
      <c r="N47" s="6" t="b">
        <v>0</v>
      </c>
      <c r="O47" s="6">
        <v>0</v>
      </c>
      <c r="P47" s="6">
        <v>0</v>
      </c>
      <c r="Q47" s="1" t="b">
        <f t="shared" si="54"/>
        <v>1</v>
      </c>
      <c r="R47" s="6" t="b">
        <f t="shared" si="55"/>
        <v>1</v>
      </c>
      <c r="S47" s="6" t="b">
        <f t="shared" si="56"/>
        <v>1</v>
      </c>
      <c r="T47" s="6" t="b">
        <f t="shared" si="57"/>
        <v>1</v>
      </c>
    </row>
    <row r="48" spans="1:20" x14ac:dyDescent="0.15">
      <c r="D48" t="s">
        <v>575</v>
      </c>
      <c r="E48" s="9">
        <v>9</v>
      </c>
      <c r="F48" s="7">
        <v>10</v>
      </c>
      <c r="I48" s="1">
        <f t="shared" si="58"/>
        <v>2</v>
      </c>
      <c r="J48" t="b">
        <f t="shared" si="59"/>
        <v>0</v>
      </c>
      <c r="K48">
        <f t="shared" si="60"/>
        <v>0</v>
      </c>
      <c r="L48">
        <f t="shared" si="36"/>
        <v>0</v>
      </c>
      <c r="M48" s="1">
        <v>2</v>
      </c>
      <c r="N48" t="b">
        <v>0</v>
      </c>
      <c r="O48">
        <v>0</v>
      </c>
      <c r="P48">
        <v>0</v>
      </c>
      <c r="Q48" s="1" t="b">
        <f t="shared" si="54"/>
        <v>1</v>
      </c>
      <c r="R48" t="b">
        <f t="shared" si="55"/>
        <v>1</v>
      </c>
      <c r="S48" t="b">
        <f t="shared" si="56"/>
        <v>1</v>
      </c>
      <c r="T48" t="b">
        <f t="shared" si="57"/>
        <v>1</v>
      </c>
    </row>
    <row r="49" spans="2:20" x14ac:dyDescent="0.15">
      <c r="D49" t="s">
        <v>582</v>
      </c>
      <c r="E49" s="9" t="s">
        <v>585</v>
      </c>
      <c r="F49" s="7">
        <v>11</v>
      </c>
      <c r="I49" s="1">
        <f t="shared" si="58"/>
        <v>2</v>
      </c>
      <c r="J49" t="b">
        <f t="shared" si="59"/>
        <v>0</v>
      </c>
      <c r="K49">
        <f t="shared" si="60"/>
        <v>0</v>
      </c>
      <c r="L49">
        <f t="shared" si="36"/>
        <v>0</v>
      </c>
      <c r="M49" s="1">
        <v>2</v>
      </c>
      <c r="N49" t="b">
        <v>0</v>
      </c>
      <c r="O49">
        <v>0</v>
      </c>
      <c r="P49">
        <v>0</v>
      </c>
      <c r="Q49" s="1" t="b">
        <f t="shared" si="54"/>
        <v>1</v>
      </c>
      <c r="R49" t="b">
        <f t="shared" si="55"/>
        <v>1</v>
      </c>
      <c r="S49" t="b">
        <f t="shared" si="56"/>
        <v>1</v>
      </c>
      <c r="T49" t="b">
        <f t="shared" si="57"/>
        <v>1</v>
      </c>
    </row>
    <row r="50" spans="2:20" x14ac:dyDescent="0.15">
      <c r="D50" t="s">
        <v>576</v>
      </c>
      <c r="E50" s="9" t="s">
        <v>586</v>
      </c>
      <c r="F50" s="7">
        <v>16</v>
      </c>
      <c r="I50" s="1">
        <f t="shared" si="58"/>
        <v>2</v>
      </c>
      <c r="J50" t="b">
        <f t="shared" si="59"/>
        <v>0</v>
      </c>
      <c r="K50">
        <f t="shared" si="60"/>
        <v>0</v>
      </c>
      <c r="L50">
        <f t="shared" si="36"/>
        <v>0</v>
      </c>
      <c r="M50" s="1">
        <v>2</v>
      </c>
      <c r="N50" t="b">
        <v>0</v>
      </c>
      <c r="O50">
        <v>0</v>
      </c>
      <c r="P50">
        <v>0</v>
      </c>
      <c r="Q50" s="1" t="b">
        <f t="shared" si="54"/>
        <v>1</v>
      </c>
      <c r="R50" t="b">
        <f t="shared" si="55"/>
        <v>1</v>
      </c>
      <c r="S50" t="b">
        <f t="shared" si="56"/>
        <v>1</v>
      </c>
      <c r="T50" t="b">
        <f t="shared" si="57"/>
        <v>1</v>
      </c>
    </row>
    <row r="51" spans="2:20" x14ac:dyDescent="0.15">
      <c r="C51" s="2" t="s">
        <v>601</v>
      </c>
      <c r="D51" s="2" t="s">
        <v>574</v>
      </c>
      <c r="E51" s="11">
        <v>2</v>
      </c>
      <c r="F51" s="2">
        <v>2</v>
      </c>
      <c r="G51" s="2"/>
      <c r="H51" s="2"/>
      <c r="I51" s="3">
        <f t="shared" si="58"/>
        <v>1</v>
      </c>
      <c r="J51" s="2" t="b">
        <f t="shared" si="59"/>
        <v>0</v>
      </c>
      <c r="K51" s="2">
        <f t="shared" si="60"/>
        <v>0</v>
      </c>
      <c r="L51" s="2" t="e">
        <f t="shared" ref="L51:L55" si="65">TESTcheckNPntStrByRef3(E51,F51)</f>
        <v>#NUM!</v>
      </c>
      <c r="M51" s="3">
        <v>1</v>
      </c>
      <c r="N51" s="2" t="b">
        <v>0</v>
      </c>
      <c r="O51" s="2">
        <v>0</v>
      </c>
      <c r="P51" s="2" t="e">
        <v>#NUM!</v>
      </c>
      <c r="Q51" s="3" t="b">
        <f t="shared" si="54"/>
        <v>1</v>
      </c>
      <c r="R51" s="2" t="b">
        <f t="shared" si="55"/>
        <v>1</v>
      </c>
      <c r="S51" s="2" t="b">
        <f t="shared" si="56"/>
        <v>1</v>
      </c>
      <c r="T51" s="2" t="b">
        <f t="shared" si="57"/>
        <v>1</v>
      </c>
    </row>
    <row r="52" spans="2:20" x14ac:dyDescent="0.15">
      <c r="C52" s="6"/>
      <c r="D52" s="7" t="s">
        <v>581</v>
      </c>
      <c r="E52" s="9" t="s">
        <v>606</v>
      </c>
      <c r="F52" s="7">
        <v>9</v>
      </c>
      <c r="G52" s="6"/>
      <c r="H52" s="6"/>
      <c r="I52" s="1">
        <f t="shared" ref="I52" si="66">TESTcheckNPntStr(E52,F52)</f>
        <v>1</v>
      </c>
      <c r="J52" s="6" t="b">
        <f t="shared" ref="J52" si="67">TESTcheckNPntStrByRef1(E52,F52)</f>
        <v>0</v>
      </c>
      <c r="K52" s="6">
        <f t="shared" ref="K52" si="68">TESTcheckNPntStrByRef2(E52,F52)</f>
        <v>0</v>
      </c>
      <c r="L52" s="6" t="e">
        <f t="shared" ref="L52" si="69">TESTcheckNPntStrByRef3(E52,F52)</f>
        <v>#NUM!</v>
      </c>
      <c r="M52" s="1">
        <v>1</v>
      </c>
      <c r="N52" s="6" t="b">
        <v>0</v>
      </c>
      <c r="O52" s="6">
        <v>0</v>
      </c>
      <c r="P52" s="6" t="e">
        <v>#NUM!</v>
      </c>
      <c r="Q52" s="1" t="b">
        <f t="shared" si="54"/>
        <v>1</v>
      </c>
      <c r="R52" s="6" t="b">
        <f t="shared" si="55"/>
        <v>1</v>
      </c>
      <c r="S52" s="6" t="b">
        <f t="shared" si="56"/>
        <v>1</v>
      </c>
      <c r="T52" s="6" t="b">
        <f t="shared" si="57"/>
        <v>1</v>
      </c>
    </row>
    <row r="53" spans="2:20" x14ac:dyDescent="0.15">
      <c r="D53" t="s">
        <v>575</v>
      </c>
      <c r="E53" s="9" t="s">
        <v>602</v>
      </c>
      <c r="F53" s="7">
        <v>10</v>
      </c>
      <c r="I53" s="1">
        <f t="shared" si="58"/>
        <v>1</v>
      </c>
      <c r="J53" t="b">
        <f t="shared" si="59"/>
        <v>0</v>
      </c>
      <c r="K53">
        <f t="shared" si="60"/>
        <v>0</v>
      </c>
      <c r="L53" t="e">
        <f t="shared" si="65"/>
        <v>#NUM!</v>
      </c>
      <c r="M53" s="1">
        <v>1</v>
      </c>
      <c r="N53" t="b">
        <v>0</v>
      </c>
      <c r="O53">
        <v>0</v>
      </c>
      <c r="P53" t="e">
        <v>#NUM!</v>
      </c>
      <c r="Q53" s="1" t="b">
        <f t="shared" si="54"/>
        <v>1</v>
      </c>
      <c r="R53" t="b">
        <f t="shared" si="55"/>
        <v>1</v>
      </c>
      <c r="S53" t="b">
        <f t="shared" si="56"/>
        <v>1</v>
      </c>
      <c r="T53" t="b">
        <f t="shared" si="57"/>
        <v>1</v>
      </c>
    </row>
    <row r="54" spans="2:20" x14ac:dyDescent="0.15">
      <c r="D54" t="s">
        <v>582</v>
      </c>
      <c r="E54" s="9" t="s">
        <v>603</v>
      </c>
      <c r="F54" s="7">
        <v>11</v>
      </c>
      <c r="I54" s="1">
        <f t="shared" si="58"/>
        <v>1</v>
      </c>
      <c r="J54" t="b">
        <f t="shared" si="59"/>
        <v>0</v>
      </c>
      <c r="K54">
        <f t="shared" si="60"/>
        <v>0</v>
      </c>
      <c r="L54" t="e">
        <f t="shared" si="65"/>
        <v>#NUM!</v>
      </c>
      <c r="M54" s="1">
        <v>1</v>
      </c>
      <c r="N54" t="b">
        <v>0</v>
      </c>
      <c r="O54">
        <v>0</v>
      </c>
      <c r="P54" t="e">
        <v>#NUM!</v>
      </c>
      <c r="Q54" s="1" t="b">
        <f t="shared" si="54"/>
        <v>1</v>
      </c>
      <c r="R54" t="b">
        <f t="shared" si="55"/>
        <v>1</v>
      </c>
      <c r="S54" t="b">
        <f t="shared" si="56"/>
        <v>1</v>
      </c>
      <c r="T54" t="b">
        <f t="shared" si="57"/>
        <v>1</v>
      </c>
    </row>
    <row r="55" spans="2:20" x14ac:dyDescent="0.15">
      <c r="D55" t="s">
        <v>576</v>
      </c>
      <c r="E55" s="9" t="s">
        <v>604</v>
      </c>
      <c r="F55" s="7">
        <v>16</v>
      </c>
      <c r="I55" s="1">
        <f t="shared" si="58"/>
        <v>1</v>
      </c>
      <c r="J55" t="b">
        <f t="shared" si="59"/>
        <v>0</v>
      </c>
      <c r="K55">
        <f t="shared" si="60"/>
        <v>0</v>
      </c>
      <c r="L55" t="e">
        <f t="shared" si="65"/>
        <v>#NUM!</v>
      </c>
      <c r="M55" s="1">
        <v>1</v>
      </c>
      <c r="N55" t="b">
        <v>0</v>
      </c>
      <c r="O55">
        <v>0</v>
      </c>
      <c r="P55" t="e">
        <v>#NUM!</v>
      </c>
      <c r="Q55" s="1" t="b">
        <f t="shared" si="54"/>
        <v>1</v>
      </c>
      <c r="R55" t="b">
        <f t="shared" si="55"/>
        <v>1</v>
      </c>
      <c r="S55" t="b">
        <f t="shared" si="56"/>
        <v>1</v>
      </c>
      <c r="T55" t="b">
        <f t="shared" si="57"/>
        <v>1</v>
      </c>
    </row>
    <row r="56" spans="2:20" x14ac:dyDescent="0.15">
      <c r="B56" s="2" t="s">
        <v>607</v>
      </c>
      <c r="C56" s="2" t="s">
        <v>608</v>
      </c>
      <c r="D56" s="2" t="s">
        <v>574</v>
      </c>
      <c r="E56" s="11" t="s">
        <v>611</v>
      </c>
      <c r="F56" s="2">
        <v>2</v>
      </c>
      <c r="G56" s="2"/>
      <c r="H56" s="2"/>
      <c r="I56" s="3">
        <f t="shared" ref="I56:I60" si="70">TESTcheckNPntStr(E56,F56)</f>
        <v>2</v>
      </c>
      <c r="J56" s="2" t="b">
        <f t="shared" ref="J56:J60" si="71">TESTcheckNPntStrByRef1(E56,F56)</f>
        <v>0</v>
      </c>
      <c r="K56" s="2">
        <f t="shared" ref="K56:K60" si="72">TESTcheckNPntStrByRef2(E56,F56)</f>
        <v>0</v>
      </c>
      <c r="L56" s="2" t="e">
        <f t="shared" ref="L56:L60" si="73">TESTcheckNPntStrByRef3(E56,F56)</f>
        <v>#NUM!</v>
      </c>
      <c r="M56" s="3">
        <v>2</v>
      </c>
      <c r="N56" s="2" t="b">
        <v>0</v>
      </c>
      <c r="O56" s="2">
        <v>0</v>
      </c>
      <c r="P56" s="2" t="e">
        <v>#NUM!</v>
      </c>
      <c r="Q56" s="3" t="b">
        <f t="shared" si="54"/>
        <v>1</v>
      </c>
      <c r="R56" s="2" t="b">
        <f t="shared" si="55"/>
        <v>1</v>
      </c>
      <c r="S56" s="2" t="b">
        <f t="shared" si="56"/>
        <v>1</v>
      </c>
      <c r="T56" s="2" t="b">
        <f t="shared" si="57"/>
        <v>1</v>
      </c>
    </row>
    <row r="57" spans="2:20" x14ac:dyDescent="0.15">
      <c r="D57" s="7" t="s">
        <v>581</v>
      </c>
      <c r="E57" s="9" t="s">
        <v>612</v>
      </c>
      <c r="F57" s="7">
        <v>9</v>
      </c>
      <c r="I57" s="1">
        <f t="shared" si="70"/>
        <v>2</v>
      </c>
      <c r="J57" t="b">
        <f t="shared" si="71"/>
        <v>0</v>
      </c>
      <c r="K57">
        <f t="shared" si="72"/>
        <v>0</v>
      </c>
      <c r="L57" t="e">
        <f t="shared" si="73"/>
        <v>#NUM!</v>
      </c>
      <c r="M57" s="1">
        <v>2</v>
      </c>
      <c r="N57" t="b">
        <v>0</v>
      </c>
      <c r="O57">
        <v>0</v>
      </c>
      <c r="P57" t="e">
        <v>#NUM!</v>
      </c>
      <c r="Q57" s="1" t="b">
        <f t="shared" si="54"/>
        <v>1</v>
      </c>
      <c r="R57" t="b">
        <f t="shared" si="55"/>
        <v>1</v>
      </c>
      <c r="S57" t="b">
        <f t="shared" si="56"/>
        <v>1</v>
      </c>
      <c r="T57" t="b">
        <f t="shared" si="57"/>
        <v>1</v>
      </c>
    </row>
    <row r="58" spans="2:20" x14ac:dyDescent="0.15">
      <c r="D58" t="s">
        <v>575</v>
      </c>
      <c r="E58" s="9" t="s">
        <v>613</v>
      </c>
      <c r="F58" s="7">
        <v>10</v>
      </c>
      <c r="I58" s="1">
        <f t="shared" si="70"/>
        <v>2</v>
      </c>
      <c r="J58" t="b">
        <f t="shared" si="71"/>
        <v>0</v>
      </c>
      <c r="K58">
        <f t="shared" si="72"/>
        <v>0</v>
      </c>
      <c r="L58" t="e">
        <f t="shared" si="73"/>
        <v>#NUM!</v>
      </c>
      <c r="M58" s="1">
        <v>2</v>
      </c>
      <c r="N58" t="b">
        <v>0</v>
      </c>
      <c r="O58">
        <v>0</v>
      </c>
      <c r="P58" t="e">
        <v>#NUM!</v>
      </c>
      <c r="Q58" s="1" t="b">
        <f t="shared" ref="Q58:Q66" si="74">getText(I58)=getText(M58)</f>
        <v>1</v>
      </c>
      <c r="R58" t="b">
        <f t="shared" ref="R58:R66" si="75">getText(J58)=getText(N58)</f>
        <v>1</v>
      </c>
      <c r="S58" t="b">
        <f t="shared" ref="S58:S66" si="76">getText(K58)=getText(O58)</f>
        <v>1</v>
      </c>
      <c r="T58" t="b">
        <f t="shared" ref="T58:T66" si="77">getText(L58)=getText(P58)</f>
        <v>1</v>
      </c>
    </row>
    <row r="59" spans="2:20" x14ac:dyDescent="0.15">
      <c r="D59" t="s">
        <v>582</v>
      </c>
      <c r="E59" s="9" t="s">
        <v>614</v>
      </c>
      <c r="F59" s="7">
        <v>11</v>
      </c>
      <c r="I59" s="1">
        <f t="shared" si="70"/>
        <v>2</v>
      </c>
      <c r="J59" t="b">
        <f t="shared" si="71"/>
        <v>0</v>
      </c>
      <c r="K59">
        <f t="shared" si="72"/>
        <v>0</v>
      </c>
      <c r="L59" t="e">
        <f t="shared" si="73"/>
        <v>#NUM!</v>
      </c>
      <c r="M59" s="1">
        <v>2</v>
      </c>
      <c r="N59" t="b">
        <v>0</v>
      </c>
      <c r="O59">
        <v>0</v>
      </c>
      <c r="P59" t="e">
        <v>#NUM!</v>
      </c>
      <c r="Q59" s="1" t="b">
        <f t="shared" si="74"/>
        <v>1</v>
      </c>
      <c r="R59" t="b">
        <f t="shared" si="75"/>
        <v>1</v>
      </c>
      <c r="S59" t="b">
        <f t="shared" si="76"/>
        <v>1</v>
      </c>
      <c r="T59" t="b">
        <f t="shared" si="77"/>
        <v>1</v>
      </c>
    </row>
    <row r="60" spans="2:20" x14ac:dyDescent="0.15">
      <c r="D60" t="s">
        <v>576</v>
      </c>
      <c r="E60" s="9" t="s">
        <v>615</v>
      </c>
      <c r="F60" s="7">
        <v>16</v>
      </c>
      <c r="I60" s="1">
        <f t="shared" si="70"/>
        <v>2</v>
      </c>
      <c r="J60" t="b">
        <f t="shared" si="71"/>
        <v>0</v>
      </c>
      <c r="K60">
        <f t="shared" si="72"/>
        <v>0</v>
      </c>
      <c r="L60" t="e">
        <f t="shared" si="73"/>
        <v>#NUM!</v>
      </c>
      <c r="M60" s="1">
        <v>2</v>
      </c>
      <c r="N60" t="b">
        <v>0</v>
      </c>
      <c r="O60">
        <v>0</v>
      </c>
      <c r="P60" t="e">
        <v>#NUM!</v>
      </c>
      <c r="Q60" s="1" t="b">
        <f t="shared" si="74"/>
        <v>1</v>
      </c>
      <c r="R60" t="b">
        <f t="shared" si="75"/>
        <v>1</v>
      </c>
      <c r="S60" t="b">
        <f t="shared" si="76"/>
        <v>1</v>
      </c>
      <c r="T60" t="b">
        <f t="shared" si="77"/>
        <v>1</v>
      </c>
    </row>
    <row r="61" spans="2:20" x14ac:dyDescent="0.15">
      <c r="C61" s="2" t="s">
        <v>609</v>
      </c>
      <c r="D61" s="2" t="s">
        <v>574</v>
      </c>
      <c r="E61" s="11" t="s">
        <v>616</v>
      </c>
      <c r="F61" s="2">
        <v>2</v>
      </c>
      <c r="G61" s="2"/>
      <c r="H61" s="2"/>
      <c r="I61" s="3">
        <f t="shared" ref="I61:I68" si="78">TESTcheckNPntStr(E61,F61)</f>
        <v>3</v>
      </c>
      <c r="J61" s="2" t="b">
        <f t="shared" ref="J61:J68" si="79">TESTcheckNPntStrByRef1(E61,F61)</f>
        <v>0</v>
      </c>
      <c r="K61" s="2">
        <f t="shared" ref="K61:K68" si="80">TESTcheckNPntStrByRef2(E61,F61)</f>
        <v>0</v>
      </c>
      <c r="L61" s="2" t="e">
        <f t="shared" ref="L61:L68" si="81">TESTcheckNPntStrByRef3(E61,F61)</f>
        <v>#NUM!</v>
      </c>
      <c r="M61" s="3">
        <v>3</v>
      </c>
      <c r="N61" s="2" t="b">
        <v>0</v>
      </c>
      <c r="O61" s="2">
        <v>0</v>
      </c>
      <c r="P61" s="2" t="e">
        <v>#NUM!</v>
      </c>
      <c r="Q61" s="3" t="b">
        <f t="shared" si="74"/>
        <v>1</v>
      </c>
      <c r="R61" s="2" t="b">
        <f t="shared" si="75"/>
        <v>1</v>
      </c>
      <c r="S61" s="2" t="b">
        <f t="shared" si="76"/>
        <v>1</v>
      </c>
      <c r="T61" s="2" t="b">
        <f t="shared" si="77"/>
        <v>1</v>
      </c>
    </row>
    <row r="62" spans="2:20" x14ac:dyDescent="0.15">
      <c r="D62" s="7" t="s">
        <v>581</v>
      </c>
      <c r="E62" s="9" t="s">
        <v>617</v>
      </c>
      <c r="F62" s="7">
        <v>9</v>
      </c>
      <c r="I62" s="1">
        <f t="shared" si="78"/>
        <v>3</v>
      </c>
      <c r="J62" t="b">
        <f t="shared" si="79"/>
        <v>0</v>
      </c>
      <c r="K62">
        <f t="shared" si="80"/>
        <v>0</v>
      </c>
      <c r="L62" t="e">
        <f t="shared" si="81"/>
        <v>#NUM!</v>
      </c>
      <c r="M62" s="1">
        <v>3</v>
      </c>
      <c r="N62" t="b">
        <v>0</v>
      </c>
      <c r="O62">
        <v>0</v>
      </c>
      <c r="P62" t="e">
        <v>#NUM!</v>
      </c>
      <c r="Q62" s="1" t="b">
        <f t="shared" si="74"/>
        <v>1</v>
      </c>
      <c r="R62" t="b">
        <f t="shared" si="75"/>
        <v>1</v>
      </c>
      <c r="S62" t="b">
        <f t="shared" si="76"/>
        <v>1</v>
      </c>
      <c r="T62" t="b">
        <f t="shared" si="77"/>
        <v>1</v>
      </c>
    </row>
    <row r="63" spans="2:20" x14ac:dyDescent="0.15">
      <c r="D63" t="s">
        <v>575</v>
      </c>
      <c r="E63" s="9" t="s">
        <v>618</v>
      </c>
      <c r="F63" s="7">
        <v>10</v>
      </c>
      <c r="I63" s="1">
        <f t="shared" si="78"/>
        <v>3</v>
      </c>
      <c r="J63" t="b">
        <f t="shared" si="79"/>
        <v>0</v>
      </c>
      <c r="K63">
        <f t="shared" si="80"/>
        <v>0</v>
      </c>
      <c r="L63" t="e">
        <f t="shared" si="81"/>
        <v>#NUM!</v>
      </c>
      <c r="M63" s="1">
        <v>3</v>
      </c>
      <c r="N63" t="b">
        <v>0</v>
      </c>
      <c r="O63">
        <v>0</v>
      </c>
      <c r="P63" t="e">
        <v>#NUM!</v>
      </c>
      <c r="Q63" s="1" t="b">
        <f t="shared" si="74"/>
        <v>1</v>
      </c>
      <c r="R63" t="b">
        <f t="shared" si="75"/>
        <v>1</v>
      </c>
      <c r="S63" t="b">
        <f t="shared" si="76"/>
        <v>1</v>
      </c>
      <c r="T63" t="b">
        <f t="shared" si="77"/>
        <v>1</v>
      </c>
    </row>
    <row r="64" spans="2:20" x14ac:dyDescent="0.15">
      <c r="D64" t="s">
        <v>582</v>
      </c>
      <c r="E64" s="9" t="s">
        <v>619</v>
      </c>
      <c r="F64" s="7">
        <v>11</v>
      </c>
      <c r="I64" s="1">
        <f t="shared" si="78"/>
        <v>3</v>
      </c>
      <c r="J64" t="b">
        <f t="shared" si="79"/>
        <v>0</v>
      </c>
      <c r="K64">
        <f t="shared" si="80"/>
        <v>0</v>
      </c>
      <c r="L64" t="e">
        <f t="shared" si="81"/>
        <v>#NUM!</v>
      </c>
      <c r="M64" s="1">
        <v>3</v>
      </c>
      <c r="N64" t="b">
        <v>0</v>
      </c>
      <c r="O64">
        <v>0</v>
      </c>
      <c r="P64" t="e">
        <v>#NUM!</v>
      </c>
      <c r="Q64" s="1" t="b">
        <f t="shared" si="74"/>
        <v>1</v>
      </c>
      <c r="R64" t="b">
        <f t="shared" si="75"/>
        <v>1</v>
      </c>
      <c r="S64" t="b">
        <f t="shared" si="76"/>
        <v>1</v>
      </c>
      <c r="T64" t="b">
        <f t="shared" si="77"/>
        <v>1</v>
      </c>
    </row>
    <row r="65" spans="2:20" x14ac:dyDescent="0.15">
      <c r="D65" t="s">
        <v>576</v>
      </c>
      <c r="E65" s="9" t="s">
        <v>620</v>
      </c>
      <c r="F65" s="7">
        <v>16</v>
      </c>
      <c r="I65" s="1">
        <f t="shared" si="78"/>
        <v>3</v>
      </c>
      <c r="J65" t="b">
        <f t="shared" si="79"/>
        <v>0</v>
      </c>
      <c r="K65">
        <f t="shared" si="80"/>
        <v>0</v>
      </c>
      <c r="L65" t="e">
        <f t="shared" si="81"/>
        <v>#NUM!</v>
      </c>
      <c r="M65" s="1">
        <v>3</v>
      </c>
      <c r="N65" t="b">
        <v>0</v>
      </c>
      <c r="O65">
        <v>0</v>
      </c>
      <c r="P65" t="e">
        <v>#NUM!</v>
      </c>
      <c r="Q65" s="1" t="b">
        <f t="shared" si="74"/>
        <v>1</v>
      </c>
      <c r="R65" t="b">
        <f t="shared" si="75"/>
        <v>1</v>
      </c>
      <c r="S65" t="b">
        <f t="shared" si="76"/>
        <v>1</v>
      </c>
      <c r="T65" t="b">
        <f t="shared" si="77"/>
        <v>1</v>
      </c>
    </row>
    <row r="66" spans="2:20" x14ac:dyDescent="0.15">
      <c r="C66" s="2" t="s">
        <v>610</v>
      </c>
      <c r="D66" s="2" t="s">
        <v>574</v>
      </c>
      <c r="E66" s="11" t="s">
        <v>621</v>
      </c>
      <c r="F66" s="2">
        <v>2</v>
      </c>
      <c r="G66" s="2"/>
      <c r="H66" s="2"/>
      <c r="I66" s="3">
        <f t="shared" si="78"/>
        <v>5</v>
      </c>
      <c r="J66" s="2" t="b">
        <f t="shared" si="79"/>
        <v>0</v>
      </c>
      <c r="K66" s="2">
        <f t="shared" si="80"/>
        <v>0</v>
      </c>
      <c r="L66" s="2" t="e">
        <f t="shared" si="81"/>
        <v>#NUM!</v>
      </c>
      <c r="M66" s="3">
        <v>5</v>
      </c>
      <c r="N66" s="2" t="b">
        <v>0</v>
      </c>
      <c r="O66" s="2">
        <v>0</v>
      </c>
      <c r="P66" s="2" t="e">
        <v>#NUM!</v>
      </c>
      <c r="Q66" s="3" t="b">
        <f t="shared" si="74"/>
        <v>1</v>
      </c>
      <c r="R66" s="2" t="b">
        <f t="shared" si="75"/>
        <v>1</v>
      </c>
      <c r="S66" s="2" t="b">
        <f t="shared" si="76"/>
        <v>1</v>
      </c>
      <c r="T66" s="2" t="b">
        <f t="shared" si="77"/>
        <v>1</v>
      </c>
    </row>
    <row r="67" spans="2:20" x14ac:dyDescent="0.15">
      <c r="D67" s="7" t="s">
        <v>581</v>
      </c>
      <c r="E67" s="9" t="s">
        <v>622</v>
      </c>
      <c r="F67" s="7">
        <v>9</v>
      </c>
      <c r="I67" s="1">
        <f t="shared" si="78"/>
        <v>5</v>
      </c>
      <c r="J67" t="b">
        <f t="shared" si="79"/>
        <v>0</v>
      </c>
      <c r="K67">
        <f t="shared" si="80"/>
        <v>0</v>
      </c>
      <c r="L67" t="e">
        <f t="shared" si="81"/>
        <v>#NUM!</v>
      </c>
      <c r="M67" s="1">
        <v>5</v>
      </c>
      <c r="N67" t="b">
        <v>0</v>
      </c>
      <c r="O67">
        <v>0</v>
      </c>
      <c r="P67" t="e">
        <v>#NUM!</v>
      </c>
      <c r="Q67" s="1" t="b">
        <f t="shared" ref="Q67:Q71" si="82">getText(I67)=getText(M67)</f>
        <v>1</v>
      </c>
      <c r="R67" t="b">
        <f t="shared" ref="R67:R71" si="83">getText(J67)=getText(N67)</f>
        <v>1</v>
      </c>
      <c r="S67" t="b">
        <f t="shared" ref="S67:S71" si="84">getText(K67)=getText(O67)</f>
        <v>1</v>
      </c>
      <c r="T67" t="b">
        <f t="shared" ref="T67:T71" si="85">getText(L67)=getText(P67)</f>
        <v>1</v>
      </c>
    </row>
    <row r="68" spans="2:20" x14ac:dyDescent="0.15">
      <c r="D68" t="s">
        <v>575</v>
      </c>
      <c r="E68" s="9" t="s">
        <v>623</v>
      </c>
      <c r="F68" s="7">
        <v>10</v>
      </c>
      <c r="I68" s="1">
        <f t="shared" si="78"/>
        <v>5</v>
      </c>
      <c r="J68" t="b">
        <f t="shared" si="79"/>
        <v>0</v>
      </c>
      <c r="K68">
        <f t="shared" si="80"/>
        <v>0</v>
      </c>
      <c r="L68" t="e">
        <f t="shared" si="81"/>
        <v>#NUM!</v>
      </c>
      <c r="M68" s="1">
        <v>5</v>
      </c>
      <c r="N68" t="b">
        <v>0</v>
      </c>
      <c r="O68">
        <v>0</v>
      </c>
      <c r="P68" t="e">
        <v>#NUM!</v>
      </c>
      <c r="Q68" s="1" t="b">
        <f t="shared" si="82"/>
        <v>1</v>
      </c>
      <c r="R68" t="b">
        <f t="shared" si="83"/>
        <v>1</v>
      </c>
      <c r="S68" t="b">
        <f t="shared" si="84"/>
        <v>1</v>
      </c>
      <c r="T68" t="b">
        <f t="shared" si="85"/>
        <v>1</v>
      </c>
    </row>
    <row r="69" spans="2:20" x14ac:dyDescent="0.15">
      <c r="D69" t="s">
        <v>582</v>
      </c>
      <c r="E69" s="9" t="s">
        <v>624</v>
      </c>
      <c r="F69" s="7">
        <v>11</v>
      </c>
      <c r="I69" s="1">
        <f t="shared" ref="I69:I73" si="86">TESTcheckNPntStr(E69,F69)</f>
        <v>5</v>
      </c>
      <c r="J69" t="b">
        <f t="shared" ref="J69:J73" si="87">TESTcheckNPntStrByRef1(E69,F69)</f>
        <v>0</v>
      </c>
      <c r="K69">
        <f t="shared" ref="K69:K73" si="88">TESTcheckNPntStrByRef2(E69,F69)</f>
        <v>0</v>
      </c>
      <c r="L69" t="e">
        <f t="shared" ref="L69:L73" si="89">TESTcheckNPntStrByRef3(E69,F69)</f>
        <v>#NUM!</v>
      </c>
      <c r="M69" s="1">
        <v>5</v>
      </c>
      <c r="N69" t="b">
        <v>0</v>
      </c>
      <c r="O69">
        <v>0</v>
      </c>
      <c r="P69" t="e">
        <v>#NUM!</v>
      </c>
      <c r="Q69" s="1" t="b">
        <f t="shared" si="82"/>
        <v>1</v>
      </c>
      <c r="R69" t="b">
        <f t="shared" si="83"/>
        <v>1</v>
      </c>
      <c r="S69" t="b">
        <f t="shared" si="84"/>
        <v>1</v>
      </c>
      <c r="T69" t="b">
        <f t="shared" si="85"/>
        <v>1</v>
      </c>
    </row>
    <row r="70" spans="2:20" x14ac:dyDescent="0.15">
      <c r="D70" t="s">
        <v>576</v>
      </c>
      <c r="E70" s="9" t="s">
        <v>625</v>
      </c>
      <c r="F70" s="7">
        <v>16</v>
      </c>
      <c r="I70" s="1">
        <f t="shared" si="86"/>
        <v>5</v>
      </c>
      <c r="J70" t="b">
        <f t="shared" si="87"/>
        <v>0</v>
      </c>
      <c r="K70">
        <f t="shared" si="88"/>
        <v>0</v>
      </c>
      <c r="L70" t="e">
        <f t="shared" si="89"/>
        <v>#NUM!</v>
      </c>
      <c r="M70" s="1">
        <v>5</v>
      </c>
      <c r="N70" t="b">
        <v>0</v>
      </c>
      <c r="O70">
        <v>0</v>
      </c>
      <c r="P70" t="e">
        <v>#NUM!</v>
      </c>
      <c r="Q70" s="1" t="b">
        <f t="shared" si="82"/>
        <v>1</v>
      </c>
      <c r="R70" t="b">
        <f t="shared" si="83"/>
        <v>1</v>
      </c>
      <c r="S70" t="b">
        <f t="shared" si="84"/>
        <v>1</v>
      </c>
      <c r="T70" t="b">
        <f t="shared" si="85"/>
        <v>1</v>
      </c>
    </row>
    <row r="71" spans="2:20" x14ac:dyDescent="0.15">
      <c r="C71" s="2" t="s">
        <v>626</v>
      </c>
      <c r="D71" s="2" t="s">
        <v>574</v>
      </c>
      <c r="E71" s="11" t="s">
        <v>627</v>
      </c>
      <c r="F71" s="2">
        <v>2</v>
      </c>
      <c r="G71" s="2"/>
      <c r="H71" s="2"/>
      <c r="I71" s="3">
        <f t="shared" si="86"/>
        <v>3</v>
      </c>
      <c r="J71" s="2" t="b">
        <f t="shared" si="87"/>
        <v>0</v>
      </c>
      <c r="K71" s="2">
        <f t="shared" si="88"/>
        <v>0</v>
      </c>
      <c r="L71" s="2">
        <f t="shared" si="89"/>
        <v>0</v>
      </c>
      <c r="M71" s="3">
        <v>3</v>
      </c>
      <c r="N71" s="2" t="b">
        <v>0</v>
      </c>
      <c r="O71" s="2">
        <v>0</v>
      </c>
      <c r="P71" s="2">
        <v>0</v>
      </c>
      <c r="Q71" s="3" t="b">
        <f t="shared" si="82"/>
        <v>1</v>
      </c>
      <c r="R71" s="2" t="b">
        <f t="shared" si="83"/>
        <v>1</v>
      </c>
      <c r="S71" s="2" t="b">
        <f t="shared" si="84"/>
        <v>1</v>
      </c>
      <c r="T71" s="2" t="b">
        <f t="shared" si="85"/>
        <v>1</v>
      </c>
    </row>
    <row r="72" spans="2:20" x14ac:dyDescent="0.15">
      <c r="D72" s="7" t="s">
        <v>581</v>
      </c>
      <c r="E72" s="9" t="s">
        <v>629</v>
      </c>
      <c r="F72" s="7">
        <v>9</v>
      </c>
      <c r="I72" s="1">
        <f t="shared" si="86"/>
        <v>11</v>
      </c>
      <c r="J72" t="b">
        <f t="shared" si="87"/>
        <v>0</v>
      </c>
      <c r="K72">
        <f t="shared" si="88"/>
        <v>0</v>
      </c>
      <c r="L72">
        <f t="shared" si="89"/>
        <v>0</v>
      </c>
      <c r="M72" s="1">
        <v>11</v>
      </c>
      <c r="N72" t="b">
        <v>0</v>
      </c>
      <c r="O72">
        <v>0</v>
      </c>
      <c r="P72">
        <v>0</v>
      </c>
      <c r="Q72" s="1" t="b">
        <f t="shared" ref="Q72:Q75" si="90">getText(I72)=getText(M72)</f>
        <v>1</v>
      </c>
      <c r="R72" t="b">
        <f t="shared" ref="R72:R75" si="91">getText(J72)=getText(N72)</f>
        <v>1</v>
      </c>
      <c r="S72" t="b">
        <f t="shared" ref="S72:S75" si="92">getText(K72)=getText(O72)</f>
        <v>1</v>
      </c>
      <c r="T72" t="b">
        <f t="shared" ref="T72:T75" si="93">getText(L72)=getText(P72)</f>
        <v>1</v>
      </c>
    </row>
    <row r="73" spans="2:20" x14ac:dyDescent="0.15">
      <c r="D73" t="s">
        <v>575</v>
      </c>
      <c r="E73" s="9" t="s">
        <v>628</v>
      </c>
      <c r="F73" s="7">
        <v>10</v>
      </c>
      <c r="I73" s="1">
        <f t="shared" si="86"/>
        <v>12</v>
      </c>
      <c r="J73" t="b">
        <f t="shared" si="87"/>
        <v>0</v>
      </c>
      <c r="K73">
        <f t="shared" si="88"/>
        <v>0</v>
      </c>
      <c r="L73">
        <f t="shared" si="89"/>
        <v>0</v>
      </c>
      <c r="M73" s="1">
        <v>12</v>
      </c>
      <c r="N73" t="b">
        <v>0</v>
      </c>
      <c r="O73">
        <v>0</v>
      </c>
      <c r="P73">
        <v>0</v>
      </c>
      <c r="Q73" s="1" t="b">
        <f t="shared" si="90"/>
        <v>1</v>
      </c>
      <c r="R73" t="b">
        <f t="shared" si="91"/>
        <v>1</v>
      </c>
      <c r="S73" t="b">
        <f t="shared" si="92"/>
        <v>1</v>
      </c>
      <c r="T73" t="b">
        <f t="shared" si="93"/>
        <v>1</v>
      </c>
    </row>
    <row r="74" spans="2:20" x14ac:dyDescent="0.15">
      <c r="D74" t="s">
        <v>582</v>
      </c>
      <c r="E74" s="9" t="s">
        <v>630</v>
      </c>
      <c r="F74" s="7">
        <v>11</v>
      </c>
      <c r="I74" s="1">
        <f t="shared" ref="I74:I75" si="94">TESTcheckNPntStr(E74,F74)</f>
        <v>13</v>
      </c>
      <c r="J74" t="b">
        <f t="shared" ref="J74:J75" si="95">TESTcheckNPntStrByRef1(E74,F74)</f>
        <v>0</v>
      </c>
      <c r="K74">
        <f t="shared" ref="K74:K75" si="96">TESTcheckNPntStrByRef2(E74,F74)</f>
        <v>0</v>
      </c>
      <c r="L74">
        <f t="shared" ref="L74:L75" si="97">TESTcheckNPntStrByRef3(E74,F74)</f>
        <v>0</v>
      </c>
      <c r="M74" s="1">
        <v>13</v>
      </c>
      <c r="N74" t="b">
        <v>0</v>
      </c>
      <c r="O74">
        <v>0</v>
      </c>
      <c r="P74">
        <v>0</v>
      </c>
      <c r="Q74" s="1" t="b">
        <f t="shared" si="90"/>
        <v>1</v>
      </c>
      <c r="R74" t="b">
        <f t="shared" si="91"/>
        <v>1</v>
      </c>
      <c r="S74" t="b">
        <f t="shared" si="92"/>
        <v>1</v>
      </c>
      <c r="T74" t="b">
        <f t="shared" si="93"/>
        <v>1</v>
      </c>
    </row>
    <row r="75" spans="2:20" x14ac:dyDescent="0.15">
      <c r="D75" t="s">
        <v>576</v>
      </c>
      <c r="E75" s="9" t="s">
        <v>631</v>
      </c>
      <c r="F75" s="7">
        <v>16</v>
      </c>
      <c r="I75" s="1">
        <f t="shared" si="94"/>
        <v>18</v>
      </c>
      <c r="J75" t="b">
        <f t="shared" si="95"/>
        <v>0</v>
      </c>
      <c r="K75">
        <f t="shared" si="96"/>
        <v>0</v>
      </c>
      <c r="L75">
        <f t="shared" si="97"/>
        <v>0</v>
      </c>
      <c r="M75" s="1">
        <v>18</v>
      </c>
      <c r="N75" t="b">
        <v>0</v>
      </c>
      <c r="O75">
        <v>0</v>
      </c>
      <c r="P75">
        <v>0</v>
      </c>
      <c r="Q75" s="1" t="b">
        <f t="shared" si="90"/>
        <v>1</v>
      </c>
      <c r="R75" t="b">
        <f t="shared" si="91"/>
        <v>1</v>
      </c>
      <c r="S75" t="b">
        <f t="shared" si="92"/>
        <v>1</v>
      </c>
      <c r="T75" t="b">
        <f t="shared" si="93"/>
        <v>1</v>
      </c>
    </row>
    <row r="76" spans="2:20" x14ac:dyDescent="0.15">
      <c r="B76" s="2" t="s">
        <v>632</v>
      </c>
      <c r="C76" s="2" t="s">
        <v>633</v>
      </c>
      <c r="D76" s="2"/>
      <c r="E76" s="11" t="s">
        <v>635</v>
      </c>
      <c r="F76" s="24">
        <v>10</v>
      </c>
      <c r="G76" s="2"/>
      <c r="H76" s="2"/>
      <c r="I76" s="3">
        <f t="shared" ref="I76:I77" si="98">TESTcheckNPntStr(E76,F76)</f>
        <v>3</v>
      </c>
      <c r="J76" s="2" t="b">
        <f t="shared" ref="J76:J77" si="99">TESTcheckNPntStrByRef1(E76,F76)</f>
        <v>1</v>
      </c>
      <c r="K76" s="2">
        <f t="shared" ref="K76:K77" si="100">TESTcheckNPntStrByRef2(E76,F76)</f>
        <v>0</v>
      </c>
      <c r="L76" s="2">
        <f t="shared" ref="L76:L77" si="101">TESTcheckNPntStrByRef3(E76,F76)</f>
        <v>0</v>
      </c>
      <c r="M76" s="3">
        <v>3</v>
      </c>
      <c r="N76" s="2" t="b">
        <v>1</v>
      </c>
      <c r="O76" s="2">
        <v>0</v>
      </c>
      <c r="P76" s="2">
        <v>0</v>
      </c>
      <c r="Q76" s="3" t="b">
        <f t="shared" ref="Q76:Q77" si="102">getText(I76)=getText(M76)</f>
        <v>1</v>
      </c>
      <c r="R76" s="2" t="b">
        <f t="shared" ref="R76:R77" si="103">getText(J76)=getText(N76)</f>
        <v>1</v>
      </c>
      <c r="S76" s="2" t="b">
        <f t="shared" ref="S76:S77" si="104">getText(K76)=getText(O76)</f>
        <v>1</v>
      </c>
      <c r="T76" s="2" t="b">
        <f t="shared" ref="T76:T77" si="105">getText(L76)=getText(P76)</f>
        <v>1</v>
      </c>
    </row>
    <row r="77" spans="2:20" x14ac:dyDescent="0.15">
      <c r="C77" t="s">
        <v>634</v>
      </c>
      <c r="E77" s="9" t="s">
        <v>636</v>
      </c>
      <c r="F77" s="7">
        <v>10</v>
      </c>
      <c r="I77" s="1">
        <f t="shared" si="98"/>
        <v>2</v>
      </c>
      <c r="J77" t="b">
        <f t="shared" si="99"/>
        <v>0</v>
      </c>
      <c r="K77">
        <f t="shared" si="100"/>
        <v>0</v>
      </c>
      <c r="L77" t="e">
        <f t="shared" si="101"/>
        <v>#NUM!</v>
      </c>
      <c r="M77" s="1">
        <v>2</v>
      </c>
      <c r="N77" t="b">
        <v>0</v>
      </c>
      <c r="O77">
        <v>0</v>
      </c>
      <c r="P77" t="e">
        <v>#NUM!</v>
      </c>
      <c r="Q77" s="1" t="b">
        <f t="shared" si="102"/>
        <v>1</v>
      </c>
      <c r="R77" t="b">
        <f t="shared" si="103"/>
        <v>1</v>
      </c>
      <c r="S77" t="b">
        <f t="shared" si="104"/>
        <v>1</v>
      </c>
      <c r="T77" t="b">
        <f t="shared" si="105"/>
        <v>1</v>
      </c>
    </row>
    <row r="78" spans="2:20" x14ac:dyDescent="0.15">
      <c r="B78" s="2" t="s">
        <v>637</v>
      </c>
      <c r="C78" s="2" t="s">
        <v>650</v>
      </c>
      <c r="D78" s="2" t="s">
        <v>659</v>
      </c>
      <c r="E78" s="11" t="s">
        <v>638</v>
      </c>
      <c r="F78" s="24">
        <v>10</v>
      </c>
      <c r="G78" s="2"/>
      <c r="H78" s="2"/>
      <c r="I78" s="3">
        <f>TESTcheckNPntStr(E78,F78)</f>
        <v>1</v>
      </c>
      <c r="J78" s="2" t="b">
        <f>TESTcheckNPntStrByRef1(E78,F78)</f>
        <v>0</v>
      </c>
      <c r="K78" s="2">
        <f t="shared" ref="K78" si="106">TESTcheckNPntStrByRef2(E78,F78)</f>
        <v>0</v>
      </c>
      <c r="L78" s="2" t="e">
        <f t="shared" ref="L78" si="107">TESTcheckNPntStrByRef3(E78,F78)</f>
        <v>#NUM!</v>
      </c>
      <c r="M78" s="3">
        <v>1</v>
      </c>
      <c r="N78" s="2" t="b">
        <v>0</v>
      </c>
      <c r="O78" s="2">
        <v>0</v>
      </c>
      <c r="P78" s="2" t="e">
        <v>#NUM!</v>
      </c>
      <c r="Q78" s="3" t="b">
        <f t="shared" ref="Q78" si="108">getText(I78)=getText(M78)</f>
        <v>1</v>
      </c>
      <c r="R78" s="2" t="b">
        <f t="shared" ref="R78" si="109">getText(J78)=getText(N78)</f>
        <v>1</v>
      </c>
      <c r="S78" s="2" t="b">
        <f t="shared" ref="S78" si="110">getText(K78)=getText(O78)</f>
        <v>1</v>
      </c>
      <c r="T78" s="2" t="b">
        <f t="shared" ref="T78" si="111">getText(L78)=getText(P78)</f>
        <v>1</v>
      </c>
    </row>
    <row r="79" spans="2:20" x14ac:dyDescent="0.15">
      <c r="B79" s="6"/>
      <c r="C79" s="6"/>
      <c r="D79" s="7" t="s">
        <v>660</v>
      </c>
      <c r="E79" s="9" t="s">
        <v>661</v>
      </c>
      <c r="F79" s="7">
        <v>10</v>
      </c>
      <c r="G79" s="6"/>
      <c r="H79" s="6"/>
      <c r="I79" s="1">
        <f t="shared" ref="I79:I87" si="112">TESTcheckNPntStr(E79,F79)</f>
        <v>2</v>
      </c>
      <c r="J79" s="6" t="b">
        <f t="shared" ref="J79:J87" si="113">TESTcheckNPntStrByRef1(E79,F79)</f>
        <v>1</v>
      </c>
      <c r="K79" s="6">
        <f t="shared" ref="K79:K87" si="114">TESTcheckNPntStrByRef2(E79,F79)</f>
        <v>0</v>
      </c>
      <c r="L79" s="6" t="e">
        <f t="shared" ref="L79:L87" si="115">TESTcheckNPntStrByRef3(E79,F79)</f>
        <v>#NUM!</v>
      </c>
      <c r="M79" s="1">
        <v>2</v>
      </c>
      <c r="N79" s="6" t="b">
        <v>1</v>
      </c>
      <c r="O79" s="6">
        <v>0</v>
      </c>
      <c r="P79" s="6" t="e">
        <v>#NUM!</v>
      </c>
      <c r="Q79" s="1" t="b">
        <f t="shared" ref="Q79:Q87" si="116">getText(I79)=getText(M79)</f>
        <v>1</v>
      </c>
      <c r="R79" s="6" t="b">
        <f t="shared" ref="R79:R87" si="117">getText(J79)=getText(N79)</f>
        <v>1</v>
      </c>
      <c r="S79" s="6" t="b">
        <f t="shared" ref="S79:S87" si="118">getText(K79)=getText(O79)</f>
        <v>1</v>
      </c>
      <c r="T79" s="6" t="b">
        <f t="shared" ref="T79:T87" si="119">getText(L79)=getText(P79)</f>
        <v>1</v>
      </c>
    </row>
    <row r="80" spans="2:20" x14ac:dyDescent="0.15">
      <c r="B80" s="6"/>
      <c r="C80" s="7" t="s">
        <v>651</v>
      </c>
      <c r="D80" s="6" t="s">
        <v>658</v>
      </c>
      <c r="E80" s="9" t="s">
        <v>649</v>
      </c>
      <c r="F80" s="7">
        <v>10</v>
      </c>
      <c r="G80" s="6"/>
      <c r="H80" s="6"/>
      <c r="I80" s="1">
        <f t="shared" si="112"/>
        <v>4</v>
      </c>
      <c r="J80" s="6" t="b">
        <f t="shared" si="113"/>
        <v>0</v>
      </c>
      <c r="K80" s="6">
        <f t="shared" si="114"/>
        <v>2</v>
      </c>
      <c r="L80" s="6">
        <f t="shared" si="115"/>
        <v>0</v>
      </c>
      <c r="M80" s="1">
        <v>4</v>
      </c>
      <c r="N80" s="6" t="b">
        <v>0</v>
      </c>
      <c r="O80" s="6">
        <v>2</v>
      </c>
      <c r="P80" s="6">
        <v>0</v>
      </c>
      <c r="Q80" s="1" t="b">
        <f t="shared" si="116"/>
        <v>1</v>
      </c>
      <c r="R80" s="6" t="b">
        <f t="shared" si="117"/>
        <v>1</v>
      </c>
      <c r="S80" s="6" t="b">
        <f t="shared" si="118"/>
        <v>1</v>
      </c>
      <c r="T80" s="6" t="b">
        <f t="shared" si="119"/>
        <v>1</v>
      </c>
    </row>
    <row r="81" spans="1:20" x14ac:dyDescent="0.15">
      <c r="B81" s="6"/>
      <c r="C81" s="7"/>
      <c r="D81" s="6" t="s">
        <v>359</v>
      </c>
      <c r="E81" s="9" t="s">
        <v>662</v>
      </c>
      <c r="F81" s="7">
        <v>10</v>
      </c>
      <c r="G81" s="6"/>
      <c r="H81" s="6"/>
      <c r="I81" s="1">
        <f t="shared" si="112"/>
        <v>5</v>
      </c>
      <c r="J81" s="6" t="b">
        <f t="shared" si="113"/>
        <v>1</v>
      </c>
      <c r="K81" s="6">
        <f t="shared" si="114"/>
        <v>3</v>
      </c>
      <c r="L81" s="6">
        <f t="shared" si="115"/>
        <v>0</v>
      </c>
      <c r="M81" s="1">
        <v>5</v>
      </c>
      <c r="N81" s="6" t="b">
        <v>1</v>
      </c>
      <c r="O81" s="6">
        <v>3</v>
      </c>
      <c r="P81" s="6">
        <v>0</v>
      </c>
      <c r="Q81" s="1" t="b">
        <f t="shared" si="116"/>
        <v>1</v>
      </c>
      <c r="R81" s="6" t="b">
        <f t="shared" si="117"/>
        <v>1</v>
      </c>
      <c r="S81" s="6" t="b">
        <f t="shared" si="118"/>
        <v>1</v>
      </c>
      <c r="T81" s="6" t="b">
        <f t="shared" si="119"/>
        <v>1</v>
      </c>
    </row>
    <row r="82" spans="1:20" x14ac:dyDescent="0.15">
      <c r="B82" s="6"/>
      <c r="C82" s="7" t="s">
        <v>653</v>
      </c>
      <c r="D82" s="6" t="s">
        <v>658</v>
      </c>
      <c r="E82" s="9" t="s">
        <v>654</v>
      </c>
      <c r="F82" s="7">
        <v>10</v>
      </c>
      <c r="G82" s="6"/>
      <c r="H82" s="6"/>
      <c r="I82" s="1">
        <f t="shared" si="112"/>
        <v>3</v>
      </c>
      <c r="J82" s="6" t="b">
        <f t="shared" si="113"/>
        <v>0</v>
      </c>
      <c r="K82" s="6">
        <f t="shared" si="114"/>
        <v>0</v>
      </c>
      <c r="L82" s="6" t="e">
        <f t="shared" si="115"/>
        <v>#NUM!</v>
      </c>
      <c r="M82" s="1">
        <v>3</v>
      </c>
      <c r="N82" s="6" t="b">
        <v>0</v>
      </c>
      <c r="O82" s="6">
        <v>0</v>
      </c>
      <c r="P82" s="6" t="e">
        <v>#NUM!</v>
      </c>
      <c r="Q82" s="1" t="b">
        <f t="shared" si="116"/>
        <v>1</v>
      </c>
      <c r="R82" s="6" t="b">
        <f t="shared" si="117"/>
        <v>1</v>
      </c>
      <c r="S82" s="6" t="b">
        <f t="shared" si="118"/>
        <v>1</v>
      </c>
      <c r="T82" s="6" t="b">
        <f t="shared" si="119"/>
        <v>1</v>
      </c>
    </row>
    <row r="83" spans="1:20" x14ac:dyDescent="0.15">
      <c r="B83" s="6"/>
      <c r="C83" s="7"/>
      <c r="D83" s="6" t="s">
        <v>359</v>
      </c>
      <c r="E83" s="9" t="s">
        <v>663</v>
      </c>
      <c r="F83" s="7">
        <v>10</v>
      </c>
      <c r="G83" s="6"/>
      <c r="H83" s="6"/>
      <c r="I83" s="1">
        <f t="shared" si="112"/>
        <v>4</v>
      </c>
      <c r="J83" s="6" t="b">
        <f t="shared" si="113"/>
        <v>1</v>
      </c>
      <c r="K83" s="6">
        <f t="shared" si="114"/>
        <v>0</v>
      </c>
      <c r="L83" s="6" t="e">
        <f t="shared" si="115"/>
        <v>#NUM!</v>
      </c>
      <c r="M83" s="1">
        <v>4</v>
      </c>
      <c r="N83" s="6" t="b">
        <v>1</v>
      </c>
      <c r="O83" s="6">
        <v>0</v>
      </c>
      <c r="P83" s="6" t="e">
        <v>#NUM!</v>
      </c>
      <c r="Q83" s="1" t="b">
        <f t="shared" si="116"/>
        <v>1</v>
      </c>
      <c r="R83" s="6" t="b">
        <f t="shared" si="117"/>
        <v>1</v>
      </c>
      <c r="S83" s="6" t="b">
        <f t="shared" si="118"/>
        <v>1</v>
      </c>
      <c r="T83" s="6" t="b">
        <f t="shared" si="119"/>
        <v>1</v>
      </c>
    </row>
    <row r="84" spans="1:20" x14ac:dyDescent="0.15">
      <c r="B84" s="6"/>
      <c r="C84" s="7" t="s">
        <v>652</v>
      </c>
      <c r="D84" s="6" t="s">
        <v>658</v>
      </c>
      <c r="E84" s="9" t="s">
        <v>655</v>
      </c>
      <c r="F84" s="7">
        <v>10</v>
      </c>
      <c r="G84" s="6"/>
      <c r="H84" s="6"/>
      <c r="I84" s="1">
        <f t="shared" si="112"/>
        <v>7</v>
      </c>
      <c r="J84" s="6" t="b">
        <f t="shared" si="113"/>
        <v>0</v>
      </c>
      <c r="K84" s="6">
        <f t="shared" si="114"/>
        <v>5</v>
      </c>
      <c r="L84" s="6">
        <f t="shared" si="115"/>
        <v>0</v>
      </c>
      <c r="M84" s="1">
        <v>7</v>
      </c>
      <c r="N84" s="6" t="b">
        <v>0</v>
      </c>
      <c r="O84" s="6">
        <v>5</v>
      </c>
      <c r="P84" s="6">
        <v>0</v>
      </c>
      <c r="Q84" s="1" t="b">
        <f t="shared" si="116"/>
        <v>1</v>
      </c>
      <c r="R84" s="6" t="b">
        <f t="shared" si="117"/>
        <v>1</v>
      </c>
      <c r="S84" s="6" t="b">
        <f t="shared" si="118"/>
        <v>1</v>
      </c>
      <c r="T84" s="6" t="b">
        <f t="shared" si="119"/>
        <v>1</v>
      </c>
    </row>
    <row r="85" spans="1:20" x14ac:dyDescent="0.15">
      <c r="B85" s="6"/>
      <c r="C85" s="7"/>
      <c r="D85" s="6" t="s">
        <v>359</v>
      </c>
      <c r="E85" s="9" t="s">
        <v>664</v>
      </c>
      <c r="F85" s="7">
        <v>10</v>
      </c>
      <c r="G85" s="6"/>
      <c r="H85" s="6"/>
      <c r="I85" s="1">
        <f t="shared" si="112"/>
        <v>8</v>
      </c>
      <c r="J85" s="6" t="b">
        <f t="shared" si="113"/>
        <v>1</v>
      </c>
      <c r="K85" s="6">
        <f t="shared" si="114"/>
        <v>6</v>
      </c>
      <c r="L85" s="6">
        <f t="shared" si="115"/>
        <v>0</v>
      </c>
      <c r="M85" s="1">
        <v>8</v>
      </c>
      <c r="N85" s="6" t="b">
        <v>1</v>
      </c>
      <c r="O85" s="6">
        <v>6</v>
      </c>
      <c r="P85" s="6">
        <v>0</v>
      </c>
      <c r="Q85" s="1" t="b">
        <f t="shared" si="116"/>
        <v>1</v>
      </c>
      <c r="R85" s="6" t="b">
        <f t="shared" si="117"/>
        <v>1</v>
      </c>
      <c r="S85" s="6" t="b">
        <f t="shared" si="118"/>
        <v>1</v>
      </c>
      <c r="T85" s="6" t="b">
        <f t="shared" si="119"/>
        <v>1</v>
      </c>
    </row>
    <row r="86" spans="1:20" x14ac:dyDescent="0.15">
      <c r="B86" s="6"/>
      <c r="C86" s="7" t="s">
        <v>656</v>
      </c>
      <c r="D86" s="6" t="s">
        <v>658</v>
      </c>
      <c r="E86" s="9" t="s">
        <v>657</v>
      </c>
      <c r="F86" s="7">
        <v>10</v>
      </c>
      <c r="G86" s="6"/>
      <c r="H86" s="6"/>
      <c r="I86" s="1">
        <f t="shared" si="112"/>
        <v>9</v>
      </c>
      <c r="J86" s="6" t="b">
        <f t="shared" si="113"/>
        <v>0</v>
      </c>
      <c r="K86" s="6">
        <f t="shared" si="114"/>
        <v>0</v>
      </c>
      <c r="L86" s="6" t="e">
        <f t="shared" si="115"/>
        <v>#NUM!</v>
      </c>
      <c r="M86" s="1">
        <v>9</v>
      </c>
      <c r="N86" s="6" t="b">
        <v>0</v>
      </c>
      <c r="O86" s="6">
        <v>0</v>
      </c>
      <c r="P86" s="6" t="e">
        <v>#NUM!</v>
      </c>
      <c r="Q86" s="1" t="b">
        <f t="shared" si="116"/>
        <v>1</v>
      </c>
      <c r="R86" s="6" t="b">
        <f t="shared" si="117"/>
        <v>1</v>
      </c>
      <c r="S86" s="6" t="b">
        <f t="shared" si="118"/>
        <v>1</v>
      </c>
      <c r="T86" s="6" t="b">
        <f t="shared" si="119"/>
        <v>1</v>
      </c>
    </row>
    <row r="87" spans="1:20" x14ac:dyDescent="0.15">
      <c r="B87" s="6"/>
      <c r="C87" s="6"/>
      <c r="D87" s="6" t="s">
        <v>359</v>
      </c>
      <c r="E87" s="9" t="s">
        <v>665</v>
      </c>
      <c r="F87" s="7">
        <v>10</v>
      </c>
      <c r="G87" s="6"/>
      <c r="H87" s="6"/>
      <c r="I87" s="1">
        <f t="shared" si="112"/>
        <v>10</v>
      </c>
      <c r="J87" s="6" t="b">
        <f t="shared" si="113"/>
        <v>1</v>
      </c>
      <c r="K87" s="6">
        <f t="shared" si="114"/>
        <v>0</v>
      </c>
      <c r="L87" s="6" t="e">
        <f t="shared" si="115"/>
        <v>#NUM!</v>
      </c>
      <c r="M87" s="1">
        <v>10</v>
      </c>
      <c r="N87" s="6" t="b">
        <v>1</v>
      </c>
      <c r="O87" s="6">
        <v>0</v>
      </c>
      <c r="P87" s="6" t="e">
        <v>#NUM!</v>
      </c>
      <c r="Q87" s="1" t="b">
        <f t="shared" si="116"/>
        <v>1</v>
      </c>
      <c r="R87" s="6" t="b">
        <f t="shared" si="117"/>
        <v>1</v>
      </c>
      <c r="S87" s="6" t="b">
        <f t="shared" si="118"/>
        <v>1</v>
      </c>
      <c r="T87" s="6" t="b">
        <f t="shared" si="119"/>
        <v>1</v>
      </c>
    </row>
    <row r="88" spans="1:20" s="2" customFormat="1" x14ac:dyDescent="0.15">
      <c r="A88" s="2" t="s">
        <v>212</v>
      </c>
      <c r="B88" s="2" t="s">
        <v>213</v>
      </c>
      <c r="C88" s="2" t="s">
        <v>214</v>
      </c>
      <c r="E88" s="11">
        <v>0</v>
      </c>
      <c r="F88" s="13">
        <v>0</v>
      </c>
      <c r="G88" s="2">
        <v>2</v>
      </c>
      <c r="I88" s="3" t="str">
        <f>TESTadd(E88,F88,G88)</f>
        <v>0</v>
      </c>
      <c r="M88" s="3" t="s">
        <v>14</v>
      </c>
      <c r="Q88" s="3" t="b">
        <f t="shared" ref="Q88:Q91" si="120">getText(I88)=getText(M88)</f>
        <v>1</v>
      </c>
    </row>
    <row r="89" spans="1:20" x14ac:dyDescent="0.15">
      <c r="C89" t="s">
        <v>215</v>
      </c>
      <c r="E89" s="9">
        <v>0</v>
      </c>
      <c r="F89" s="17" t="s">
        <v>217</v>
      </c>
      <c r="G89">
        <v>2</v>
      </c>
      <c r="I89" s="1" t="str">
        <f t="shared" ref="I89:I91" si="121">TESTadd(E89,F89,G89)</f>
        <v>00</v>
      </c>
      <c r="M89" s="1" t="s">
        <v>98</v>
      </c>
      <c r="Q89" s="1" t="b">
        <f t="shared" si="120"/>
        <v>1</v>
      </c>
      <c r="R89" s="6"/>
      <c r="S89" s="6"/>
    </row>
    <row r="90" spans="1:20" x14ac:dyDescent="0.15">
      <c r="C90" t="s">
        <v>216</v>
      </c>
      <c r="E90" s="9" t="s">
        <v>217</v>
      </c>
      <c r="F90" s="17" t="s">
        <v>121</v>
      </c>
      <c r="G90">
        <v>2</v>
      </c>
      <c r="I90" s="1" t="str">
        <f t="shared" si="121"/>
        <v>00</v>
      </c>
      <c r="M90" s="1" t="s">
        <v>98</v>
      </c>
      <c r="Q90" s="1" t="b">
        <f>getText(I90)=getText(M90)</f>
        <v>1</v>
      </c>
      <c r="R90" s="6"/>
      <c r="S90" s="6"/>
    </row>
    <row r="91" spans="1:20" x14ac:dyDescent="0.15">
      <c r="B91" s="2" t="s">
        <v>218</v>
      </c>
      <c r="C91" s="2" t="s">
        <v>219</v>
      </c>
      <c r="D91" s="2" t="s">
        <v>220</v>
      </c>
      <c r="E91" s="3">
        <v>1</v>
      </c>
      <c r="F91" s="2">
        <v>1</v>
      </c>
      <c r="G91" s="2">
        <v>2</v>
      </c>
      <c r="H91" s="2"/>
      <c r="I91" s="3" t="str">
        <f t="shared" si="121"/>
        <v>10</v>
      </c>
      <c r="J91" s="2"/>
      <c r="K91" s="2"/>
      <c r="L91" s="2"/>
      <c r="M91" s="3" t="s">
        <v>15</v>
      </c>
      <c r="N91" s="2"/>
      <c r="O91" s="2"/>
      <c r="P91" s="2"/>
      <c r="Q91" s="3" t="b">
        <f t="shared" si="120"/>
        <v>1</v>
      </c>
      <c r="R91" s="6"/>
      <c r="S91" s="6"/>
    </row>
    <row r="92" spans="1:20" x14ac:dyDescent="0.15">
      <c r="D92" t="s">
        <v>221</v>
      </c>
      <c r="E92" s="1">
        <v>9</v>
      </c>
      <c r="F92">
        <v>1</v>
      </c>
      <c r="G92">
        <v>10</v>
      </c>
      <c r="I92" s="1" t="str">
        <f t="shared" ref="I92:I93" si="122">TESTadd(E92,F92,G92)</f>
        <v>10</v>
      </c>
      <c r="M92" s="1" t="s">
        <v>15</v>
      </c>
      <c r="Q92" s="1" t="b">
        <f t="shared" ref="Q92:Q93" si="123">getText(I92)=getText(M92)</f>
        <v>1</v>
      </c>
      <c r="R92" s="6"/>
      <c r="S92" s="6"/>
    </row>
    <row r="93" spans="1:20" x14ac:dyDescent="0.15">
      <c r="D93" t="s">
        <v>222</v>
      </c>
      <c r="E93" s="9" t="s">
        <v>223</v>
      </c>
      <c r="F93" s="17">
        <v>1</v>
      </c>
      <c r="G93">
        <v>16</v>
      </c>
      <c r="I93" s="1" t="str">
        <f t="shared" si="122"/>
        <v>10</v>
      </c>
      <c r="M93" s="1" t="s">
        <v>15</v>
      </c>
      <c r="Q93" s="1" t="b">
        <f t="shared" si="123"/>
        <v>1</v>
      </c>
      <c r="R93" s="6"/>
      <c r="S93" s="6"/>
    </row>
    <row r="94" spans="1:20" x14ac:dyDescent="0.15">
      <c r="C94" s="2" t="s">
        <v>224</v>
      </c>
      <c r="D94" s="2" t="s">
        <v>220</v>
      </c>
      <c r="E94" s="11" t="s">
        <v>226</v>
      </c>
      <c r="F94" s="13" t="s">
        <v>227</v>
      </c>
      <c r="G94" s="2">
        <v>2</v>
      </c>
      <c r="H94" s="2"/>
      <c r="I94" s="3" t="str">
        <f t="shared" ref="I94" si="124">TESTadd(E94,F94,G94)</f>
        <v>100</v>
      </c>
      <c r="J94" s="2"/>
      <c r="K94" s="2"/>
      <c r="L94" s="2"/>
      <c r="M94" s="3" t="s">
        <v>21</v>
      </c>
      <c r="N94" s="2"/>
      <c r="O94" s="2"/>
      <c r="P94" s="2"/>
      <c r="Q94" s="3" t="b">
        <f t="shared" ref="Q94:Q96" si="125">getText(I94)=getText(M94)</f>
        <v>1</v>
      </c>
      <c r="R94" s="6"/>
      <c r="S94" s="6"/>
    </row>
    <row r="95" spans="1:20" x14ac:dyDescent="0.15">
      <c r="D95" t="s">
        <v>221</v>
      </c>
      <c r="E95" s="9" t="s">
        <v>229</v>
      </c>
      <c r="F95" s="17" t="s">
        <v>230</v>
      </c>
      <c r="G95">
        <v>10</v>
      </c>
      <c r="I95" s="1" t="str">
        <f t="shared" ref="I95" si="126">TESTadd(E95,F95,G95)</f>
        <v>100</v>
      </c>
      <c r="M95" s="1" t="s">
        <v>21</v>
      </c>
      <c r="Q95" s="1" t="b">
        <f t="shared" si="125"/>
        <v>1</v>
      </c>
      <c r="R95" s="6"/>
      <c r="S95" s="6"/>
    </row>
    <row r="96" spans="1:20" x14ac:dyDescent="0.15">
      <c r="D96" t="s">
        <v>222</v>
      </c>
      <c r="E96" s="9" t="s">
        <v>231</v>
      </c>
      <c r="F96" s="17" t="s">
        <v>232</v>
      </c>
      <c r="G96">
        <v>16</v>
      </c>
      <c r="I96" s="1" t="str">
        <f t="shared" ref="I96" si="127">TESTadd(E96,F96,G96)</f>
        <v>100</v>
      </c>
      <c r="M96" s="1" t="s">
        <v>21</v>
      </c>
      <c r="Q96" s="1" t="b">
        <f t="shared" si="125"/>
        <v>1</v>
      </c>
      <c r="R96" s="6"/>
      <c r="S96" s="6"/>
    </row>
    <row r="97" spans="2:19" x14ac:dyDescent="0.15">
      <c r="C97" s="2" t="s">
        <v>225</v>
      </c>
      <c r="D97" s="2" t="s">
        <v>220</v>
      </c>
      <c r="E97" s="11" t="s">
        <v>233</v>
      </c>
      <c r="F97" s="13" t="s">
        <v>234</v>
      </c>
      <c r="G97" s="2">
        <v>2</v>
      </c>
      <c r="H97" s="2"/>
      <c r="I97" s="3" t="str">
        <f t="shared" ref="I97" si="128">TESTadd(E97,F97,G97)</f>
        <v>1000</v>
      </c>
      <c r="J97" s="2"/>
      <c r="K97" s="2"/>
      <c r="L97" s="2"/>
      <c r="M97" s="3" t="s">
        <v>34</v>
      </c>
      <c r="N97" s="2"/>
      <c r="O97" s="2"/>
      <c r="P97" s="2"/>
      <c r="Q97" s="3" t="b">
        <f t="shared" ref="Q97:Q99" si="129">getText(I97)=getText(M97)</f>
        <v>1</v>
      </c>
      <c r="R97" s="6"/>
      <c r="S97" s="6"/>
    </row>
    <row r="98" spans="2:19" x14ac:dyDescent="0.15">
      <c r="C98" s="6"/>
      <c r="D98" s="6" t="s">
        <v>221</v>
      </c>
      <c r="E98" s="9" t="s">
        <v>235</v>
      </c>
      <c r="F98" s="14" t="s">
        <v>236</v>
      </c>
      <c r="G98" s="6">
        <v>10</v>
      </c>
      <c r="H98" s="6"/>
      <c r="I98" s="1" t="str">
        <f t="shared" ref="I98:I99" si="130">TESTadd(E98,F98,G98)</f>
        <v>1000</v>
      </c>
      <c r="J98" s="6"/>
      <c r="K98" s="6"/>
      <c r="L98" s="6"/>
      <c r="M98" s="1" t="s">
        <v>34</v>
      </c>
      <c r="N98" s="6"/>
      <c r="O98" s="6"/>
      <c r="P98" s="6"/>
      <c r="Q98" s="1" t="b">
        <f t="shared" si="129"/>
        <v>1</v>
      </c>
      <c r="R98" s="6"/>
      <c r="S98" s="6"/>
    </row>
    <row r="99" spans="2:19" x14ac:dyDescent="0.15">
      <c r="D99" t="s">
        <v>222</v>
      </c>
      <c r="E99" s="9" t="s">
        <v>237</v>
      </c>
      <c r="F99" s="17" t="s">
        <v>236</v>
      </c>
      <c r="G99">
        <v>16</v>
      </c>
      <c r="I99" s="1" t="str">
        <f t="shared" si="130"/>
        <v>1000</v>
      </c>
      <c r="M99" s="1" t="s">
        <v>34</v>
      </c>
      <c r="Q99" s="1" t="b">
        <f t="shared" si="129"/>
        <v>1</v>
      </c>
      <c r="R99" s="6"/>
      <c r="S99" s="6"/>
    </row>
    <row r="100" spans="2:19" x14ac:dyDescent="0.15">
      <c r="B100" s="2" t="s">
        <v>246</v>
      </c>
      <c r="C100" s="2" t="s">
        <v>265</v>
      </c>
      <c r="D100" s="2" t="s">
        <v>220</v>
      </c>
      <c r="E100" s="11" t="s">
        <v>269</v>
      </c>
      <c r="F100" s="13" t="s">
        <v>269</v>
      </c>
      <c r="G100" s="2">
        <v>2</v>
      </c>
      <c r="H100" s="2"/>
      <c r="I100" s="3" t="str">
        <f t="shared" ref="I100:I110" si="131">TESTadd(E100,F100,G100)</f>
        <v>0</v>
      </c>
      <c r="J100" s="2"/>
      <c r="K100" s="2"/>
      <c r="L100" s="2"/>
      <c r="M100" s="3" t="s">
        <v>14</v>
      </c>
      <c r="N100" s="2"/>
      <c r="O100" s="2"/>
      <c r="P100" s="2"/>
      <c r="Q100" s="3" t="b">
        <f t="shared" ref="Q100:Q102" si="132">getText(I100)=getText(M100)</f>
        <v>1</v>
      </c>
      <c r="R100" s="6"/>
      <c r="S100" s="6"/>
    </row>
    <row r="101" spans="2:19" x14ac:dyDescent="0.15">
      <c r="B101" t="s">
        <v>333</v>
      </c>
      <c r="D101" s="6" t="s">
        <v>221</v>
      </c>
      <c r="E101" s="9" t="s">
        <v>270</v>
      </c>
      <c r="F101" s="17" t="s">
        <v>271</v>
      </c>
      <c r="G101" s="6">
        <v>10</v>
      </c>
      <c r="I101" s="1" t="str">
        <f t="shared" si="131"/>
        <v>0</v>
      </c>
      <c r="M101" s="1" t="s">
        <v>14</v>
      </c>
      <c r="Q101" s="1" t="b">
        <f t="shared" si="132"/>
        <v>1</v>
      </c>
      <c r="R101" s="6"/>
      <c r="S101" s="6"/>
    </row>
    <row r="102" spans="2:19" x14ac:dyDescent="0.15">
      <c r="B102" t="s">
        <v>334</v>
      </c>
      <c r="D102" t="s">
        <v>222</v>
      </c>
      <c r="E102" s="9" t="s">
        <v>271</v>
      </c>
      <c r="F102" s="17" t="s">
        <v>271</v>
      </c>
      <c r="G102">
        <v>16</v>
      </c>
      <c r="I102" s="1" t="str">
        <f t="shared" si="131"/>
        <v>0</v>
      </c>
      <c r="M102" s="1" t="s">
        <v>14</v>
      </c>
      <c r="Q102" s="1" t="b">
        <f t="shared" si="132"/>
        <v>1</v>
      </c>
      <c r="R102" s="6"/>
      <c r="S102" s="6"/>
    </row>
    <row r="103" spans="2:19" x14ac:dyDescent="0.15">
      <c r="C103" s="2" t="s">
        <v>266</v>
      </c>
      <c r="D103" s="2" t="s">
        <v>220</v>
      </c>
      <c r="E103" s="11" t="s">
        <v>269</v>
      </c>
      <c r="F103" s="13" t="s">
        <v>272</v>
      </c>
      <c r="G103" s="2">
        <v>2</v>
      </c>
      <c r="H103" s="2"/>
      <c r="I103" s="3" t="str">
        <f t="shared" si="131"/>
        <v>1</v>
      </c>
      <c r="J103" s="2"/>
      <c r="K103" s="2"/>
      <c r="L103" s="2"/>
      <c r="M103" s="3" t="s">
        <v>44</v>
      </c>
      <c r="N103" s="2"/>
      <c r="O103" s="2"/>
      <c r="P103" s="2"/>
      <c r="Q103" s="3" t="b">
        <f t="shared" ref="Q103:Q109" si="133">getText(I103)=getText(M103)</f>
        <v>1</v>
      </c>
      <c r="R103" s="6"/>
      <c r="S103" s="6"/>
    </row>
    <row r="104" spans="2:19" x14ac:dyDescent="0.15">
      <c r="D104" s="6" t="s">
        <v>221</v>
      </c>
      <c r="E104" s="9" t="s">
        <v>270</v>
      </c>
      <c r="F104" s="17" t="s">
        <v>273</v>
      </c>
      <c r="G104" s="6">
        <v>10</v>
      </c>
      <c r="I104" s="1" t="str">
        <f t="shared" si="131"/>
        <v>9</v>
      </c>
      <c r="M104" s="1" t="s">
        <v>101</v>
      </c>
      <c r="Q104" s="1" t="b">
        <f t="shared" si="133"/>
        <v>1</v>
      </c>
      <c r="R104" s="6"/>
      <c r="S104" s="6"/>
    </row>
    <row r="105" spans="2:19" x14ac:dyDescent="0.15">
      <c r="D105" t="s">
        <v>222</v>
      </c>
      <c r="E105" s="9" t="s">
        <v>269</v>
      </c>
      <c r="F105" s="17" t="s">
        <v>274</v>
      </c>
      <c r="G105">
        <v>16</v>
      </c>
      <c r="I105" s="1" t="str">
        <f t="shared" si="131"/>
        <v>F</v>
      </c>
      <c r="M105" s="1" t="s">
        <v>99</v>
      </c>
      <c r="Q105" s="1" t="b">
        <f t="shared" si="133"/>
        <v>1</v>
      </c>
      <c r="R105" s="6"/>
      <c r="S105" s="6"/>
    </row>
    <row r="106" spans="2:19" x14ac:dyDescent="0.15">
      <c r="C106" s="2" t="s">
        <v>267</v>
      </c>
      <c r="D106" s="2" t="s">
        <v>220</v>
      </c>
      <c r="E106" s="11" t="s">
        <v>44</v>
      </c>
      <c r="F106" s="13" t="s">
        <v>271</v>
      </c>
      <c r="G106" s="2">
        <v>2</v>
      </c>
      <c r="H106" s="2"/>
      <c r="I106" s="3" t="str">
        <f t="shared" si="131"/>
        <v>1</v>
      </c>
      <c r="J106" s="2"/>
      <c r="K106" s="2"/>
      <c r="L106" s="2"/>
      <c r="M106" s="3" t="s">
        <v>44</v>
      </c>
      <c r="N106" s="2"/>
      <c r="O106" s="2"/>
      <c r="P106" s="2"/>
      <c r="Q106" s="3" t="b">
        <f t="shared" si="133"/>
        <v>1</v>
      </c>
      <c r="R106" s="6"/>
      <c r="S106" s="6"/>
    </row>
    <row r="107" spans="2:19" x14ac:dyDescent="0.15">
      <c r="D107" s="6" t="s">
        <v>221</v>
      </c>
      <c r="E107" s="9" t="s">
        <v>101</v>
      </c>
      <c r="F107" s="14" t="s">
        <v>275</v>
      </c>
      <c r="G107" s="6">
        <v>10</v>
      </c>
      <c r="H107" s="6"/>
      <c r="I107" s="1" t="str">
        <f t="shared" si="131"/>
        <v>9</v>
      </c>
      <c r="J107" s="6"/>
      <c r="K107" s="6"/>
      <c r="L107" s="6"/>
      <c r="M107" s="1" t="s">
        <v>101</v>
      </c>
      <c r="N107" s="6"/>
      <c r="O107" s="6"/>
      <c r="P107" s="6"/>
      <c r="Q107" s="1" t="b">
        <f t="shared" si="133"/>
        <v>1</v>
      </c>
      <c r="R107" s="6"/>
      <c r="S107" s="6"/>
    </row>
    <row r="108" spans="2:19" x14ac:dyDescent="0.15">
      <c r="D108" t="s">
        <v>222</v>
      </c>
      <c r="E108" s="9" t="s">
        <v>99</v>
      </c>
      <c r="F108" s="17" t="s">
        <v>271</v>
      </c>
      <c r="G108">
        <v>16</v>
      </c>
      <c r="I108" s="1" t="str">
        <f t="shared" si="131"/>
        <v>F</v>
      </c>
      <c r="M108" s="1" t="s">
        <v>99</v>
      </c>
      <c r="Q108" s="1" t="b">
        <f t="shared" si="133"/>
        <v>1</v>
      </c>
      <c r="R108" s="6"/>
      <c r="S108" s="6"/>
    </row>
    <row r="109" spans="2:19" x14ac:dyDescent="0.15">
      <c r="C109" s="2" t="s">
        <v>268</v>
      </c>
      <c r="D109" s="2" t="s">
        <v>220</v>
      </c>
      <c r="E109" s="11" t="s">
        <v>44</v>
      </c>
      <c r="F109" s="13" t="s">
        <v>44</v>
      </c>
      <c r="G109" s="2">
        <v>2</v>
      </c>
      <c r="H109" s="2"/>
      <c r="I109" s="3" t="str">
        <f t="shared" si="131"/>
        <v>10</v>
      </c>
      <c r="J109" s="2"/>
      <c r="K109" s="2"/>
      <c r="L109" s="2"/>
      <c r="M109" s="3" t="s">
        <v>15</v>
      </c>
      <c r="N109" s="2"/>
      <c r="O109" s="2"/>
      <c r="P109" s="2"/>
      <c r="Q109" s="3" t="b">
        <f t="shared" si="133"/>
        <v>1</v>
      </c>
      <c r="R109" s="6"/>
      <c r="S109" s="6"/>
    </row>
    <row r="110" spans="2:19" x14ac:dyDescent="0.15">
      <c r="D110" s="6" t="s">
        <v>284</v>
      </c>
      <c r="E110" s="9" t="s">
        <v>101</v>
      </c>
      <c r="F110" s="17" t="s">
        <v>101</v>
      </c>
      <c r="G110" s="6">
        <v>10</v>
      </c>
      <c r="I110" s="1" t="str">
        <f t="shared" si="131"/>
        <v>18</v>
      </c>
      <c r="M110" s="1" t="s">
        <v>255</v>
      </c>
      <c r="Q110" s="1" t="b">
        <f t="shared" ref="Q110:Q113" si="134">getText(I110)=getText(M110)</f>
        <v>1</v>
      </c>
      <c r="R110" s="6"/>
      <c r="S110" s="6"/>
    </row>
    <row r="111" spans="2:19" x14ac:dyDescent="0.15">
      <c r="D111" t="s">
        <v>285</v>
      </c>
      <c r="E111" s="9" t="s">
        <v>288</v>
      </c>
      <c r="F111" s="17" t="s">
        <v>283</v>
      </c>
      <c r="G111" s="7">
        <v>10</v>
      </c>
      <c r="I111" s="1" t="str">
        <f t="shared" ref="I111:I113" si="135">TESTadd(E111,F111,G111)</f>
        <v>10</v>
      </c>
      <c r="M111" s="1" t="s">
        <v>15</v>
      </c>
      <c r="Q111" s="1" t="b">
        <f t="shared" si="134"/>
        <v>1</v>
      </c>
      <c r="R111" s="6"/>
      <c r="S111" s="6"/>
    </row>
    <row r="112" spans="2:19" x14ac:dyDescent="0.15">
      <c r="D112" t="s">
        <v>286</v>
      </c>
      <c r="E112" s="9" t="s">
        <v>99</v>
      </c>
      <c r="F112" s="17" t="s">
        <v>99</v>
      </c>
      <c r="G112">
        <v>16</v>
      </c>
      <c r="I112" s="1" t="str">
        <f t="shared" si="135"/>
        <v>1E</v>
      </c>
      <c r="M112" s="1" t="s">
        <v>256</v>
      </c>
      <c r="Q112" s="1" t="b">
        <f t="shared" si="134"/>
        <v>1</v>
      </c>
      <c r="R112" s="6"/>
      <c r="S112" s="6"/>
    </row>
    <row r="113" spans="2:19" x14ac:dyDescent="0.15">
      <c r="D113" t="s">
        <v>287</v>
      </c>
      <c r="E113" s="9" t="s">
        <v>289</v>
      </c>
      <c r="F113" s="17" t="s">
        <v>290</v>
      </c>
      <c r="G113">
        <v>16</v>
      </c>
      <c r="I113" s="1" t="str">
        <f t="shared" si="135"/>
        <v>10</v>
      </c>
      <c r="M113" s="1" t="s">
        <v>15</v>
      </c>
      <c r="Q113" s="1" t="b">
        <f t="shared" si="134"/>
        <v>1</v>
      </c>
      <c r="R113" s="6"/>
      <c r="S113" s="6"/>
    </row>
    <row r="114" spans="2:19" x14ac:dyDescent="0.15">
      <c r="B114" s="6"/>
      <c r="C114" s="2" t="s">
        <v>238</v>
      </c>
      <c r="D114" s="2" t="s">
        <v>220</v>
      </c>
      <c r="E114" s="11" t="s">
        <v>248</v>
      </c>
      <c r="F114" s="13" t="s">
        <v>259</v>
      </c>
      <c r="G114" s="2">
        <v>2</v>
      </c>
      <c r="H114" s="2"/>
      <c r="I114" s="3" t="str">
        <f t="shared" ref="I114" si="136">TESTadd(E114,F114,G114)</f>
        <v>01</v>
      </c>
      <c r="J114" s="2"/>
      <c r="K114" s="2"/>
      <c r="L114" s="2"/>
      <c r="M114" s="3" t="s">
        <v>248</v>
      </c>
      <c r="N114" s="2"/>
      <c r="O114" s="2"/>
      <c r="P114" s="2"/>
      <c r="Q114" s="3" t="b">
        <f t="shared" ref="Q114:Q116" si="137">getText(I114)=getText(M114)</f>
        <v>1</v>
      </c>
      <c r="R114" s="6"/>
      <c r="S114" s="6"/>
    </row>
    <row r="115" spans="2:19" x14ac:dyDescent="0.15">
      <c r="D115" t="s">
        <v>221</v>
      </c>
      <c r="E115" s="9" t="s">
        <v>250</v>
      </c>
      <c r="F115" s="17" t="s">
        <v>259</v>
      </c>
      <c r="G115">
        <v>10</v>
      </c>
      <c r="I115" s="1" t="str">
        <f t="shared" ref="I115" si="138">TESTadd(E115,F115,G115)</f>
        <v>09</v>
      </c>
      <c r="M115" s="1" t="s">
        <v>250</v>
      </c>
      <c r="Q115" s="1" t="b">
        <f t="shared" si="137"/>
        <v>1</v>
      </c>
      <c r="R115" s="6"/>
      <c r="S115" s="6"/>
    </row>
    <row r="116" spans="2:19" x14ac:dyDescent="0.15">
      <c r="D116" t="s">
        <v>222</v>
      </c>
      <c r="E116" s="9" t="s">
        <v>253</v>
      </c>
      <c r="F116" s="17" t="s">
        <v>247</v>
      </c>
      <c r="G116">
        <v>16</v>
      </c>
      <c r="I116" s="1" t="str">
        <f t="shared" ref="I116" si="139">TESTadd(E116,F116,G116)</f>
        <v>0F</v>
      </c>
      <c r="M116" s="1" t="s">
        <v>253</v>
      </c>
      <c r="Q116" s="1" t="b">
        <f t="shared" si="137"/>
        <v>1</v>
      </c>
      <c r="R116" s="6"/>
      <c r="S116" s="6"/>
    </row>
    <row r="117" spans="2:19" x14ac:dyDescent="0.15">
      <c r="C117" s="2" t="s">
        <v>239</v>
      </c>
      <c r="D117" s="2" t="s">
        <v>220</v>
      </c>
      <c r="E117" s="11" t="s">
        <v>249</v>
      </c>
      <c r="F117" s="13" t="s">
        <v>249</v>
      </c>
      <c r="G117" s="2">
        <v>2</v>
      </c>
      <c r="H117" s="2"/>
      <c r="I117" s="3" t="str">
        <f t="shared" ref="I117" si="140">TESTadd(E117,F117,G117)</f>
        <v>10</v>
      </c>
      <c r="J117" s="2"/>
      <c r="K117" s="2"/>
      <c r="L117" s="2"/>
      <c r="M117" s="3" t="s">
        <v>15</v>
      </c>
      <c r="N117" s="2"/>
      <c r="O117" s="2"/>
      <c r="P117" s="2"/>
      <c r="Q117" s="3" t="b">
        <f t="shared" ref="Q117:Q119" si="141">getText(I117)=getText(M117)</f>
        <v>1</v>
      </c>
      <c r="R117" s="6"/>
      <c r="S117" s="6"/>
    </row>
    <row r="118" spans="2:19" x14ac:dyDescent="0.15">
      <c r="D118" t="s">
        <v>221</v>
      </c>
      <c r="E118" s="9" t="s">
        <v>251</v>
      </c>
      <c r="F118" s="17" t="s">
        <v>252</v>
      </c>
      <c r="G118">
        <v>10</v>
      </c>
      <c r="I118" s="1" t="str">
        <f t="shared" ref="I118" si="142">TESTadd(E118,F118,G118)</f>
        <v>18</v>
      </c>
      <c r="M118" s="1" t="s">
        <v>255</v>
      </c>
      <c r="Q118" s="1" t="b">
        <f t="shared" si="141"/>
        <v>1</v>
      </c>
      <c r="R118" s="6"/>
      <c r="S118" s="6"/>
    </row>
    <row r="119" spans="2:19" x14ac:dyDescent="0.15">
      <c r="D119" t="s">
        <v>222</v>
      </c>
      <c r="E119" s="9" t="s">
        <v>254</v>
      </c>
      <c r="F119" s="17" t="s">
        <v>254</v>
      </c>
      <c r="G119">
        <v>16</v>
      </c>
      <c r="I119" s="1" t="str">
        <f t="shared" ref="I119" si="143">TESTadd(E119,F119,G119)</f>
        <v>1E</v>
      </c>
      <c r="M119" s="1" t="s">
        <v>256</v>
      </c>
      <c r="Q119" s="1" t="b">
        <f t="shared" si="141"/>
        <v>1</v>
      </c>
      <c r="R119" s="6"/>
      <c r="S119" s="6"/>
    </row>
    <row r="120" spans="2:19" x14ac:dyDescent="0.15">
      <c r="C120" s="2" t="s">
        <v>240</v>
      </c>
      <c r="D120" s="2" t="s">
        <v>220</v>
      </c>
      <c r="E120" s="11" t="s">
        <v>248</v>
      </c>
      <c r="F120" s="13" t="s">
        <v>257</v>
      </c>
      <c r="G120" s="2">
        <v>2</v>
      </c>
      <c r="H120" s="2"/>
      <c r="I120" s="3" t="str">
        <f t="shared" ref="I120:I122" si="144">TESTadd(E120,F120,G120)</f>
        <v>11</v>
      </c>
      <c r="J120" s="2"/>
      <c r="K120" s="2"/>
      <c r="L120" s="2"/>
      <c r="M120" s="3" t="s">
        <v>18</v>
      </c>
      <c r="N120" s="2"/>
      <c r="O120" s="2"/>
      <c r="P120" s="2"/>
      <c r="Q120" s="3" t="b">
        <f t="shared" ref="Q120:Q122" si="145">getText(I120)=getText(M120)</f>
        <v>1</v>
      </c>
      <c r="R120" s="6"/>
      <c r="S120" s="6"/>
    </row>
    <row r="121" spans="2:19" x14ac:dyDescent="0.15">
      <c r="D121" t="s">
        <v>221</v>
      </c>
      <c r="E121" s="9" t="s">
        <v>250</v>
      </c>
      <c r="F121" s="17" t="s">
        <v>260</v>
      </c>
      <c r="G121">
        <v>10</v>
      </c>
      <c r="I121" s="1" t="str">
        <f t="shared" si="144"/>
        <v>99</v>
      </c>
      <c r="M121" s="1" t="s">
        <v>228</v>
      </c>
      <c r="Q121" s="1" t="b">
        <f t="shared" si="145"/>
        <v>1</v>
      </c>
      <c r="R121" s="6"/>
      <c r="S121" s="6"/>
    </row>
    <row r="122" spans="2:19" x14ac:dyDescent="0.15">
      <c r="D122" t="s">
        <v>222</v>
      </c>
      <c r="E122" s="9" t="s">
        <v>253</v>
      </c>
      <c r="F122" s="17" t="s">
        <v>261</v>
      </c>
      <c r="G122">
        <v>16</v>
      </c>
      <c r="I122" s="1" t="str">
        <f t="shared" si="144"/>
        <v>FF</v>
      </c>
      <c r="M122" s="1" t="s">
        <v>22</v>
      </c>
      <c r="Q122" s="1" t="b">
        <f t="shared" si="145"/>
        <v>1</v>
      </c>
      <c r="R122" s="6"/>
      <c r="S122" s="6"/>
    </row>
    <row r="123" spans="2:19" x14ac:dyDescent="0.15">
      <c r="C123" s="2" t="s">
        <v>241</v>
      </c>
      <c r="D123" s="2" t="s">
        <v>220</v>
      </c>
      <c r="E123" s="11" t="s">
        <v>249</v>
      </c>
      <c r="F123" s="13" t="s">
        <v>226</v>
      </c>
      <c r="G123" s="2">
        <v>2</v>
      </c>
      <c r="H123" s="2"/>
      <c r="I123" s="3" t="str">
        <f t="shared" ref="I123:I125" si="146">TESTadd(E123,F123,G123)</f>
        <v>100</v>
      </c>
      <c r="J123" s="2"/>
      <c r="K123" s="2"/>
      <c r="L123" s="2"/>
      <c r="M123" s="3" t="s">
        <v>21</v>
      </c>
      <c r="N123" s="2"/>
      <c r="O123" s="2"/>
      <c r="P123" s="2"/>
      <c r="Q123" s="3" t="b">
        <f t="shared" ref="Q123:Q125" si="147">getText(I123)=getText(M123)</f>
        <v>1</v>
      </c>
      <c r="R123" s="6"/>
      <c r="S123" s="6"/>
    </row>
    <row r="124" spans="2:19" x14ac:dyDescent="0.15">
      <c r="C124" s="6"/>
      <c r="D124" s="6" t="s">
        <v>221</v>
      </c>
      <c r="E124" s="9" t="s">
        <v>251</v>
      </c>
      <c r="F124" s="14" t="s">
        <v>262</v>
      </c>
      <c r="G124" s="6">
        <v>10</v>
      </c>
      <c r="H124" s="6"/>
      <c r="I124" s="1" t="str">
        <f t="shared" si="146"/>
        <v>108</v>
      </c>
      <c r="J124" s="6"/>
      <c r="K124" s="6"/>
      <c r="L124" s="6"/>
      <c r="M124" s="1" t="s">
        <v>263</v>
      </c>
      <c r="N124" s="6"/>
      <c r="O124" s="6"/>
      <c r="P124" s="6"/>
      <c r="Q124" s="1" t="b">
        <f t="shared" si="147"/>
        <v>1</v>
      </c>
      <c r="R124" s="6"/>
      <c r="S124" s="6"/>
    </row>
    <row r="125" spans="2:19" x14ac:dyDescent="0.15">
      <c r="D125" t="s">
        <v>222</v>
      </c>
      <c r="E125" s="9" t="s">
        <v>254</v>
      </c>
      <c r="F125" s="17" t="s">
        <v>231</v>
      </c>
      <c r="G125">
        <v>16</v>
      </c>
      <c r="I125" s="1" t="str">
        <f t="shared" si="146"/>
        <v>10E</v>
      </c>
      <c r="M125" s="1" t="s">
        <v>264</v>
      </c>
      <c r="Q125" s="1" t="b">
        <f t="shared" si="147"/>
        <v>1</v>
      </c>
      <c r="R125" s="6"/>
      <c r="S125" s="6"/>
    </row>
    <row r="126" spans="2:19" x14ac:dyDescent="0.15">
      <c r="C126" s="2" t="s">
        <v>242</v>
      </c>
      <c r="D126" s="2" t="s">
        <v>220</v>
      </c>
      <c r="E126" s="11" t="s">
        <v>276</v>
      </c>
      <c r="F126" s="13" t="s">
        <v>258</v>
      </c>
      <c r="G126" s="2">
        <v>2</v>
      </c>
      <c r="H126" s="2"/>
      <c r="I126" s="3" t="str">
        <f t="shared" ref="I126:I128" si="148">TESTadd(E126,F126,G126)</f>
        <v>100</v>
      </c>
      <c r="J126" s="2"/>
      <c r="K126" s="2"/>
      <c r="L126" s="2"/>
      <c r="M126" s="3" t="s">
        <v>21</v>
      </c>
      <c r="N126" s="2"/>
      <c r="O126" s="2"/>
      <c r="P126" s="2"/>
      <c r="Q126" s="3" t="b">
        <f t="shared" ref="Q126:Q128" si="149">getText(I126)=getText(M126)</f>
        <v>1</v>
      </c>
      <c r="R126" s="6"/>
      <c r="S126" s="6"/>
    </row>
    <row r="127" spans="2:19" x14ac:dyDescent="0.15">
      <c r="C127" s="6"/>
      <c r="D127" s="6" t="s">
        <v>221</v>
      </c>
      <c r="E127" s="9" t="s">
        <v>262</v>
      </c>
      <c r="F127" s="14" t="s">
        <v>251</v>
      </c>
      <c r="G127" s="6">
        <v>10</v>
      </c>
      <c r="H127" s="6"/>
      <c r="I127" s="1" t="str">
        <f t="shared" si="148"/>
        <v>108</v>
      </c>
      <c r="J127" s="6"/>
      <c r="K127" s="6"/>
      <c r="L127" s="6"/>
      <c r="M127" s="1" t="s">
        <v>263</v>
      </c>
      <c r="N127" s="6"/>
      <c r="O127" s="6"/>
      <c r="P127" s="6"/>
      <c r="Q127" s="1" t="b">
        <f t="shared" si="149"/>
        <v>1</v>
      </c>
      <c r="R127" s="6"/>
      <c r="S127" s="6"/>
    </row>
    <row r="128" spans="2:19" x14ac:dyDescent="0.15">
      <c r="C128" s="6"/>
      <c r="D128" s="6" t="s">
        <v>222</v>
      </c>
      <c r="E128" s="9" t="s">
        <v>231</v>
      </c>
      <c r="F128" s="14" t="s">
        <v>254</v>
      </c>
      <c r="G128" s="6">
        <v>16</v>
      </c>
      <c r="H128" s="6"/>
      <c r="I128" s="1" t="str">
        <f t="shared" si="148"/>
        <v>10E</v>
      </c>
      <c r="J128" s="6"/>
      <c r="K128" s="6"/>
      <c r="L128" s="6"/>
      <c r="M128" s="1" t="s">
        <v>264</v>
      </c>
      <c r="N128" s="6"/>
      <c r="O128" s="6"/>
      <c r="P128" s="6"/>
      <c r="Q128" s="1" t="b">
        <f t="shared" si="149"/>
        <v>1</v>
      </c>
      <c r="R128" s="6"/>
      <c r="S128" s="6"/>
    </row>
    <row r="129" spans="1:19" x14ac:dyDescent="0.15">
      <c r="C129" s="2" t="s">
        <v>243</v>
      </c>
      <c r="D129" s="2" t="s">
        <v>220</v>
      </c>
      <c r="E129" s="11" t="s">
        <v>276</v>
      </c>
      <c r="F129" s="13" t="s">
        <v>258</v>
      </c>
      <c r="G129" s="2">
        <v>2</v>
      </c>
      <c r="H129" s="2"/>
      <c r="I129" s="3" t="str">
        <f t="shared" ref="I129:I131" si="150">TESTadd(E129,F129,G129)</f>
        <v>100</v>
      </c>
      <c r="J129" s="2"/>
      <c r="K129" s="2"/>
      <c r="L129" s="2"/>
      <c r="M129" s="3" t="s">
        <v>21</v>
      </c>
      <c r="N129" s="2"/>
      <c r="O129" s="2"/>
      <c r="P129" s="2"/>
      <c r="Q129" s="3" t="b">
        <f t="shared" ref="Q129:Q131" si="151">getText(I129)=getText(M129)</f>
        <v>1</v>
      </c>
      <c r="R129" s="6"/>
      <c r="S129" s="6"/>
    </row>
    <row r="130" spans="1:19" x14ac:dyDescent="0.15">
      <c r="C130" s="6"/>
      <c r="D130" s="6" t="s">
        <v>221</v>
      </c>
      <c r="E130" s="9" t="s">
        <v>262</v>
      </c>
      <c r="F130" s="14" t="s">
        <v>251</v>
      </c>
      <c r="G130" s="6">
        <v>10</v>
      </c>
      <c r="H130" s="6"/>
      <c r="I130" s="1" t="str">
        <f t="shared" si="150"/>
        <v>108</v>
      </c>
      <c r="J130" s="6"/>
      <c r="K130" s="6"/>
      <c r="L130" s="6"/>
      <c r="M130" s="1" t="s">
        <v>263</v>
      </c>
      <c r="N130" s="6"/>
      <c r="O130" s="6"/>
      <c r="P130" s="6"/>
      <c r="Q130" s="1" t="b">
        <f t="shared" si="151"/>
        <v>1</v>
      </c>
      <c r="R130" s="6"/>
      <c r="S130" s="6"/>
    </row>
    <row r="131" spans="1:19" x14ac:dyDescent="0.15">
      <c r="C131" s="6"/>
      <c r="D131" s="6" t="s">
        <v>222</v>
      </c>
      <c r="E131" s="9" t="s">
        <v>231</v>
      </c>
      <c r="F131" s="14" t="s">
        <v>254</v>
      </c>
      <c r="G131" s="6">
        <v>16</v>
      </c>
      <c r="H131" s="6"/>
      <c r="I131" s="1" t="str">
        <f t="shared" si="150"/>
        <v>10E</v>
      </c>
      <c r="J131" s="6"/>
      <c r="K131" s="6"/>
      <c r="L131" s="6"/>
      <c r="M131" s="1" t="s">
        <v>264</v>
      </c>
      <c r="N131" s="6"/>
      <c r="O131" s="6"/>
      <c r="P131" s="6"/>
      <c r="Q131" s="1" t="b">
        <f t="shared" si="151"/>
        <v>1</v>
      </c>
      <c r="R131" s="6"/>
      <c r="S131" s="6"/>
    </row>
    <row r="132" spans="1:19" x14ac:dyDescent="0.15">
      <c r="C132" s="2" t="s">
        <v>244</v>
      </c>
      <c r="D132" s="2" t="s">
        <v>220</v>
      </c>
      <c r="E132" s="11" t="s">
        <v>276</v>
      </c>
      <c r="F132" s="13" t="s">
        <v>277</v>
      </c>
      <c r="G132" s="2">
        <v>2</v>
      </c>
      <c r="H132" s="2"/>
      <c r="I132" s="3" t="str">
        <f t="shared" ref="I132:I134" si="152">TESTadd(E132,F132,G132)</f>
        <v>101</v>
      </c>
      <c r="J132" s="2"/>
      <c r="K132" s="2"/>
      <c r="L132" s="2"/>
      <c r="M132" s="3" t="s">
        <v>280</v>
      </c>
      <c r="N132" s="2"/>
      <c r="O132" s="2"/>
      <c r="P132" s="2"/>
      <c r="Q132" s="3" t="b">
        <f t="shared" ref="Q132:Q134" si="153">getText(I132)=getText(M132)</f>
        <v>1</v>
      </c>
      <c r="R132" s="6"/>
      <c r="S132" s="6"/>
    </row>
    <row r="133" spans="1:19" x14ac:dyDescent="0.15">
      <c r="C133" s="6"/>
      <c r="D133" s="6" t="s">
        <v>221</v>
      </c>
      <c r="E133" s="9" t="s">
        <v>262</v>
      </c>
      <c r="F133" s="14" t="s">
        <v>278</v>
      </c>
      <c r="G133" s="6">
        <v>10</v>
      </c>
      <c r="H133" s="6"/>
      <c r="I133" s="1" t="str">
        <f t="shared" si="152"/>
        <v>189</v>
      </c>
      <c r="J133" s="6"/>
      <c r="K133" s="6"/>
      <c r="L133" s="6"/>
      <c r="M133" s="1" t="s">
        <v>281</v>
      </c>
      <c r="N133" s="6"/>
      <c r="O133" s="6"/>
      <c r="P133" s="6"/>
      <c r="Q133" s="1" t="b">
        <f t="shared" si="153"/>
        <v>1</v>
      </c>
      <c r="R133" s="6"/>
      <c r="S133" s="6"/>
    </row>
    <row r="134" spans="1:19" x14ac:dyDescent="0.15">
      <c r="C134" s="6"/>
      <c r="D134" s="6" t="s">
        <v>222</v>
      </c>
      <c r="E134" s="9" t="s">
        <v>231</v>
      </c>
      <c r="F134" s="14" t="s">
        <v>279</v>
      </c>
      <c r="G134" s="6">
        <v>16</v>
      </c>
      <c r="H134" s="6"/>
      <c r="I134" s="1" t="str">
        <f t="shared" si="152"/>
        <v>1EF</v>
      </c>
      <c r="J134" s="6"/>
      <c r="K134" s="6"/>
      <c r="L134" s="6"/>
      <c r="M134" s="1" t="s">
        <v>282</v>
      </c>
      <c r="N134" s="6"/>
      <c r="O134" s="6"/>
      <c r="P134" s="6"/>
      <c r="Q134" s="1" t="b">
        <f t="shared" si="153"/>
        <v>1</v>
      </c>
      <c r="R134" s="6"/>
      <c r="S134" s="6"/>
    </row>
    <row r="135" spans="1:19" x14ac:dyDescent="0.15">
      <c r="C135" s="2" t="s">
        <v>245</v>
      </c>
      <c r="D135" s="2" t="s">
        <v>220</v>
      </c>
      <c r="E135" s="11" t="s">
        <v>276</v>
      </c>
      <c r="F135" s="13" t="s">
        <v>276</v>
      </c>
      <c r="G135" s="2">
        <v>2</v>
      </c>
      <c r="H135" s="2"/>
      <c r="I135" s="3" t="str">
        <f t="shared" ref="I135:I137" si="154">TESTadd(E135,F135,G135)</f>
        <v>110</v>
      </c>
      <c r="J135" s="2"/>
      <c r="K135" s="2"/>
      <c r="L135" s="2"/>
      <c r="M135" s="3" t="s">
        <v>291</v>
      </c>
      <c r="N135" s="2"/>
      <c r="O135" s="2"/>
      <c r="P135" s="2"/>
      <c r="Q135" s="3" t="b">
        <f t="shared" ref="Q135:Q161" si="155">getText(I135)=getText(M135)</f>
        <v>1</v>
      </c>
      <c r="R135" s="6"/>
      <c r="S135" s="6"/>
    </row>
    <row r="136" spans="1:19" x14ac:dyDescent="0.15">
      <c r="C136" s="6"/>
      <c r="D136" s="6" t="s">
        <v>221</v>
      </c>
      <c r="E136" s="9" t="s">
        <v>262</v>
      </c>
      <c r="F136" s="14" t="s">
        <v>262</v>
      </c>
      <c r="G136" s="6">
        <v>10</v>
      </c>
      <c r="H136" s="6"/>
      <c r="I136" s="1" t="str">
        <f t="shared" si="154"/>
        <v>198</v>
      </c>
      <c r="J136" s="6"/>
      <c r="K136" s="6"/>
      <c r="L136" s="6"/>
      <c r="M136" s="1" t="s">
        <v>292</v>
      </c>
      <c r="N136" s="6"/>
      <c r="O136" s="6"/>
      <c r="P136" s="6"/>
      <c r="Q136" s="1" t="b">
        <f t="shared" si="155"/>
        <v>1</v>
      </c>
      <c r="R136" s="6"/>
      <c r="S136" s="6"/>
    </row>
    <row r="137" spans="1:19" x14ac:dyDescent="0.15">
      <c r="C137" s="6"/>
      <c r="D137" s="6" t="s">
        <v>222</v>
      </c>
      <c r="E137" s="9" t="s">
        <v>231</v>
      </c>
      <c r="F137" s="14" t="s">
        <v>231</v>
      </c>
      <c r="G137" s="6">
        <v>16</v>
      </c>
      <c r="H137" s="6"/>
      <c r="I137" s="1" t="str">
        <f t="shared" si="154"/>
        <v>1FE</v>
      </c>
      <c r="J137" s="6"/>
      <c r="K137" s="6"/>
      <c r="L137" s="6"/>
      <c r="M137" s="1" t="s">
        <v>293</v>
      </c>
      <c r="N137" s="6"/>
      <c r="O137" s="6"/>
      <c r="P137" s="6"/>
      <c r="Q137" s="1" t="b">
        <f t="shared" si="155"/>
        <v>1</v>
      </c>
      <c r="R137" s="6"/>
      <c r="S137" s="6"/>
    </row>
    <row r="138" spans="1:19" x14ac:dyDescent="0.15">
      <c r="A138" s="2" t="s">
        <v>477</v>
      </c>
      <c r="B138" s="2" t="s">
        <v>213</v>
      </c>
      <c r="C138" s="2" t="s">
        <v>214</v>
      </c>
      <c r="D138" s="2"/>
      <c r="E138" s="11">
        <v>0</v>
      </c>
      <c r="F138" s="13">
        <v>0</v>
      </c>
      <c r="G138" s="2">
        <v>2</v>
      </c>
      <c r="H138" s="2"/>
      <c r="I138" s="3" t="str">
        <f>TESTsubtract(E138,F138,G138)</f>
        <v>0</v>
      </c>
      <c r="J138" s="2" t="b">
        <f>TESTsubtractByRef1(E138,F138,G138)</f>
        <v>0</v>
      </c>
      <c r="K138" s="2"/>
      <c r="L138" s="2"/>
      <c r="M138" s="3" t="s">
        <v>14</v>
      </c>
      <c r="N138" s="2" t="b">
        <v>0</v>
      </c>
      <c r="O138" s="2"/>
      <c r="P138" s="2"/>
      <c r="Q138" s="3" t="b">
        <f t="shared" si="155"/>
        <v>1</v>
      </c>
      <c r="R138" s="2" t="b">
        <f t="shared" ref="R138:R161" si="156">getText(J138)=getText(N138)</f>
        <v>1</v>
      </c>
      <c r="S138" s="6"/>
    </row>
    <row r="139" spans="1:19" x14ac:dyDescent="0.15">
      <c r="C139" t="s">
        <v>215</v>
      </c>
      <c r="D139" s="6"/>
      <c r="E139" s="9">
        <v>0</v>
      </c>
      <c r="F139" s="17" t="s">
        <v>217</v>
      </c>
      <c r="G139">
        <v>2</v>
      </c>
      <c r="H139" s="6"/>
      <c r="I139" s="1" t="str">
        <f t="shared" ref="I139:I140" si="157">TESTsubtract(E139,F139,G139)</f>
        <v>00</v>
      </c>
      <c r="J139" s="6" t="b">
        <f t="shared" ref="J139:J140" si="158">TESTsubtractByRef1(E139,F139,G139)</f>
        <v>0</v>
      </c>
      <c r="K139" s="6"/>
      <c r="L139" s="6"/>
      <c r="M139" s="1" t="s">
        <v>98</v>
      </c>
      <c r="N139" s="6" t="b">
        <v>0</v>
      </c>
      <c r="O139" s="6"/>
      <c r="P139" s="6"/>
      <c r="Q139" s="1" t="b">
        <f t="shared" si="155"/>
        <v>1</v>
      </c>
      <c r="R139" s="6" t="b">
        <f t="shared" si="156"/>
        <v>1</v>
      </c>
      <c r="S139" s="6"/>
    </row>
    <row r="140" spans="1:19" x14ac:dyDescent="0.15">
      <c r="C140" t="s">
        <v>216</v>
      </c>
      <c r="D140" s="6"/>
      <c r="E140" s="9" t="s">
        <v>217</v>
      </c>
      <c r="F140" s="17" t="s">
        <v>121</v>
      </c>
      <c r="G140">
        <v>2</v>
      </c>
      <c r="H140" s="6"/>
      <c r="I140" s="1" t="str">
        <f t="shared" si="157"/>
        <v>00</v>
      </c>
      <c r="J140" s="6" t="b">
        <f t="shared" si="158"/>
        <v>0</v>
      </c>
      <c r="K140" s="6"/>
      <c r="L140" s="6"/>
      <c r="M140" s="1" t="s">
        <v>98</v>
      </c>
      <c r="N140" s="6" t="b">
        <v>0</v>
      </c>
      <c r="O140" s="6"/>
      <c r="P140" s="6"/>
      <c r="Q140" s="1" t="b">
        <f t="shared" si="155"/>
        <v>1</v>
      </c>
      <c r="R140" s="6" t="b">
        <f t="shared" si="156"/>
        <v>1</v>
      </c>
      <c r="S140" s="6"/>
    </row>
    <row r="141" spans="1:19" x14ac:dyDescent="0.15">
      <c r="B141" s="2" t="s">
        <v>478</v>
      </c>
      <c r="C141" s="2" t="s">
        <v>219</v>
      </c>
      <c r="D141" s="2" t="s">
        <v>46</v>
      </c>
      <c r="E141" s="11" t="s">
        <v>479</v>
      </c>
      <c r="F141" s="13" t="s">
        <v>480</v>
      </c>
      <c r="G141" s="2">
        <v>2</v>
      </c>
      <c r="H141" s="2"/>
      <c r="I141" s="3" t="str">
        <f t="shared" ref="I141" si="159">TESTsubtract(E141,F141,G141)</f>
        <v>0</v>
      </c>
      <c r="J141" s="2" t="b">
        <f t="shared" ref="J141" si="160">TESTsubtractByRef1(E141,F141,G141)</f>
        <v>0</v>
      </c>
      <c r="K141" s="2"/>
      <c r="L141" s="2"/>
      <c r="M141" s="3" t="s">
        <v>14</v>
      </c>
      <c r="N141" s="2" t="b">
        <v>0</v>
      </c>
      <c r="O141" s="2"/>
      <c r="P141" s="2"/>
      <c r="Q141" s="3" t="b">
        <f t="shared" si="155"/>
        <v>1</v>
      </c>
      <c r="R141" s="2" t="b">
        <f t="shared" si="156"/>
        <v>1</v>
      </c>
      <c r="S141" s="6"/>
    </row>
    <row r="142" spans="1:19" x14ac:dyDescent="0.15">
      <c r="D142" t="s">
        <v>47</v>
      </c>
      <c r="E142" s="9" t="s">
        <v>481</v>
      </c>
      <c r="F142" s="14" t="s">
        <v>481</v>
      </c>
      <c r="G142">
        <v>10</v>
      </c>
      <c r="H142" s="6"/>
      <c r="I142" s="1" t="str">
        <f t="shared" ref="I142" si="161">TESTsubtract(E142,F142,G142)</f>
        <v>0</v>
      </c>
      <c r="J142" s="6" t="b">
        <f t="shared" ref="J142" si="162">TESTsubtractByRef1(E142,F142,G142)</f>
        <v>0</v>
      </c>
      <c r="K142" s="6"/>
      <c r="L142" s="6"/>
      <c r="M142" s="1" t="s">
        <v>14</v>
      </c>
      <c r="N142" s="6" t="b">
        <v>0</v>
      </c>
      <c r="O142" s="6"/>
      <c r="P142" s="6"/>
      <c r="Q142" s="1" t="b">
        <f t="shared" si="155"/>
        <v>1</v>
      </c>
      <c r="R142" s="6" t="b">
        <f t="shared" si="156"/>
        <v>1</v>
      </c>
      <c r="S142" s="6"/>
    </row>
    <row r="143" spans="1:19" x14ac:dyDescent="0.15">
      <c r="D143" t="s">
        <v>49</v>
      </c>
      <c r="E143" s="9" t="s">
        <v>482</v>
      </c>
      <c r="F143" s="14" t="s">
        <v>482</v>
      </c>
      <c r="G143">
        <v>16</v>
      </c>
      <c r="H143" s="6"/>
      <c r="I143" s="1" t="str">
        <f t="shared" ref="I143:I146" si="163">TESTsubtract(E143,F143,G143)</f>
        <v>0</v>
      </c>
      <c r="J143" s="6" t="b">
        <f t="shared" ref="J143:J146" si="164">TESTsubtractByRef1(E143,F143,G143)</f>
        <v>0</v>
      </c>
      <c r="K143" s="6"/>
      <c r="L143" s="6"/>
      <c r="M143" s="1" t="s">
        <v>14</v>
      </c>
      <c r="N143" s="6" t="b">
        <v>0</v>
      </c>
      <c r="O143" s="6"/>
      <c r="P143" s="6"/>
      <c r="Q143" s="1" t="b">
        <f t="shared" si="155"/>
        <v>1</v>
      </c>
      <c r="R143" s="6" t="b">
        <f t="shared" si="156"/>
        <v>1</v>
      </c>
      <c r="S143" s="6"/>
    </row>
    <row r="144" spans="1:19" x14ac:dyDescent="0.15">
      <c r="C144" s="2" t="s">
        <v>224</v>
      </c>
      <c r="D144" s="2" t="s">
        <v>46</v>
      </c>
      <c r="E144" s="11" t="s">
        <v>483</v>
      </c>
      <c r="F144" s="13" t="s">
        <v>484</v>
      </c>
      <c r="G144" s="2">
        <v>2</v>
      </c>
      <c r="H144" s="2"/>
      <c r="I144" s="3" t="str">
        <f t="shared" si="163"/>
        <v>01</v>
      </c>
      <c r="J144" s="2" t="b">
        <f t="shared" si="164"/>
        <v>0</v>
      </c>
      <c r="K144" s="2"/>
      <c r="L144" s="2"/>
      <c r="M144" s="3" t="s">
        <v>248</v>
      </c>
      <c r="N144" s="2" t="b">
        <v>0</v>
      </c>
      <c r="O144" s="2"/>
      <c r="P144" s="2"/>
      <c r="Q144" s="3" t="b">
        <f t="shared" si="155"/>
        <v>1</v>
      </c>
      <c r="R144" s="2" t="b">
        <f t="shared" si="156"/>
        <v>1</v>
      </c>
      <c r="S144" s="6"/>
    </row>
    <row r="145" spans="2:19" x14ac:dyDescent="0.15">
      <c r="D145" t="s">
        <v>47</v>
      </c>
      <c r="E145" s="9" t="s">
        <v>483</v>
      </c>
      <c r="F145" s="14" t="s">
        <v>479</v>
      </c>
      <c r="G145">
        <v>10</v>
      </c>
      <c r="H145" s="6"/>
      <c r="I145" s="1" t="str">
        <f t="shared" si="163"/>
        <v>09</v>
      </c>
      <c r="J145" s="6" t="b">
        <f t="shared" si="164"/>
        <v>0</v>
      </c>
      <c r="K145" s="6"/>
      <c r="L145" s="6"/>
      <c r="M145" s="1" t="s">
        <v>250</v>
      </c>
      <c r="N145" s="6" t="b">
        <v>0</v>
      </c>
      <c r="O145" s="6"/>
      <c r="P145" s="6"/>
      <c r="Q145" s="1" t="b">
        <f t="shared" si="155"/>
        <v>1</v>
      </c>
      <c r="R145" s="6" t="b">
        <f t="shared" si="156"/>
        <v>1</v>
      </c>
      <c r="S145" s="6"/>
    </row>
    <row r="146" spans="2:19" x14ac:dyDescent="0.15">
      <c r="D146" t="s">
        <v>49</v>
      </c>
      <c r="E146" s="9" t="s">
        <v>483</v>
      </c>
      <c r="F146" s="14" t="s">
        <v>479</v>
      </c>
      <c r="G146">
        <v>16</v>
      </c>
      <c r="H146" s="6"/>
      <c r="I146" s="1" t="str">
        <f t="shared" si="163"/>
        <v>0F</v>
      </c>
      <c r="J146" s="6" t="b">
        <f t="shared" si="164"/>
        <v>0</v>
      </c>
      <c r="K146" s="6"/>
      <c r="L146" s="6"/>
      <c r="M146" s="1" t="s">
        <v>253</v>
      </c>
      <c r="N146" s="6" t="b">
        <v>0</v>
      </c>
      <c r="O146" s="6"/>
      <c r="P146" s="6"/>
      <c r="Q146" s="1" t="b">
        <f t="shared" si="155"/>
        <v>1</v>
      </c>
      <c r="R146" s="6" t="b">
        <f t="shared" si="156"/>
        <v>1</v>
      </c>
      <c r="S146" s="6"/>
    </row>
    <row r="147" spans="2:19" x14ac:dyDescent="0.15">
      <c r="C147" s="2" t="s">
        <v>225</v>
      </c>
      <c r="D147" s="2" t="s">
        <v>46</v>
      </c>
      <c r="E147" s="11" t="s">
        <v>485</v>
      </c>
      <c r="F147" s="13" t="s">
        <v>479</v>
      </c>
      <c r="G147" s="2">
        <v>2</v>
      </c>
      <c r="H147" s="2"/>
      <c r="I147" s="3" t="str">
        <f t="shared" ref="I147:I149" si="165">TESTsubtract(E147,F147,G147)</f>
        <v>011</v>
      </c>
      <c r="J147" s="2" t="b">
        <f t="shared" ref="J147:J149" si="166">TESTsubtractByRef1(E147,F147,G147)</f>
        <v>0</v>
      </c>
      <c r="K147" s="2"/>
      <c r="L147" s="2"/>
      <c r="M147" s="3" t="s">
        <v>78</v>
      </c>
      <c r="N147" s="2" t="b">
        <v>0</v>
      </c>
      <c r="O147" s="2"/>
      <c r="P147" s="2"/>
      <c r="Q147" s="3" t="b">
        <f t="shared" si="155"/>
        <v>1</v>
      </c>
      <c r="R147" s="2" t="b">
        <f t="shared" si="156"/>
        <v>1</v>
      </c>
      <c r="S147" s="6"/>
    </row>
    <row r="148" spans="2:19" x14ac:dyDescent="0.15">
      <c r="C148" s="6"/>
      <c r="D148" s="6" t="s">
        <v>47</v>
      </c>
      <c r="E148" s="9" t="s">
        <v>21</v>
      </c>
      <c r="F148" s="14" t="s">
        <v>486</v>
      </c>
      <c r="G148" s="6">
        <v>10</v>
      </c>
      <c r="H148" s="6"/>
      <c r="I148" s="1" t="str">
        <f t="shared" si="165"/>
        <v>099</v>
      </c>
      <c r="J148" s="6" t="b">
        <f t="shared" si="166"/>
        <v>0</v>
      </c>
      <c r="K148" s="6"/>
      <c r="L148" s="6"/>
      <c r="M148" s="1" t="s">
        <v>154</v>
      </c>
      <c r="N148" s="6" t="b">
        <v>0</v>
      </c>
      <c r="O148" s="6"/>
      <c r="P148" s="6"/>
      <c r="Q148" s="1" t="b">
        <f t="shared" si="155"/>
        <v>1</v>
      </c>
      <c r="R148" s="6" t="b">
        <f t="shared" si="156"/>
        <v>1</v>
      </c>
      <c r="S148" s="6"/>
    </row>
    <row r="149" spans="2:19" x14ac:dyDescent="0.15">
      <c r="D149" t="s">
        <v>49</v>
      </c>
      <c r="E149" s="9" t="s">
        <v>21</v>
      </c>
      <c r="F149" s="14" t="s">
        <v>479</v>
      </c>
      <c r="G149">
        <v>16</v>
      </c>
      <c r="H149" s="6"/>
      <c r="I149" s="1" t="str">
        <f t="shared" si="165"/>
        <v>0FF</v>
      </c>
      <c r="J149" s="6" t="b">
        <f t="shared" si="166"/>
        <v>0</v>
      </c>
      <c r="K149" s="6"/>
      <c r="L149" s="6"/>
      <c r="M149" s="1" t="s">
        <v>157</v>
      </c>
      <c r="N149" s="6" t="b">
        <v>0</v>
      </c>
      <c r="O149" s="6"/>
      <c r="P149" s="6"/>
      <c r="Q149" s="1" t="b">
        <f t="shared" si="155"/>
        <v>1</v>
      </c>
      <c r="R149" s="6" t="b">
        <f t="shared" si="156"/>
        <v>1</v>
      </c>
      <c r="S149" s="6"/>
    </row>
    <row r="150" spans="2:19" x14ac:dyDescent="0.15">
      <c r="B150" s="2" t="s">
        <v>487</v>
      </c>
      <c r="C150" s="2" t="s">
        <v>488</v>
      </c>
      <c r="D150" s="2" t="s">
        <v>46</v>
      </c>
      <c r="E150" s="11" t="s">
        <v>491</v>
      </c>
      <c r="F150" s="13" t="s">
        <v>493</v>
      </c>
      <c r="G150" s="2">
        <v>2</v>
      </c>
      <c r="H150" s="2"/>
      <c r="I150" s="3" t="str">
        <f t="shared" ref="I150:I158" si="167">TESTsubtract(E150,F150,G150)</f>
        <v>100</v>
      </c>
      <c r="J150" s="2" t="b">
        <f t="shared" ref="J150:J158" si="168">TESTsubtractByRef1(E150,F150,G150)</f>
        <v>0</v>
      </c>
      <c r="K150" s="2"/>
      <c r="L150" s="2"/>
      <c r="M150" s="3" t="s">
        <v>21</v>
      </c>
      <c r="N150" s="2" t="b">
        <v>0</v>
      </c>
      <c r="O150" s="2"/>
      <c r="P150" s="2"/>
      <c r="Q150" s="3" t="b">
        <f t="shared" si="155"/>
        <v>1</v>
      </c>
      <c r="R150" s="2" t="b">
        <f t="shared" si="156"/>
        <v>1</v>
      </c>
      <c r="S150" s="6"/>
    </row>
    <row r="151" spans="2:19" x14ac:dyDescent="0.15">
      <c r="C151" s="6"/>
      <c r="D151" s="6" t="s">
        <v>47</v>
      </c>
      <c r="E151" s="9" t="s">
        <v>496</v>
      </c>
      <c r="F151" s="14" t="s">
        <v>492</v>
      </c>
      <c r="G151" s="6">
        <v>10</v>
      </c>
      <c r="H151" s="6"/>
      <c r="I151" s="1" t="str">
        <f t="shared" si="167"/>
        <v>100</v>
      </c>
      <c r="J151" s="6" t="b">
        <f t="shared" si="168"/>
        <v>0</v>
      </c>
      <c r="K151" s="6"/>
      <c r="L151" s="6"/>
      <c r="M151" s="1" t="s">
        <v>21</v>
      </c>
      <c r="N151" s="6" t="b">
        <v>0</v>
      </c>
      <c r="O151" s="6"/>
      <c r="P151" s="6"/>
      <c r="Q151" s="1" t="b">
        <f t="shared" si="155"/>
        <v>1</v>
      </c>
      <c r="R151" s="6" t="b">
        <f t="shared" si="156"/>
        <v>1</v>
      </c>
      <c r="S151" s="6"/>
    </row>
    <row r="152" spans="2:19" x14ac:dyDescent="0.15">
      <c r="C152" s="6"/>
      <c r="D152" t="s">
        <v>49</v>
      </c>
      <c r="E152" s="9" t="s">
        <v>497</v>
      </c>
      <c r="F152" s="14" t="s">
        <v>495</v>
      </c>
      <c r="G152">
        <v>16</v>
      </c>
      <c r="H152" s="6"/>
      <c r="I152" s="1" t="str">
        <f t="shared" si="167"/>
        <v>100</v>
      </c>
      <c r="J152" s="6" t="b">
        <f t="shared" si="168"/>
        <v>0</v>
      </c>
      <c r="K152" s="6"/>
      <c r="L152" s="6"/>
      <c r="M152" s="1" t="s">
        <v>21</v>
      </c>
      <c r="N152" s="6" t="b">
        <v>0</v>
      </c>
      <c r="O152" s="6"/>
      <c r="P152" s="6"/>
      <c r="Q152" s="1" t="b">
        <f t="shared" si="155"/>
        <v>1</v>
      </c>
      <c r="R152" s="6" t="b">
        <f t="shared" si="156"/>
        <v>1</v>
      </c>
      <c r="S152" s="6"/>
    </row>
    <row r="153" spans="2:19" x14ac:dyDescent="0.15">
      <c r="C153" s="2" t="s">
        <v>489</v>
      </c>
      <c r="D153" s="2" t="s">
        <v>46</v>
      </c>
      <c r="E153" s="11" t="s">
        <v>18</v>
      </c>
      <c r="F153" s="13" t="s">
        <v>31</v>
      </c>
      <c r="G153" s="2">
        <v>2</v>
      </c>
      <c r="H153" s="2"/>
      <c r="I153" s="3" t="str">
        <f t="shared" si="167"/>
        <v>100</v>
      </c>
      <c r="J153" s="2" t="b">
        <f t="shared" si="168"/>
        <v>1</v>
      </c>
      <c r="K153" s="2"/>
      <c r="L153" s="2"/>
      <c r="M153" s="3" t="s">
        <v>21</v>
      </c>
      <c r="N153" s="2" t="b">
        <v>1</v>
      </c>
      <c r="O153" s="2"/>
      <c r="P153" s="2"/>
      <c r="Q153" s="3" t="b">
        <f t="shared" si="155"/>
        <v>1</v>
      </c>
      <c r="R153" s="2" t="b">
        <f t="shared" si="156"/>
        <v>1</v>
      </c>
      <c r="S153" s="6"/>
    </row>
    <row r="154" spans="2:19" x14ac:dyDescent="0.15">
      <c r="C154" s="6"/>
      <c r="D154" s="6" t="s">
        <v>47</v>
      </c>
      <c r="E154" s="9" t="s">
        <v>228</v>
      </c>
      <c r="F154" s="14" t="s">
        <v>496</v>
      </c>
      <c r="G154" s="6">
        <v>10</v>
      </c>
      <c r="H154" s="6"/>
      <c r="I154" s="1" t="str">
        <f t="shared" si="167"/>
        <v>100</v>
      </c>
      <c r="J154" s="6" t="b">
        <f t="shared" si="168"/>
        <v>1</v>
      </c>
      <c r="K154" s="6"/>
      <c r="L154" s="6"/>
      <c r="M154" s="1" t="s">
        <v>21</v>
      </c>
      <c r="N154" s="6" t="b">
        <v>1</v>
      </c>
      <c r="O154" s="6"/>
      <c r="P154" s="6"/>
      <c r="Q154" s="1" t="b">
        <f t="shared" si="155"/>
        <v>1</v>
      </c>
      <c r="R154" s="6" t="b">
        <f t="shared" si="156"/>
        <v>1</v>
      </c>
      <c r="S154" s="6"/>
    </row>
    <row r="155" spans="2:19" x14ac:dyDescent="0.15">
      <c r="C155" s="6"/>
      <c r="D155" t="s">
        <v>49</v>
      </c>
      <c r="E155" s="9" t="s">
        <v>22</v>
      </c>
      <c r="F155" s="14" t="s">
        <v>497</v>
      </c>
      <c r="G155">
        <v>16</v>
      </c>
      <c r="H155" s="6"/>
      <c r="I155" s="1" t="str">
        <f t="shared" si="167"/>
        <v>100</v>
      </c>
      <c r="J155" s="6" t="b">
        <f t="shared" si="168"/>
        <v>1</v>
      </c>
      <c r="K155" s="6"/>
      <c r="L155" s="6"/>
      <c r="M155" s="1" t="s">
        <v>21</v>
      </c>
      <c r="N155" s="6" t="b">
        <v>1</v>
      </c>
      <c r="O155" s="6"/>
      <c r="P155" s="6"/>
      <c r="Q155" s="1" t="b">
        <f t="shared" si="155"/>
        <v>1</v>
      </c>
      <c r="R155" s="6" t="b">
        <f t="shared" si="156"/>
        <v>1</v>
      </c>
      <c r="S155" s="6"/>
    </row>
    <row r="156" spans="2:19" x14ac:dyDescent="0.15">
      <c r="C156" s="2" t="s">
        <v>490</v>
      </c>
      <c r="D156" s="2" t="s">
        <v>46</v>
      </c>
      <c r="E156" s="11" t="s">
        <v>498</v>
      </c>
      <c r="F156" s="13" t="s">
        <v>499</v>
      </c>
      <c r="G156" s="2">
        <v>2</v>
      </c>
      <c r="H156" s="2"/>
      <c r="I156" s="3" t="str">
        <f t="shared" si="167"/>
        <v>001</v>
      </c>
      <c r="J156" s="2" t="b">
        <f t="shared" si="168"/>
        <v>0</v>
      </c>
      <c r="K156" s="2"/>
      <c r="L156" s="2"/>
      <c r="M156" s="3" t="s">
        <v>82</v>
      </c>
      <c r="N156" s="2" t="b">
        <v>0</v>
      </c>
      <c r="O156" s="2"/>
      <c r="P156" s="2"/>
      <c r="Q156" s="3" t="b">
        <f t="shared" si="155"/>
        <v>1</v>
      </c>
      <c r="R156" s="2" t="b">
        <f t="shared" si="156"/>
        <v>1</v>
      </c>
      <c r="S156" s="6"/>
    </row>
    <row r="157" spans="2:19" x14ac:dyDescent="0.15">
      <c r="C157" s="6"/>
      <c r="D157" s="6" t="s">
        <v>47</v>
      </c>
      <c r="E157" s="9" t="s">
        <v>500</v>
      </c>
      <c r="F157" s="14" t="s">
        <v>501</v>
      </c>
      <c r="G157" s="6">
        <v>10</v>
      </c>
      <c r="H157" s="6"/>
      <c r="I157" s="1" t="str">
        <f t="shared" si="167"/>
        <v>001</v>
      </c>
      <c r="J157" s="6" t="b">
        <f t="shared" si="168"/>
        <v>0</v>
      </c>
      <c r="K157" s="6"/>
      <c r="L157" s="6"/>
      <c r="M157" s="1" t="s">
        <v>82</v>
      </c>
      <c r="N157" s="6" t="b">
        <v>0</v>
      </c>
      <c r="O157" s="6"/>
      <c r="P157" s="6"/>
      <c r="Q157" s="1" t="b">
        <f t="shared" si="155"/>
        <v>1</v>
      </c>
      <c r="R157" s="6" t="b">
        <f t="shared" si="156"/>
        <v>1</v>
      </c>
      <c r="S157" s="6"/>
    </row>
    <row r="158" spans="2:19" x14ac:dyDescent="0.15">
      <c r="C158" s="6"/>
      <c r="D158" t="s">
        <v>49</v>
      </c>
      <c r="E158" s="9" t="s">
        <v>502</v>
      </c>
      <c r="F158" s="14" t="s">
        <v>503</v>
      </c>
      <c r="G158">
        <v>16</v>
      </c>
      <c r="H158" s="6"/>
      <c r="I158" s="1" t="str">
        <f t="shared" si="167"/>
        <v>001</v>
      </c>
      <c r="J158" s="6" t="b">
        <f t="shared" si="168"/>
        <v>0</v>
      </c>
      <c r="K158" s="6"/>
      <c r="L158" s="6"/>
      <c r="M158" s="1" t="s">
        <v>82</v>
      </c>
      <c r="N158" s="6" t="b">
        <v>0</v>
      </c>
      <c r="O158" s="6"/>
      <c r="P158" s="6"/>
      <c r="Q158" s="1" t="b">
        <f t="shared" si="155"/>
        <v>1</v>
      </c>
      <c r="R158" s="6" t="b">
        <f t="shared" si="156"/>
        <v>1</v>
      </c>
      <c r="S158" s="6"/>
    </row>
    <row r="159" spans="2:19" x14ac:dyDescent="0.15">
      <c r="C159" s="2" t="s">
        <v>504</v>
      </c>
      <c r="D159" s="2" t="s">
        <v>46</v>
      </c>
      <c r="E159" s="11" t="s">
        <v>505</v>
      </c>
      <c r="F159" s="13" t="s">
        <v>491</v>
      </c>
      <c r="G159" s="2">
        <v>2</v>
      </c>
      <c r="H159" s="2"/>
      <c r="I159" s="3" t="str">
        <f t="shared" ref="I159:I161" si="169">TESTsubtract(E159,F159,G159)</f>
        <v>001</v>
      </c>
      <c r="J159" s="2" t="b">
        <f t="shared" ref="J159:J161" si="170">TESTsubtractByRef1(E159,F159,G159)</f>
        <v>1</v>
      </c>
      <c r="K159" s="2"/>
      <c r="L159" s="2"/>
      <c r="M159" s="3" t="str">
        <f t="shared" ref="M159:M161" si="171">TESTsubtract(H159,I159,J159)</f>
        <v>001</v>
      </c>
      <c r="N159" s="2" t="b">
        <f t="shared" ref="N159:N161" si="172">TESTsubtractByRef1(H159,I159,J159)</f>
        <v>1</v>
      </c>
      <c r="O159" s="2"/>
      <c r="P159" s="2"/>
      <c r="Q159" s="3" t="b">
        <f t="shared" si="155"/>
        <v>1</v>
      </c>
      <c r="R159" s="2" t="b">
        <f t="shared" si="156"/>
        <v>1</v>
      </c>
      <c r="S159" s="6"/>
    </row>
    <row r="160" spans="2:19" x14ac:dyDescent="0.15">
      <c r="C160" s="6"/>
      <c r="D160" s="6" t="s">
        <v>47</v>
      </c>
      <c r="E160" s="9" t="s">
        <v>501</v>
      </c>
      <c r="F160" s="14" t="s">
        <v>500</v>
      </c>
      <c r="G160" s="6">
        <v>10</v>
      </c>
      <c r="H160" s="6"/>
      <c r="I160" s="1" t="str">
        <f t="shared" si="169"/>
        <v>001</v>
      </c>
      <c r="J160" s="6" t="b">
        <f t="shared" si="170"/>
        <v>1</v>
      </c>
      <c r="K160" s="6"/>
      <c r="L160" s="6"/>
      <c r="M160" s="1" t="str">
        <f t="shared" si="171"/>
        <v>001</v>
      </c>
      <c r="N160" s="6" t="b">
        <f t="shared" si="172"/>
        <v>1</v>
      </c>
      <c r="O160" s="6"/>
      <c r="P160" s="6"/>
      <c r="Q160" s="1" t="b">
        <f t="shared" si="155"/>
        <v>1</v>
      </c>
      <c r="R160" s="6" t="b">
        <f t="shared" si="156"/>
        <v>1</v>
      </c>
      <c r="S160" s="6"/>
    </row>
    <row r="161" spans="2:19" x14ac:dyDescent="0.15">
      <c r="C161" s="6"/>
      <c r="D161" t="s">
        <v>49</v>
      </c>
      <c r="E161" s="9" t="s">
        <v>506</v>
      </c>
      <c r="F161" s="14" t="s">
        <v>494</v>
      </c>
      <c r="G161">
        <v>16</v>
      </c>
      <c r="H161" s="6"/>
      <c r="I161" s="1" t="str">
        <f t="shared" si="169"/>
        <v>001</v>
      </c>
      <c r="J161" s="6" t="b">
        <f t="shared" si="170"/>
        <v>1</v>
      </c>
      <c r="K161" s="6"/>
      <c r="L161" s="6"/>
      <c r="M161" s="1" t="str">
        <f t="shared" si="171"/>
        <v>001</v>
      </c>
      <c r="N161" s="6" t="b">
        <f t="shared" si="172"/>
        <v>1</v>
      </c>
      <c r="O161" s="6"/>
      <c r="P161" s="6"/>
      <c r="Q161" s="1" t="b">
        <f t="shared" si="155"/>
        <v>1</v>
      </c>
      <c r="R161" s="6" t="b">
        <f t="shared" si="156"/>
        <v>1</v>
      </c>
      <c r="S161" s="6"/>
    </row>
    <row r="162" spans="2:19" x14ac:dyDescent="0.15">
      <c r="C162" s="2" t="s">
        <v>507</v>
      </c>
      <c r="D162" s="2" t="s">
        <v>46</v>
      </c>
      <c r="E162" s="11" t="s">
        <v>510</v>
      </c>
      <c r="F162" s="13" t="s">
        <v>493</v>
      </c>
      <c r="G162" s="2">
        <v>2</v>
      </c>
      <c r="H162" s="2"/>
      <c r="I162" s="3" t="str">
        <f t="shared" ref="I162:I164" si="173">TESTsubtract(E162,F162,G162)</f>
        <v>00001</v>
      </c>
      <c r="J162" s="2" t="b">
        <f t="shared" ref="J162:J164" si="174">TESTsubtractByRef1(E162,F162,G162)</f>
        <v>0</v>
      </c>
      <c r="K162" s="2"/>
      <c r="L162" s="2"/>
      <c r="M162" s="3" t="s">
        <v>519</v>
      </c>
      <c r="N162" s="2" t="b">
        <v>0</v>
      </c>
      <c r="O162" s="2"/>
      <c r="P162" s="2"/>
      <c r="Q162" s="3" t="b">
        <f t="shared" ref="Q162:Q164" si="175">getText(I162)=getText(M162)</f>
        <v>1</v>
      </c>
      <c r="R162" s="2" t="b">
        <f t="shared" ref="R162:R164" si="176">getText(J162)=getText(N162)</f>
        <v>1</v>
      </c>
      <c r="S162" s="6"/>
    </row>
    <row r="163" spans="2:19" x14ac:dyDescent="0.15">
      <c r="C163" s="6"/>
      <c r="D163" s="6" t="s">
        <v>47</v>
      </c>
      <c r="E163" s="9" t="s">
        <v>516</v>
      </c>
      <c r="F163" s="14" t="s">
        <v>512</v>
      </c>
      <c r="G163" s="6">
        <v>10</v>
      </c>
      <c r="H163" s="6"/>
      <c r="I163" s="1" t="str">
        <f t="shared" si="173"/>
        <v>00001</v>
      </c>
      <c r="J163" s="6" t="b">
        <f t="shared" si="174"/>
        <v>0</v>
      </c>
      <c r="K163" s="6"/>
      <c r="L163" s="6"/>
      <c r="M163" s="1" t="s">
        <v>519</v>
      </c>
      <c r="N163" s="6" t="b">
        <v>0</v>
      </c>
      <c r="O163" s="6"/>
      <c r="P163" s="6"/>
      <c r="Q163" s="1" t="b">
        <f t="shared" si="175"/>
        <v>1</v>
      </c>
      <c r="R163" s="6" t="b">
        <f t="shared" si="176"/>
        <v>1</v>
      </c>
      <c r="S163" s="6"/>
    </row>
    <row r="164" spans="2:19" x14ac:dyDescent="0.15">
      <c r="C164" s="6"/>
      <c r="D164" t="s">
        <v>49</v>
      </c>
      <c r="E164" s="9" t="s">
        <v>518</v>
      </c>
      <c r="F164" s="14" t="s">
        <v>514</v>
      </c>
      <c r="G164">
        <v>16</v>
      </c>
      <c r="H164" s="6"/>
      <c r="I164" s="1" t="str">
        <f t="shared" si="173"/>
        <v>00001</v>
      </c>
      <c r="J164" s="6" t="b">
        <f t="shared" si="174"/>
        <v>0</v>
      </c>
      <c r="K164" s="6"/>
      <c r="L164" s="6"/>
      <c r="M164" s="1" t="s">
        <v>519</v>
      </c>
      <c r="N164" s="6" t="b">
        <v>0</v>
      </c>
      <c r="O164" s="6"/>
      <c r="P164" s="6"/>
      <c r="Q164" s="1" t="b">
        <f t="shared" si="175"/>
        <v>1</v>
      </c>
      <c r="R164" s="6" t="b">
        <f t="shared" si="176"/>
        <v>1</v>
      </c>
      <c r="S164" s="6"/>
    </row>
    <row r="165" spans="2:19" x14ac:dyDescent="0.15">
      <c r="C165" s="2" t="s">
        <v>508</v>
      </c>
      <c r="D165" s="2" t="s">
        <v>46</v>
      </c>
      <c r="E165" s="11" t="s">
        <v>18</v>
      </c>
      <c r="F165" s="13" t="s">
        <v>509</v>
      </c>
      <c r="G165" s="2">
        <v>2</v>
      </c>
      <c r="H165" s="2"/>
      <c r="I165" s="3" t="str">
        <f t="shared" ref="I165:I167" si="177">TESTsubtract(E165,F165,G165)</f>
        <v>00001</v>
      </c>
      <c r="J165" s="2" t="b">
        <f t="shared" ref="J165:J167" si="178">TESTsubtractByRef1(E165,F165,G165)</f>
        <v>1</v>
      </c>
      <c r="K165" s="2"/>
      <c r="L165" s="2"/>
      <c r="M165" s="3" t="s">
        <v>519</v>
      </c>
      <c r="N165" s="2" t="b">
        <v>1</v>
      </c>
      <c r="O165" s="2"/>
      <c r="P165" s="2"/>
      <c r="Q165" s="3" t="b">
        <f t="shared" ref="Q165:Q167" si="179">getText(I165)=getText(M165)</f>
        <v>1</v>
      </c>
      <c r="R165" s="2" t="b">
        <f t="shared" ref="R165:R167" si="180">getText(J165)=getText(N165)</f>
        <v>1</v>
      </c>
      <c r="S165" s="6"/>
    </row>
    <row r="166" spans="2:19" x14ac:dyDescent="0.15">
      <c r="C166" s="6"/>
      <c r="D166" s="6" t="s">
        <v>47</v>
      </c>
      <c r="E166" s="9" t="s">
        <v>511</v>
      </c>
      <c r="F166" s="14" t="s">
        <v>515</v>
      </c>
      <c r="G166" s="6">
        <v>10</v>
      </c>
      <c r="H166" s="6"/>
      <c r="I166" s="1" t="str">
        <f t="shared" si="177"/>
        <v>00001</v>
      </c>
      <c r="J166" s="6" t="b">
        <f t="shared" si="178"/>
        <v>1</v>
      </c>
      <c r="K166" s="6"/>
      <c r="L166" s="6"/>
      <c r="M166" s="1" t="s">
        <v>519</v>
      </c>
      <c r="N166" s="6" t="b">
        <v>1</v>
      </c>
      <c r="O166" s="6"/>
      <c r="P166" s="6"/>
      <c r="Q166" s="1" t="b">
        <f t="shared" si="179"/>
        <v>1</v>
      </c>
      <c r="R166" s="6" t="b">
        <f t="shared" si="180"/>
        <v>1</v>
      </c>
      <c r="S166" s="6"/>
    </row>
    <row r="167" spans="2:19" x14ac:dyDescent="0.15">
      <c r="C167" s="6"/>
      <c r="D167" t="s">
        <v>49</v>
      </c>
      <c r="E167" s="9" t="s">
        <v>513</v>
      </c>
      <c r="F167" s="14" t="s">
        <v>517</v>
      </c>
      <c r="G167">
        <v>16</v>
      </c>
      <c r="H167" s="6"/>
      <c r="I167" s="1" t="str">
        <f t="shared" si="177"/>
        <v>00001</v>
      </c>
      <c r="J167" s="6" t="b">
        <f t="shared" si="178"/>
        <v>1</v>
      </c>
      <c r="K167" s="6"/>
      <c r="L167" s="6"/>
      <c r="M167" s="1" t="s">
        <v>519</v>
      </c>
      <c r="N167" s="6" t="b">
        <v>1</v>
      </c>
      <c r="O167" s="6"/>
      <c r="P167" s="6"/>
      <c r="Q167" s="1" t="b">
        <f t="shared" si="179"/>
        <v>1</v>
      </c>
      <c r="R167" s="6" t="b">
        <f t="shared" si="180"/>
        <v>1</v>
      </c>
      <c r="S167" s="6"/>
    </row>
    <row r="168" spans="2:19" x14ac:dyDescent="0.15">
      <c r="B168" s="2" t="s">
        <v>522</v>
      </c>
      <c r="C168" s="2" t="s">
        <v>265</v>
      </c>
      <c r="D168" s="2" t="s">
        <v>46</v>
      </c>
      <c r="E168" s="11" t="s">
        <v>520</v>
      </c>
      <c r="F168" s="13" t="s">
        <v>520</v>
      </c>
      <c r="G168" s="2">
        <v>2</v>
      </c>
      <c r="H168" s="2"/>
      <c r="I168" s="3" t="str">
        <f t="shared" ref="I168:I181" si="181">TESTsubtract(E168,F168,G168)</f>
        <v>00</v>
      </c>
      <c r="J168" s="2" t="b">
        <f t="shared" ref="J168:J181" si="182">TESTsubtractByRef1(E168,F168,G168)</f>
        <v>0</v>
      </c>
      <c r="K168" s="2"/>
      <c r="L168" s="2"/>
      <c r="M168" s="3" t="s">
        <v>98</v>
      </c>
      <c r="N168" s="2" t="b">
        <v>0</v>
      </c>
      <c r="O168" s="2"/>
      <c r="P168" s="2"/>
      <c r="Q168" s="3" t="b">
        <f t="shared" ref="Q168:Q181" si="183">getText(I168)=getText(M168)</f>
        <v>1</v>
      </c>
      <c r="R168" s="2" t="b">
        <f t="shared" ref="R168:R181" si="184">getText(J168)=getText(N168)</f>
        <v>1</v>
      </c>
      <c r="S168" s="6"/>
    </row>
    <row r="169" spans="2:19" x14ac:dyDescent="0.15">
      <c r="D169" s="6" t="s">
        <v>47</v>
      </c>
      <c r="E169" s="9" t="s">
        <v>521</v>
      </c>
      <c r="F169" s="17" t="s">
        <v>521</v>
      </c>
      <c r="G169" s="6">
        <v>10</v>
      </c>
      <c r="I169" s="1" t="str">
        <f t="shared" si="181"/>
        <v>00</v>
      </c>
      <c r="J169" t="b">
        <f t="shared" si="182"/>
        <v>0</v>
      </c>
      <c r="M169" s="1" t="s">
        <v>98</v>
      </c>
      <c r="N169" t="b">
        <v>0</v>
      </c>
      <c r="Q169" s="1" t="b">
        <f t="shared" si="183"/>
        <v>1</v>
      </c>
      <c r="R169" s="6" t="b">
        <f t="shared" si="184"/>
        <v>1</v>
      </c>
      <c r="S169" s="6"/>
    </row>
    <row r="170" spans="2:19" x14ac:dyDescent="0.15">
      <c r="D170" t="s">
        <v>49</v>
      </c>
      <c r="E170" s="9" t="s">
        <v>521</v>
      </c>
      <c r="F170" s="17" t="s">
        <v>521</v>
      </c>
      <c r="G170">
        <v>16</v>
      </c>
      <c r="I170" s="1" t="str">
        <f t="shared" si="181"/>
        <v>00</v>
      </c>
      <c r="J170" t="b">
        <f t="shared" si="182"/>
        <v>0</v>
      </c>
      <c r="M170" s="1" t="s">
        <v>98</v>
      </c>
      <c r="N170" t="b">
        <v>0</v>
      </c>
      <c r="Q170" s="1" t="b">
        <f t="shared" si="183"/>
        <v>1</v>
      </c>
      <c r="R170" s="6" t="b">
        <f t="shared" si="184"/>
        <v>1</v>
      </c>
      <c r="S170" s="6"/>
    </row>
    <row r="171" spans="2:19" x14ac:dyDescent="0.15">
      <c r="C171" s="2" t="s">
        <v>266</v>
      </c>
      <c r="D171" s="2" t="s">
        <v>46</v>
      </c>
      <c r="E171" s="11" t="s">
        <v>523</v>
      </c>
      <c r="F171" s="13" t="s">
        <v>538</v>
      </c>
      <c r="G171" s="2">
        <v>2</v>
      </c>
      <c r="H171" s="2"/>
      <c r="I171" s="3" t="str">
        <f t="shared" si="181"/>
        <v>01</v>
      </c>
      <c r="J171" s="2" t="b">
        <f t="shared" si="182"/>
        <v>0</v>
      </c>
      <c r="K171" s="2"/>
      <c r="L171" s="2"/>
      <c r="M171" s="3" t="s">
        <v>248</v>
      </c>
      <c r="N171" s="2" t="b">
        <v>0</v>
      </c>
      <c r="O171" s="2"/>
      <c r="P171" s="2"/>
      <c r="Q171" s="3" t="b">
        <f t="shared" si="183"/>
        <v>1</v>
      </c>
      <c r="R171" s="2" t="b">
        <f t="shared" si="184"/>
        <v>1</v>
      </c>
      <c r="S171" s="6"/>
    </row>
    <row r="172" spans="2:19" x14ac:dyDescent="0.15">
      <c r="D172" s="6" t="s">
        <v>47</v>
      </c>
      <c r="E172" s="9" t="s">
        <v>413</v>
      </c>
      <c r="F172" s="17" t="s">
        <v>113</v>
      </c>
      <c r="G172" s="6">
        <v>10</v>
      </c>
      <c r="I172" s="1" t="str">
        <f t="shared" si="181"/>
        <v>09</v>
      </c>
      <c r="J172" t="b">
        <f t="shared" si="182"/>
        <v>0</v>
      </c>
      <c r="M172" s="1" t="s">
        <v>250</v>
      </c>
      <c r="N172" t="b">
        <v>0</v>
      </c>
      <c r="Q172" s="1" t="b">
        <f t="shared" si="183"/>
        <v>1</v>
      </c>
      <c r="R172" s="6" t="b">
        <f t="shared" si="184"/>
        <v>1</v>
      </c>
      <c r="S172" s="6"/>
    </row>
    <row r="173" spans="2:19" x14ac:dyDescent="0.15">
      <c r="D173" t="s">
        <v>49</v>
      </c>
      <c r="E173" s="9" t="s">
        <v>558</v>
      </c>
      <c r="F173" s="17" t="s">
        <v>100</v>
      </c>
      <c r="G173">
        <v>16</v>
      </c>
      <c r="I173" s="1" t="str">
        <f t="shared" si="181"/>
        <v>0F</v>
      </c>
      <c r="J173" t="b">
        <f t="shared" si="182"/>
        <v>0</v>
      </c>
      <c r="M173" s="1" t="s">
        <v>253</v>
      </c>
      <c r="N173" t="b">
        <v>0</v>
      </c>
      <c r="Q173" s="1" t="b">
        <f t="shared" si="183"/>
        <v>1</v>
      </c>
      <c r="R173" s="6" t="b">
        <f t="shared" si="184"/>
        <v>1</v>
      </c>
      <c r="S173" s="6"/>
    </row>
    <row r="174" spans="2:19" x14ac:dyDescent="0.15">
      <c r="C174" s="2" t="s">
        <v>267</v>
      </c>
      <c r="D174" s="2" t="s">
        <v>46</v>
      </c>
      <c r="E174" s="11" t="s">
        <v>526</v>
      </c>
      <c r="F174" s="13" t="s">
        <v>524</v>
      </c>
      <c r="G174" s="2">
        <v>2</v>
      </c>
      <c r="H174" s="2"/>
      <c r="I174" s="3" t="str">
        <f t="shared" si="181"/>
        <v>1</v>
      </c>
      <c r="J174" s="2" t="b">
        <f t="shared" si="182"/>
        <v>0</v>
      </c>
      <c r="K174" s="2"/>
      <c r="L174" s="2"/>
      <c r="M174" s="3" t="s">
        <v>44</v>
      </c>
      <c r="N174" s="2" t="b">
        <v>0</v>
      </c>
      <c r="O174" s="2"/>
      <c r="P174" s="2"/>
      <c r="Q174" s="3" t="b">
        <f t="shared" si="183"/>
        <v>1</v>
      </c>
      <c r="R174" s="2" t="b">
        <f t="shared" si="184"/>
        <v>1</v>
      </c>
      <c r="S174" s="6"/>
    </row>
    <row r="175" spans="2:19" x14ac:dyDescent="0.15">
      <c r="D175" s="6" t="s">
        <v>47</v>
      </c>
      <c r="E175" s="9" t="s">
        <v>111</v>
      </c>
      <c r="F175" s="14" t="s">
        <v>524</v>
      </c>
      <c r="G175" s="6">
        <v>10</v>
      </c>
      <c r="H175" s="6"/>
      <c r="I175" s="1" t="str">
        <f t="shared" si="181"/>
        <v>1</v>
      </c>
      <c r="J175" s="6" t="b">
        <f t="shared" si="182"/>
        <v>0</v>
      </c>
      <c r="K175" s="6"/>
      <c r="L175" s="6"/>
      <c r="M175" s="1" t="s">
        <v>44</v>
      </c>
      <c r="N175" s="6" t="b">
        <v>0</v>
      </c>
      <c r="O175" s="6"/>
      <c r="P175" s="6"/>
      <c r="Q175" s="1" t="b">
        <f t="shared" si="183"/>
        <v>1</v>
      </c>
      <c r="R175" s="6" t="b">
        <f t="shared" si="184"/>
        <v>1</v>
      </c>
      <c r="S175" s="6"/>
    </row>
    <row r="176" spans="2:19" x14ac:dyDescent="0.15">
      <c r="D176" t="s">
        <v>49</v>
      </c>
      <c r="E176" s="9" t="s">
        <v>537</v>
      </c>
      <c r="F176" s="17" t="s">
        <v>525</v>
      </c>
      <c r="G176">
        <v>16</v>
      </c>
      <c r="I176" s="1" t="str">
        <f t="shared" si="181"/>
        <v>1</v>
      </c>
      <c r="J176" t="b">
        <f t="shared" si="182"/>
        <v>0</v>
      </c>
      <c r="M176" s="1" t="s">
        <v>44</v>
      </c>
      <c r="N176" t="b">
        <v>0</v>
      </c>
      <c r="Q176" s="1" t="b">
        <f t="shared" si="183"/>
        <v>1</v>
      </c>
      <c r="R176" s="6" t="b">
        <f t="shared" si="184"/>
        <v>1</v>
      </c>
      <c r="S176" s="6"/>
    </row>
    <row r="177" spans="2:19" x14ac:dyDescent="0.15">
      <c r="C177" s="2" t="s">
        <v>268</v>
      </c>
      <c r="D177" s="2" t="s">
        <v>46</v>
      </c>
      <c r="E177" s="11" t="s">
        <v>111</v>
      </c>
      <c r="F177" s="13" t="s">
        <v>111</v>
      </c>
      <c r="G177" s="2">
        <v>2</v>
      </c>
      <c r="H177" s="2"/>
      <c r="I177" s="3" t="str">
        <f t="shared" si="181"/>
        <v>0</v>
      </c>
      <c r="J177" s="2" t="b">
        <f t="shared" si="182"/>
        <v>0</v>
      </c>
      <c r="K177" s="2"/>
      <c r="L177" s="2"/>
      <c r="M177" s="3" t="s">
        <v>14</v>
      </c>
      <c r="N177" s="2" t="b">
        <v>0</v>
      </c>
      <c r="O177" s="2"/>
      <c r="P177" s="2"/>
      <c r="Q177" s="3" t="b">
        <f t="shared" si="183"/>
        <v>1</v>
      </c>
      <c r="R177" s="2" t="b">
        <f t="shared" si="184"/>
        <v>1</v>
      </c>
      <c r="S177" s="6"/>
    </row>
    <row r="178" spans="2:19" x14ac:dyDescent="0.15">
      <c r="D178" s="6" t="s">
        <v>284</v>
      </c>
      <c r="E178" s="9" t="s">
        <v>113</v>
      </c>
      <c r="F178" s="17" t="s">
        <v>113</v>
      </c>
      <c r="G178" s="6">
        <v>10</v>
      </c>
      <c r="I178" s="1" t="str">
        <f t="shared" si="181"/>
        <v>0</v>
      </c>
      <c r="J178" t="b">
        <f t="shared" si="182"/>
        <v>0</v>
      </c>
      <c r="M178" s="1" t="s">
        <v>14</v>
      </c>
      <c r="N178" t="b">
        <v>0</v>
      </c>
      <c r="Q178" s="1" t="b">
        <f t="shared" si="183"/>
        <v>1</v>
      </c>
      <c r="R178" s="6" t="b">
        <f t="shared" si="184"/>
        <v>1</v>
      </c>
      <c r="S178" s="6"/>
    </row>
    <row r="179" spans="2:19" x14ac:dyDescent="0.15">
      <c r="D179" t="s">
        <v>285</v>
      </c>
      <c r="E179" s="9" t="s">
        <v>111</v>
      </c>
      <c r="F179" s="17" t="s">
        <v>111</v>
      </c>
      <c r="G179" s="7">
        <v>10</v>
      </c>
      <c r="I179" s="1" t="str">
        <f t="shared" si="181"/>
        <v>0</v>
      </c>
      <c r="J179" t="b">
        <f t="shared" si="182"/>
        <v>0</v>
      </c>
      <c r="M179" s="1" t="s">
        <v>14</v>
      </c>
      <c r="N179" t="b">
        <v>0</v>
      </c>
      <c r="Q179" s="1" t="b">
        <f t="shared" si="183"/>
        <v>1</v>
      </c>
      <c r="R179" s="6" t="b">
        <f t="shared" si="184"/>
        <v>1</v>
      </c>
      <c r="S179" s="6"/>
    </row>
    <row r="180" spans="2:19" x14ac:dyDescent="0.15">
      <c r="D180" t="s">
        <v>286</v>
      </c>
      <c r="E180" s="9" t="s">
        <v>539</v>
      </c>
      <c r="F180" s="17" t="s">
        <v>539</v>
      </c>
      <c r="G180">
        <v>16</v>
      </c>
      <c r="I180" s="1" t="str">
        <f t="shared" si="181"/>
        <v>0</v>
      </c>
      <c r="J180" t="b">
        <f t="shared" si="182"/>
        <v>0</v>
      </c>
      <c r="M180" s="1" t="s">
        <v>14</v>
      </c>
      <c r="N180" t="b">
        <v>0</v>
      </c>
      <c r="Q180" s="1" t="b">
        <f t="shared" si="183"/>
        <v>1</v>
      </c>
      <c r="R180" s="6" t="b">
        <f t="shared" si="184"/>
        <v>1</v>
      </c>
      <c r="S180" s="6"/>
    </row>
    <row r="181" spans="2:19" x14ac:dyDescent="0.15">
      <c r="D181" t="s">
        <v>287</v>
      </c>
      <c r="E181" s="9" t="s">
        <v>111</v>
      </c>
      <c r="F181" s="17" t="s">
        <v>111</v>
      </c>
      <c r="G181">
        <v>16</v>
      </c>
      <c r="I181" s="1" t="str">
        <f t="shared" si="181"/>
        <v>0</v>
      </c>
      <c r="J181" t="b">
        <f t="shared" si="182"/>
        <v>0</v>
      </c>
      <c r="M181" s="1" t="s">
        <v>14</v>
      </c>
      <c r="N181" t="b">
        <v>0</v>
      </c>
      <c r="Q181" s="1" t="b">
        <f t="shared" si="183"/>
        <v>1</v>
      </c>
      <c r="R181" s="6" t="b">
        <f t="shared" si="184"/>
        <v>1</v>
      </c>
      <c r="S181" s="6"/>
    </row>
    <row r="182" spans="2:19" x14ac:dyDescent="0.15">
      <c r="B182" s="6"/>
      <c r="C182" s="2" t="s">
        <v>238</v>
      </c>
      <c r="D182" s="2" t="s">
        <v>46</v>
      </c>
      <c r="E182" s="11" t="s">
        <v>527</v>
      </c>
      <c r="F182" s="13" t="s">
        <v>527</v>
      </c>
      <c r="G182" s="2">
        <v>2</v>
      </c>
      <c r="H182" s="2"/>
      <c r="I182" s="3" t="str">
        <f t="shared" ref="I182:I184" si="185">TESTsubtract(E182,F182,G182)</f>
        <v>0</v>
      </c>
      <c r="J182" s="2" t="b">
        <f t="shared" ref="J182:J184" si="186">TESTsubtractByRef1(E182,F182,G182)</f>
        <v>0</v>
      </c>
      <c r="K182" s="2"/>
      <c r="L182" s="2"/>
      <c r="M182" s="3" t="s">
        <v>14</v>
      </c>
      <c r="N182" s="2" t="b">
        <v>0</v>
      </c>
      <c r="O182" s="2"/>
      <c r="P182" s="2"/>
      <c r="Q182" s="3" t="b">
        <f t="shared" ref="Q182:Q205" si="187">getText(I182)=getText(M182)</f>
        <v>1</v>
      </c>
      <c r="R182" s="2" t="b">
        <f t="shared" ref="R182:R205" si="188">getText(J182)=getText(N182)</f>
        <v>1</v>
      </c>
      <c r="S182" s="6"/>
    </row>
    <row r="183" spans="2:19" x14ac:dyDescent="0.15">
      <c r="B183" s="6"/>
      <c r="C183" s="6"/>
      <c r="D183" s="6" t="s">
        <v>47</v>
      </c>
      <c r="E183" s="9" t="s">
        <v>528</v>
      </c>
      <c r="F183" s="14" t="s">
        <v>529</v>
      </c>
      <c r="G183" s="6">
        <v>10</v>
      </c>
      <c r="H183" s="6"/>
      <c r="I183" s="1" t="str">
        <f t="shared" si="185"/>
        <v>0</v>
      </c>
      <c r="J183" s="6" t="b">
        <f t="shared" si="186"/>
        <v>0</v>
      </c>
      <c r="K183" s="6"/>
      <c r="L183" s="6"/>
      <c r="M183" s="1" t="s">
        <v>14</v>
      </c>
      <c r="N183" s="6" t="b">
        <v>0</v>
      </c>
      <c r="O183" s="6"/>
      <c r="P183" s="6"/>
      <c r="Q183" s="1" t="b">
        <f t="shared" si="187"/>
        <v>1</v>
      </c>
      <c r="R183" s="6" t="b">
        <f t="shared" si="188"/>
        <v>1</v>
      </c>
      <c r="S183" s="6"/>
    </row>
    <row r="184" spans="2:19" x14ac:dyDescent="0.15">
      <c r="B184" s="6"/>
      <c r="C184" s="6"/>
      <c r="D184" t="s">
        <v>49</v>
      </c>
      <c r="E184" s="9" t="s">
        <v>530</v>
      </c>
      <c r="F184" s="14" t="s">
        <v>531</v>
      </c>
      <c r="G184">
        <v>16</v>
      </c>
      <c r="H184" s="6"/>
      <c r="I184" s="1" t="str">
        <f t="shared" si="185"/>
        <v>0</v>
      </c>
      <c r="J184" s="6" t="b">
        <f t="shared" si="186"/>
        <v>0</v>
      </c>
      <c r="K184" s="6"/>
      <c r="L184" s="6"/>
      <c r="M184" s="1" t="s">
        <v>14</v>
      </c>
      <c r="N184" s="6" t="b">
        <v>0</v>
      </c>
      <c r="O184" s="6"/>
      <c r="P184" s="6"/>
      <c r="Q184" s="1" t="b">
        <f t="shared" si="187"/>
        <v>1</v>
      </c>
      <c r="R184" s="6" t="b">
        <f t="shared" si="188"/>
        <v>1</v>
      </c>
      <c r="S184" s="6"/>
    </row>
    <row r="185" spans="2:19" x14ac:dyDescent="0.15">
      <c r="B185" s="6"/>
      <c r="C185" s="2" t="s">
        <v>239</v>
      </c>
      <c r="D185" s="2" t="s">
        <v>46</v>
      </c>
      <c r="E185" s="11" t="s">
        <v>532</v>
      </c>
      <c r="F185" s="13" t="s">
        <v>527</v>
      </c>
      <c r="G185" s="2">
        <v>2</v>
      </c>
      <c r="H185" s="2"/>
      <c r="I185" s="3" t="str">
        <f t="shared" ref="I185:I205" si="189">TESTsubtract(E185,F185,G185)</f>
        <v>011</v>
      </c>
      <c r="J185" s="2" t="b">
        <f t="shared" ref="J185:J205" si="190">TESTsubtractByRef1(E185,F185,G185)</f>
        <v>0</v>
      </c>
      <c r="K185" s="2"/>
      <c r="L185" s="2"/>
      <c r="M185" s="3" t="s">
        <v>78</v>
      </c>
      <c r="N185" s="2" t="b">
        <v>0</v>
      </c>
      <c r="O185" s="2"/>
      <c r="P185" s="2"/>
      <c r="Q185" s="3" t="b">
        <f t="shared" si="187"/>
        <v>1</v>
      </c>
      <c r="R185" s="2" t="b">
        <f t="shared" si="188"/>
        <v>1</v>
      </c>
      <c r="S185" s="6"/>
    </row>
    <row r="186" spans="2:19" x14ac:dyDescent="0.15">
      <c r="B186" s="6"/>
      <c r="C186" s="6"/>
      <c r="D186" s="6" t="s">
        <v>47</v>
      </c>
      <c r="E186" s="9" t="s">
        <v>545</v>
      </c>
      <c r="F186" s="14" t="s">
        <v>546</v>
      </c>
      <c r="G186" s="6">
        <v>10</v>
      </c>
      <c r="H186" s="6"/>
      <c r="I186" s="1" t="str">
        <f t="shared" si="189"/>
        <v>099</v>
      </c>
      <c r="J186" s="6" t="b">
        <f t="shared" si="190"/>
        <v>0</v>
      </c>
      <c r="K186" s="6"/>
      <c r="L186" s="6"/>
      <c r="M186" s="1" t="s">
        <v>154</v>
      </c>
      <c r="N186" s="6" t="b">
        <v>0</v>
      </c>
      <c r="O186" s="6"/>
      <c r="P186" s="6"/>
      <c r="Q186" s="1" t="b">
        <f t="shared" si="187"/>
        <v>1</v>
      </c>
      <c r="R186" s="6" t="b">
        <f t="shared" si="188"/>
        <v>1</v>
      </c>
      <c r="S186" s="6"/>
    </row>
    <row r="187" spans="2:19" x14ac:dyDescent="0.15">
      <c r="B187" s="6"/>
      <c r="C187" s="6"/>
      <c r="D187" t="s">
        <v>49</v>
      </c>
      <c r="E187" s="9" t="s">
        <v>547</v>
      </c>
      <c r="F187" s="14" t="s">
        <v>548</v>
      </c>
      <c r="G187">
        <v>16</v>
      </c>
      <c r="H187" s="6"/>
      <c r="I187" s="1" t="str">
        <f t="shared" si="189"/>
        <v>0FF</v>
      </c>
      <c r="J187" s="6" t="b">
        <f t="shared" si="190"/>
        <v>0</v>
      </c>
      <c r="K187" s="6"/>
      <c r="L187" s="6"/>
      <c r="M187" s="1" t="s">
        <v>157</v>
      </c>
      <c r="N187" s="6" t="b">
        <v>0</v>
      </c>
      <c r="O187" s="6"/>
      <c r="P187" s="6"/>
      <c r="Q187" s="1" t="b">
        <f t="shared" si="187"/>
        <v>1</v>
      </c>
      <c r="R187" s="6" t="b">
        <f t="shared" si="188"/>
        <v>1</v>
      </c>
      <c r="S187" s="6"/>
    </row>
    <row r="188" spans="2:19" x14ac:dyDescent="0.15">
      <c r="B188" s="6"/>
      <c r="C188" s="2" t="s">
        <v>240</v>
      </c>
      <c r="D188" s="2" t="s">
        <v>46</v>
      </c>
      <c r="E188" s="11" t="s">
        <v>549</v>
      </c>
      <c r="F188" s="13" t="s">
        <v>535</v>
      </c>
      <c r="G188" s="2">
        <v>2</v>
      </c>
      <c r="H188" s="2"/>
      <c r="I188" s="3" t="str">
        <f t="shared" si="189"/>
        <v>010</v>
      </c>
      <c r="J188" s="2" t="b">
        <f t="shared" si="190"/>
        <v>0</v>
      </c>
      <c r="K188" s="2"/>
      <c r="L188" s="2"/>
      <c r="M188" s="3" t="s">
        <v>79</v>
      </c>
      <c r="N188" s="2" t="b">
        <v>0</v>
      </c>
      <c r="O188" s="2"/>
      <c r="P188" s="2"/>
      <c r="Q188" s="3" t="b">
        <f t="shared" si="187"/>
        <v>1</v>
      </c>
      <c r="R188" s="2" t="b">
        <f t="shared" si="188"/>
        <v>1</v>
      </c>
      <c r="S188" s="6"/>
    </row>
    <row r="189" spans="2:19" x14ac:dyDescent="0.15">
      <c r="B189" s="6"/>
      <c r="C189" s="6"/>
      <c r="D189" s="6" t="s">
        <v>47</v>
      </c>
      <c r="E189" s="9" t="s">
        <v>541</v>
      </c>
      <c r="F189" s="14" t="s">
        <v>542</v>
      </c>
      <c r="G189" s="6">
        <v>10</v>
      </c>
      <c r="H189" s="6"/>
      <c r="I189" s="1" t="str">
        <f t="shared" si="189"/>
        <v>090</v>
      </c>
      <c r="J189" s="6" t="b">
        <f t="shared" si="190"/>
        <v>0</v>
      </c>
      <c r="K189" s="6"/>
      <c r="L189" s="6"/>
      <c r="M189" s="1" t="s">
        <v>559</v>
      </c>
      <c r="N189" s="6" t="b">
        <v>0</v>
      </c>
      <c r="O189" s="6"/>
      <c r="P189" s="6"/>
      <c r="Q189" s="1" t="b">
        <f t="shared" si="187"/>
        <v>1</v>
      </c>
      <c r="R189" s="6" t="b">
        <f t="shared" si="188"/>
        <v>1</v>
      </c>
      <c r="S189" s="6"/>
    </row>
    <row r="190" spans="2:19" x14ac:dyDescent="0.15">
      <c r="B190" s="6"/>
      <c r="C190" s="6"/>
      <c r="D190" t="s">
        <v>49</v>
      </c>
      <c r="E190" s="9" t="s">
        <v>544</v>
      </c>
      <c r="F190" s="14" t="s">
        <v>551</v>
      </c>
      <c r="G190">
        <v>16</v>
      </c>
      <c r="H190" s="6"/>
      <c r="I190" s="1" t="str">
        <f t="shared" si="189"/>
        <v>0F0</v>
      </c>
      <c r="J190" s="6" t="b">
        <f t="shared" si="190"/>
        <v>0</v>
      </c>
      <c r="K190" s="6"/>
      <c r="L190" s="6"/>
      <c r="M190" s="1" t="s">
        <v>560</v>
      </c>
      <c r="N190" s="6" t="b">
        <v>0</v>
      </c>
      <c r="O190" s="6"/>
      <c r="P190" s="6"/>
      <c r="Q190" s="1" t="b">
        <f t="shared" si="187"/>
        <v>1</v>
      </c>
      <c r="R190" s="6" t="b">
        <f t="shared" si="188"/>
        <v>1</v>
      </c>
      <c r="S190" s="6"/>
    </row>
    <row r="191" spans="2:19" x14ac:dyDescent="0.15">
      <c r="B191" s="6"/>
      <c r="C191" s="2" t="s">
        <v>241</v>
      </c>
      <c r="D191" s="2" t="s">
        <v>46</v>
      </c>
      <c r="E191" s="11" t="s">
        <v>533</v>
      </c>
      <c r="F191" s="13" t="s">
        <v>535</v>
      </c>
      <c r="G191" s="2">
        <v>2</v>
      </c>
      <c r="H191" s="2"/>
      <c r="I191" s="3" t="str">
        <f t="shared" si="189"/>
        <v>001</v>
      </c>
      <c r="J191" s="2" t="b">
        <f t="shared" si="190"/>
        <v>0</v>
      </c>
      <c r="K191" s="2"/>
      <c r="L191" s="2"/>
      <c r="M191" s="3" t="s">
        <v>82</v>
      </c>
      <c r="N191" s="2" t="b">
        <v>0</v>
      </c>
      <c r="O191" s="2"/>
      <c r="P191" s="2"/>
      <c r="Q191" s="3" t="b">
        <f t="shared" si="187"/>
        <v>1</v>
      </c>
      <c r="R191" s="2" t="b">
        <f t="shared" si="188"/>
        <v>1</v>
      </c>
      <c r="S191" s="6"/>
    </row>
    <row r="192" spans="2:19" x14ac:dyDescent="0.15">
      <c r="B192" s="6"/>
      <c r="C192" s="6"/>
      <c r="D192" s="6" t="s">
        <v>47</v>
      </c>
      <c r="E192" s="9" t="s">
        <v>545</v>
      </c>
      <c r="F192" s="14" t="s">
        <v>542</v>
      </c>
      <c r="G192" s="6">
        <v>10</v>
      </c>
      <c r="H192" s="6"/>
      <c r="I192" s="1" t="str">
        <f t="shared" si="189"/>
        <v>089</v>
      </c>
      <c r="J192" s="6" t="b">
        <f t="shared" si="190"/>
        <v>0</v>
      </c>
      <c r="K192" s="6"/>
      <c r="L192" s="6"/>
      <c r="M192" s="1" t="s">
        <v>561</v>
      </c>
      <c r="N192" s="6" t="b">
        <v>0</v>
      </c>
      <c r="O192" s="6"/>
      <c r="P192" s="6"/>
      <c r="Q192" s="1" t="b">
        <f t="shared" si="187"/>
        <v>1</v>
      </c>
      <c r="R192" s="6" t="b">
        <f t="shared" si="188"/>
        <v>1</v>
      </c>
      <c r="S192" s="6"/>
    </row>
    <row r="193" spans="2:19" x14ac:dyDescent="0.15">
      <c r="B193" s="6"/>
      <c r="C193" s="6"/>
      <c r="D193" t="s">
        <v>49</v>
      </c>
      <c r="E193" s="9" t="s">
        <v>552</v>
      </c>
      <c r="F193" s="14" t="s">
        <v>553</v>
      </c>
      <c r="G193">
        <v>16</v>
      </c>
      <c r="H193" s="6"/>
      <c r="I193" s="1" t="str">
        <f t="shared" si="189"/>
        <v>0EF</v>
      </c>
      <c r="J193" s="6" t="b">
        <f t="shared" si="190"/>
        <v>0</v>
      </c>
      <c r="K193" s="6"/>
      <c r="L193" s="6"/>
      <c r="M193" s="1" t="s">
        <v>562</v>
      </c>
      <c r="N193" s="6" t="b">
        <v>0</v>
      </c>
      <c r="O193" s="6"/>
      <c r="P193" s="6"/>
      <c r="Q193" s="1" t="b">
        <f t="shared" si="187"/>
        <v>1</v>
      </c>
      <c r="R193" s="6" t="b">
        <f t="shared" si="188"/>
        <v>1</v>
      </c>
      <c r="S193" s="6"/>
    </row>
    <row r="194" spans="2:19" x14ac:dyDescent="0.15">
      <c r="B194" s="6"/>
      <c r="C194" s="2" t="s">
        <v>242</v>
      </c>
      <c r="D194" s="2" t="s">
        <v>46</v>
      </c>
      <c r="E194" s="11" t="s">
        <v>535</v>
      </c>
      <c r="F194" s="13" t="s">
        <v>550</v>
      </c>
      <c r="G194" s="2">
        <v>2</v>
      </c>
      <c r="H194" s="2"/>
      <c r="I194" s="3" t="str">
        <f t="shared" si="189"/>
        <v>10</v>
      </c>
      <c r="J194" s="2" t="b">
        <f t="shared" si="190"/>
        <v>0</v>
      </c>
      <c r="K194" s="2"/>
      <c r="L194" s="2"/>
      <c r="M194" s="3" t="s">
        <v>15</v>
      </c>
      <c r="N194" s="2" t="b">
        <v>0</v>
      </c>
      <c r="O194" s="2"/>
      <c r="P194" s="2"/>
      <c r="Q194" s="3" t="b">
        <f t="shared" si="187"/>
        <v>1</v>
      </c>
      <c r="R194" s="2" t="b">
        <f t="shared" si="188"/>
        <v>1</v>
      </c>
      <c r="S194" s="6"/>
    </row>
    <row r="195" spans="2:19" x14ac:dyDescent="0.15">
      <c r="B195" s="6"/>
      <c r="C195" s="6"/>
      <c r="D195" s="6" t="s">
        <v>47</v>
      </c>
      <c r="E195" s="9" t="s">
        <v>542</v>
      </c>
      <c r="F195" s="14" t="s">
        <v>546</v>
      </c>
      <c r="G195" s="6">
        <v>10</v>
      </c>
      <c r="H195" s="6"/>
      <c r="I195" s="1" t="str">
        <f t="shared" si="189"/>
        <v>10</v>
      </c>
      <c r="J195" s="6" t="b">
        <f t="shared" si="190"/>
        <v>0</v>
      </c>
      <c r="K195" s="6"/>
      <c r="L195" s="6"/>
      <c r="M195" s="1" t="s">
        <v>15</v>
      </c>
      <c r="N195" s="6" t="b">
        <v>0</v>
      </c>
      <c r="O195" s="6"/>
      <c r="P195" s="6"/>
      <c r="Q195" s="1" t="b">
        <f t="shared" si="187"/>
        <v>1</v>
      </c>
      <c r="R195" s="6" t="b">
        <f t="shared" si="188"/>
        <v>1</v>
      </c>
      <c r="S195" s="6"/>
    </row>
    <row r="196" spans="2:19" x14ac:dyDescent="0.15">
      <c r="B196" s="6"/>
      <c r="C196" s="6"/>
      <c r="D196" t="s">
        <v>49</v>
      </c>
      <c r="E196" s="9" t="s">
        <v>554</v>
      </c>
      <c r="F196" s="14" t="s">
        <v>548</v>
      </c>
      <c r="G196">
        <v>16</v>
      </c>
      <c r="H196" s="6"/>
      <c r="I196" s="1" t="str">
        <f t="shared" si="189"/>
        <v>10</v>
      </c>
      <c r="J196" s="6" t="b">
        <f t="shared" si="190"/>
        <v>0</v>
      </c>
      <c r="K196" s="6"/>
      <c r="L196" s="6"/>
      <c r="M196" s="1" t="s">
        <v>15</v>
      </c>
      <c r="N196" s="6" t="b">
        <v>0</v>
      </c>
      <c r="O196" s="6"/>
      <c r="P196" s="6"/>
      <c r="Q196" s="1" t="b">
        <f t="shared" si="187"/>
        <v>1</v>
      </c>
      <c r="R196" s="6" t="b">
        <f t="shared" si="188"/>
        <v>1</v>
      </c>
      <c r="S196" s="6"/>
    </row>
    <row r="197" spans="2:19" x14ac:dyDescent="0.15">
      <c r="B197" s="6"/>
      <c r="C197" s="2" t="s">
        <v>243</v>
      </c>
      <c r="D197" s="2" t="s">
        <v>46</v>
      </c>
      <c r="E197" s="11" t="s">
        <v>536</v>
      </c>
      <c r="F197" s="13" t="s">
        <v>534</v>
      </c>
      <c r="G197" s="2">
        <v>2</v>
      </c>
      <c r="H197" s="2"/>
      <c r="I197" s="3" t="str">
        <f t="shared" si="189"/>
        <v>101</v>
      </c>
      <c r="J197" s="2" t="b">
        <f t="shared" si="190"/>
        <v>0</v>
      </c>
      <c r="K197" s="2"/>
      <c r="L197" s="2"/>
      <c r="M197" s="3" t="s">
        <v>280</v>
      </c>
      <c r="N197" s="2" t="b">
        <v>0</v>
      </c>
      <c r="O197" s="2"/>
      <c r="P197" s="2"/>
      <c r="Q197" s="3" t="b">
        <f t="shared" si="187"/>
        <v>1</v>
      </c>
      <c r="R197" s="2" t="b">
        <f t="shared" si="188"/>
        <v>1</v>
      </c>
      <c r="S197" s="6"/>
    </row>
    <row r="198" spans="2:19" x14ac:dyDescent="0.15">
      <c r="B198" s="6"/>
      <c r="C198" s="6"/>
      <c r="D198" s="6" t="s">
        <v>47</v>
      </c>
      <c r="E198" s="9" t="s">
        <v>556</v>
      </c>
      <c r="F198" s="14" t="s">
        <v>546</v>
      </c>
      <c r="G198" s="6">
        <v>10</v>
      </c>
      <c r="H198" s="6"/>
      <c r="I198" s="1" t="str">
        <f t="shared" si="189"/>
        <v>109</v>
      </c>
      <c r="J198" s="6" t="b">
        <f t="shared" si="190"/>
        <v>0</v>
      </c>
      <c r="K198" s="6"/>
      <c r="L198" s="6"/>
      <c r="M198" s="1" t="s">
        <v>540</v>
      </c>
      <c r="N198" s="6" t="b">
        <v>0</v>
      </c>
      <c r="O198" s="6"/>
      <c r="P198" s="6"/>
      <c r="Q198" s="1" t="b">
        <f t="shared" si="187"/>
        <v>1</v>
      </c>
      <c r="R198" s="6" t="b">
        <f t="shared" si="188"/>
        <v>1</v>
      </c>
      <c r="S198" s="6"/>
    </row>
    <row r="199" spans="2:19" x14ac:dyDescent="0.15">
      <c r="B199" s="6"/>
      <c r="C199" s="6"/>
      <c r="D199" t="s">
        <v>49</v>
      </c>
      <c r="E199" s="9" t="s">
        <v>557</v>
      </c>
      <c r="F199" s="14" t="s">
        <v>555</v>
      </c>
      <c r="G199">
        <v>16</v>
      </c>
      <c r="H199" s="6"/>
      <c r="I199" s="1" t="str">
        <f t="shared" si="189"/>
        <v>10F</v>
      </c>
      <c r="J199" s="6" t="b">
        <f t="shared" si="190"/>
        <v>0</v>
      </c>
      <c r="K199" s="6"/>
      <c r="L199" s="6"/>
      <c r="M199" s="1" t="s">
        <v>543</v>
      </c>
      <c r="N199" s="6" t="b">
        <v>0</v>
      </c>
      <c r="O199" s="6"/>
      <c r="P199" s="6"/>
      <c r="Q199" s="1" t="b">
        <f t="shared" si="187"/>
        <v>1</v>
      </c>
      <c r="R199" s="6" t="b">
        <f t="shared" si="188"/>
        <v>1</v>
      </c>
      <c r="S199" s="6"/>
    </row>
    <row r="200" spans="2:19" x14ac:dyDescent="0.15">
      <c r="B200" s="6"/>
      <c r="C200" s="2" t="s">
        <v>244</v>
      </c>
      <c r="D200" s="2" t="s">
        <v>46</v>
      </c>
      <c r="E200" s="11" t="s">
        <v>535</v>
      </c>
      <c r="F200" s="13" t="s">
        <v>535</v>
      </c>
      <c r="G200" s="2">
        <v>2</v>
      </c>
      <c r="H200" s="2"/>
      <c r="I200" s="3" t="str">
        <f t="shared" si="189"/>
        <v>00</v>
      </c>
      <c r="J200" s="2" t="b">
        <f t="shared" si="190"/>
        <v>0</v>
      </c>
      <c r="K200" s="2"/>
      <c r="L200" s="2"/>
      <c r="M200" s="3" t="s">
        <v>98</v>
      </c>
      <c r="N200" s="2" t="b">
        <v>0</v>
      </c>
      <c r="O200" s="2"/>
      <c r="P200" s="2"/>
      <c r="Q200" s="3" t="b">
        <f t="shared" si="187"/>
        <v>1</v>
      </c>
      <c r="R200" s="2" t="b">
        <f t="shared" si="188"/>
        <v>1</v>
      </c>
      <c r="S200" s="6"/>
    </row>
    <row r="201" spans="2:19" x14ac:dyDescent="0.15">
      <c r="B201" s="6"/>
      <c r="C201" s="6"/>
      <c r="D201" s="6" t="s">
        <v>47</v>
      </c>
      <c r="E201" s="9" t="s">
        <v>542</v>
      </c>
      <c r="F201" s="14" t="s">
        <v>542</v>
      </c>
      <c r="G201" s="6">
        <v>10</v>
      </c>
      <c r="H201" s="6"/>
      <c r="I201" s="1" t="str">
        <f t="shared" si="189"/>
        <v>00</v>
      </c>
      <c r="J201" s="6" t="b">
        <f t="shared" si="190"/>
        <v>0</v>
      </c>
      <c r="K201" s="6"/>
      <c r="L201" s="6"/>
      <c r="M201" s="1" t="s">
        <v>98</v>
      </c>
      <c r="N201" s="6" t="b">
        <v>0</v>
      </c>
      <c r="O201" s="6"/>
      <c r="P201" s="6"/>
      <c r="Q201" s="1" t="b">
        <f t="shared" si="187"/>
        <v>1</v>
      </c>
      <c r="R201" s="6" t="b">
        <f t="shared" si="188"/>
        <v>1</v>
      </c>
      <c r="S201" s="6"/>
    </row>
    <row r="202" spans="2:19" x14ac:dyDescent="0.15">
      <c r="B202" s="6"/>
      <c r="C202" s="6"/>
      <c r="D202" t="s">
        <v>49</v>
      </c>
      <c r="E202" s="9" t="s">
        <v>554</v>
      </c>
      <c r="F202" s="14" t="s">
        <v>554</v>
      </c>
      <c r="G202">
        <v>16</v>
      </c>
      <c r="H202" s="6"/>
      <c r="I202" s="1" t="str">
        <f t="shared" si="189"/>
        <v>00</v>
      </c>
      <c r="J202" s="6" t="b">
        <f t="shared" si="190"/>
        <v>0</v>
      </c>
      <c r="K202" s="6"/>
      <c r="L202" s="6"/>
      <c r="M202" s="1" t="s">
        <v>98</v>
      </c>
      <c r="N202" s="6" t="b">
        <v>0</v>
      </c>
      <c r="O202" s="6"/>
      <c r="P202" s="6"/>
      <c r="Q202" s="1" t="b">
        <f t="shared" si="187"/>
        <v>1</v>
      </c>
      <c r="R202" s="6" t="b">
        <f t="shared" si="188"/>
        <v>1</v>
      </c>
      <c r="S202" s="6"/>
    </row>
    <row r="203" spans="2:19" x14ac:dyDescent="0.15">
      <c r="B203" s="6"/>
      <c r="C203" s="2" t="s">
        <v>245</v>
      </c>
      <c r="D203" s="2" t="s">
        <v>46</v>
      </c>
      <c r="E203" s="11" t="s">
        <v>536</v>
      </c>
      <c r="F203" s="13" t="s">
        <v>535</v>
      </c>
      <c r="G203" s="2">
        <v>2</v>
      </c>
      <c r="H203" s="2"/>
      <c r="I203" s="3" t="str">
        <f t="shared" si="189"/>
        <v>011</v>
      </c>
      <c r="J203" s="2" t="b">
        <f t="shared" si="190"/>
        <v>0</v>
      </c>
      <c r="K203" s="2"/>
      <c r="L203" s="2"/>
      <c r="M203" s="3" t="s">
        <v>78</v>
      </c>
      <c r="N203" s="2" t="b">
        <v>0</v>
      </c>
      <c r="O203" s="2"/>
      <c r="P203" s="2"/>
      <c r="Q203" s="3" t="b">
        <f t="shared" si="187"/>
        <v>1</v>
      </c>
      <c r="R203" s="2" t="b">
        <f t="shared" si="188"/>
        <v>1</v>
      </c>
      <c r="S203" s="6"/>
    </row>
    <row r="204" spans="2:19" x14ac:dyDescent="0.15">
      <c r="B204" s="6"/>
      <c r="C204" s="6"/>
      <c r="D204" s="6" t="s">
        <v>47</v>
      </c>
      <c r="E204" s="9" t="s">
        <v>556</v>
      </c>
      <c r="F204" s="14" t="s">
        <v>542</v>
      </c>
      <c r="G204" s="6">
        <v>10</v>
      </c>
      <c r="H204" s="6"/>
      <c r="I204" s="1" t="str">
        <f t="shared" si="189"/>
        <v>099</v>
      </c>
      <c r="J204" s="6" t="b">
        <f t="shared" si="190"/>
        <v>0</v>
      </c>
      <c r="K204" s="6"/>
      <c r="L204" s="6"/>
      <c r="M204" s="1" t="s">
        <v>154</v>
      </c>
      <c r="N204" s="6" t="b">
        <v>0</v>
      </c>
      <c r="O204" s="6"/>
      <c r="P204" s="6"/>
      <c r="Q204" s="1" t="b">
        <f t="shared" si="187"/>
        <v>1</v>
      </c>
      <c r="R204" s="6" t="b">
        <f t="shared" si="188"/>
        <v>1</v>
      </c>
      <c r="S204" s="6"/>
    </row>
    <row r="205" spans="2:19" x14ac:dyDescent="0.15">
      <c r="B205" s="6"/>
      <c r="C205" s="6"/>
      <c r="D205" t="s">
        <v>49</v>
      </c>
      <c r="E205" s="9" t="s">
        <v>557</v>
      </c>
      <c r="F205" s="14" t="s">
        <v>554</v>
      </c>
      <c r="G205">
        <v>16</v>
      </c>
      <c r="H205" s="6"/>
      <c r="I205" s="1" t="str">
        <f t="shared" si="189"/>
        <v>0FF</v>
      </c>
      <c r="J205" s="6" t="b">
        <f t="shared" si="190"/>
        <v>0</v>
      </c>
      <c r="K205" s="6"/>
      <c r="L205" s="6"/>
      <c r="M205" s="1" t="s">
        <v>157</v>
      </c>
      <c r="N205" s="6" t="b">
        <v>0</v>
      </c>
      <c r="O205" s="6"/>
      <c r="P205" s="6"/>
      <c r="Q205" s="1" t="b">
        <f t="shared" si="187"/>
        <v>1</v>
      </c>
      <c r="R205" s="6" t="b">
        <f t="shared" si="188"/>
        <v>1</v>
      </c>
      <c r="S205" s="6"/>
    </row>
    <row r="206" spans="2:19" x14ac:dyDescent="0.15">
      <c r="B206" s="2" t="s">
        <v>563</v>
      </c>
      <c r="C206" s="2"/>
      <c r="D206" s="2" t="s">
        <v>46</v>
      </c>
      <c r="E206" s="11" t="s">
        <v>564</v>
      </c>
      <c r="F206" s="13" t="s">
        <v>565</v>
      </c>
      <c r="G206" s="2">
        <v>2</v>
      </c>
      <c r="H206" s="2"/>
      <c r="I206" s="3" t="str">
        <f t="shared" ref="I206:I208" si="191">TESTsubtract(E206,F206,G206)</f>
        <v>1</v>
      </c>
      <c r="J206" s="2" t="b">
        <f t="shared" ref="J206:J208" si="192">TESTsubtractByRef1(E206,F206,G206)</f>
        <v>1</v>
      </c>
      <c r="K206" s="2"/>
      <c r="L206" s="2"/>
      <c r="M206" s="3" t="s">
        <v>44</v>
      </c>
      <c r="N206" s="2" t="b">
        <v>1</v>
      </c>
      <c r="O206" s="2"/>
      <c r="P206" s="2"/>
      <c r="Q206" s="3" t="b">
        <f t="shared" ref="Q206:Q208" si="193">getText(I206)=getText(M206)</f>
        <v>1</v>
      </c>
      <c r="R206" s="2" t="b">
        <f t="shared" ref="R206:R208" si="194">getText(J206)=getText(N206)</f>
        <v>1</v>
      </c>
      <c r="S206" s="6"/>
    </row>
    <row r="207" spans="2:19" x14ac:dyDescent="0.15">
      <c r="B207" s="6"/>
      <c r="C207" s="6"/>
      <c r="D207" s="6" t="s">
        <v>47</v>
      </c>
      <c r="E207" s="9" t="s">
        <v>566</v>
      </c>
      <c r="F207" s="14" t="s">
        <v>567</v>
      </c>
      <c r="G207" s="6">
        <v>10</v>
      </c>
      <c r="H207" s="6"/>
      <c r="I207" s="1" t="str">
        <f t="shared" si="191"/>
        <v>1</v>
      </c>
      <c r="J207" s="6" t="b">
        <f t="shared" si="192"/>
        <v>1</v>
      </c>
      <c r="K207" s="6"/>
      <c r="L207" s="6"/>
      <c r="M207" s="1" t="s">
        <v>44</v>
      </c>
      <c r="N207" s="6" t="b">
        <v>1</v>
      </c>
      <c r="O207" s="6"/>
      <c r="P207" s="6"/>
      <c r="Q207" s="1" t="b">
        <f t="shared" si="193"/>
        <v>1</v>
      </c>
      <c r="R207" s="6" t="b">
        <f t="shared" si="194"/>
        <v>1</v>
      </c>
      <c r="S207" s="6"/>
    </row>
    <row r="208" spans="2:19" x14ac:dyDescent="0.15">
      <c r="B208" s="6"/>
      <c r="C208" s="6"/>
      <c r="D208" t="s">
        <v>49</v>
      </c>
      <c r="E208" s="9" t="s">
        <v>568</v>
      </c>
      <c r="F208" s="14" t="s">
        <v>569</v>
      </c>
      <c r="G208">
        <v>16</v>
      </c>
      <c r="H208" s="6"/>
      <c r="I208" s="1" t="str">
        <f t="shared" si="191"/>
        <v>1</v>
      </c>
      <c r="J208" s="6" t="b">
        <f t="shared" si="192"/>
        <v>1</v>
      </c>
      <c r="K208" s="6"/>
      <c r="L208" s="6"/>
      <c r="M208" s="1" t="s">
        <v>44</v>
      </c>
      <c r="N208" s="6" t="b">
        <v>1</v>
      </c>
      <c r="O208" s="6"/>
      <c r="P208" s="6"/>
      <c r="Q208" s="36" t="b">
        <f t="shared" si="193"/>
        <v>1</v>
      </c>
      <c r="R208" s="35" t="b">
        <f t="shared" si="194"/>
        <v>1</v>
      </c>
      <c r="S208" s="6"/>
    </row>
    <row r="209" spans="1:19" x14ac:dyDescent="0.15">
      <c r="A209" s="2" t="s">
        <v>387</v>
      </c>
      <c r="B209" s="2" t="s">
        <v>219</v>
      </c>
      <c r="C209" s="22">
        <v>0</v>
      </c>
      <c r="D209" s="2" t="s">
        <v>46</v>
      </c>
      <c r="E209" s="11" t="s">
        <v>392</v>
      </c>
      <c r="F209" s="13" t="s">
        <v>389</v>
      </c>
      <c r="G209" s="2">
        <v>2</v>
      </c>
      <c r="H209" s="2"/>
      <c r="I209" s="3" t="str">
        <f>TESTmultiple(E209,F209,G209)</f>
        <v>00</v>
      </c>
      <c r="J209" s="2"/>
      <c r="K209" s="2"/>
      <c r="L209" s="2"/>
      <c r="M209" s="3" t="s">
        <v>98</v>
      </c>
      <c r="N209" s="2"/>
      <c r="O209" s="2"/>
      <c r="P209" s="2"/>
      <c r="Q209" s="3" t="b">
        <f t="shared" ref="Q209:Q211" si="195">getText(I209)=getText(M209)</f>
        <v>1</v>
      </c>
      <c r="R209" s="2"/>
      <c r="S209" s="6"/>
    </row>
    <row r="210" spans="1:19" x14ac:dyDescent="0.15">
      <c r="C210" s="27"/>
      <c r="D210" s="6" t="s">
        <v>47</v>
      </c>
      <c r="E210" s="9" t="s">
        <v>391</v>
      </c>
      <c r="F210" s="14" t="s">
        <v>393</v>
      </c>
      <c r="G210" s="6">
        <v>10</v>
      </c>
      <c r="H210" s="6"/>
      <c r="I210" s="1" t="str">
        <f t="shared" ref="I210:I211" si="196">TESTmultiple(E210,F210,G210)</f>
        <v>00</v>
      </c>
      <c r="J210" s="6"/>
      <c r="K210" s="6"/>
      <c r="L210" s="6"/>
      <c r="M210" s="1" t="s">
        <v>98</v>
      </c>
      <c r="N210" s="6"/>
      <c r="O210" s="6"/>
      <c r="P210" s="6"/>
      <c r="Q210" s="1" t="b">
        <f t="shared" si="195"/>
        <v>1</v>
      </c>
      <c r="R210" s="6"/>
      <c r="S210" s="6"/>
    </row>
    <row r="211" spans="1:19" x14ac:dyDescent="0.15">
      <c r="C211" s="27"/>
      <c r="D211" s="6" t="s">
        <v>49</v>
      </c>
      <c r="E211" s="9" t="s">
        <v>391</v>
      </c>
      <c r="F211" s="14" t="s">
        <v>393</v>
      </c>
      <c r="G211" s="6">
        <v>16</v>
      </c>
      <c r="H211" s="6"/>
      <c r="I211" s="1" t="str">
        <f t="shared" si="196"/>
        <v>00</v>
      </c>
      <c r="J211" s="6"/>
      <c r="K211" s="6"/>
      <c r="L211" s="6"/>
      <c r="M211" s="1" t="s">
        <v>98</v>
      </c>
      <c r="N211" s="6"/>
      <c r="O211" s="6"/>
      <c r="P211" s="6"/>
      <c r="Q211" s="1" t="b">
        <f t="shared" si="195"/>
        <v>1</v>
      </c>
      <c r="R211" s="6"/>
      <c r="S211" s="6"/>
    </row>
    <row r="212" spans="1:19" x14ac:dyDescent="0.15">
      <c r="C212" s="22">
        <v>1</v>
      </c>
      <c r="D212" s="2" t="s">
        <v>46</v>
      </c>
      <c r="E212" s="11" t="s">
        <v>391</v>
      </c>
      <c r="F212" s="13" t="s">
        <v>394</v>
      </c>
      <c r="G212" s="2">
        <v>2</v>
      </c>
      <c r="H212" s="2"/>
      <c r="I212" s="3" t="str">
        <f t="shared" ref="I212:I214" si="197">TESTmultiple(E212,F212,G212)</f>
        <v>11</v>
      </c>
      <c r="J212" s="2"/>
      <c r="K212" s="2"/>
      <c r="L212" s="2"/>
      <c r="M212" s="3" t="s">
        <v>18</v>
      </c>
      <c r="N212" s="2"/>
      <c r="O212" s="2"/>
      <c r="P212" s="2"/>
      <c r="Q212" s="3" t="b">
        <f t="shared" ref="Q212:Q214" si="198">getText(I212)=getText(M212)</f>
        <v>1</v>
      </c>
      <c r="R212" s="6"/>
      <c r="S212" s="6"/>
    </row>
    <row r="213" spans="1:19" x14ac:dyDescent="0.15">
      <c r="C213" s="27"/>
      <c r="D213" s="6" t="s">
        <v>47</v>
      </c>
      <c r="E213" s="9" t="s">
        <v>391</v>
      </c>
      <c r="F213" s="14" t="s">
        <v>394</v>
      </c>
      <c r="G213" s="6">
        <v>10</v>
      </c>
      <c r="H213" s="6"/>
      <c r="I213" s="1" t="str">
        <f t="shared" si="197"/>
        <v>11</v>
      </c>
      <c r="J213" s="6"/>
      <c r="K213" s="6"/>
      <c r="L213" s="6"/>
      <c r="M213" s="1" t="s">
        <v>18</v>
      </c>
      <c r="N213" s="6"/>
      <c r="O213" s="6"/>
      <c r="P213" s="6"/>
      <c r="Q213" s="1" t="b">
        <f t="shared" si="198"/>
        <v>1</v>
      </c>
      <c r="R213" s="6"/>
      <c r="S213" s="6"/>
    </row>
    <row r="214" spans="1:19" x14ac:dyDescent="0.15">
      <c r="C214" s="27"/>
      <c r="D214" s="6" t="s">
        <v>49</v>
      </c>
      <c r="E214" s="9" t="s">
        <v>391</v>
      </c>
      <c r="F214" s="14" t="s">
        <v>394</v>
      </c>
      <c r="G214" s="6">
        <v>16</v>
      </c>
      <c r="H214" s="6"/>
      <c r="I214" s="1" t="str">
        <f t="shared" si="197"/>
        <v>11</v>
      </c>
      <c r="J214" s="6"/>
      <c r="K214" s="6"/>
      <c r="L214" s="6"/>
      <c r="M214" s="1" t="s">
        <v>18</v>
      </c>
      <c r="N214" s="6"/>
      <c r="O214" s="6"/>
      <c r="P214" s="6"/>
      <c r="Q214" s="1" t="b">
        <f t="shared" si="198"/>
        <v>1</v>
      </c>
      <c r="R214" s="6"/>
      <c r="S214" s="6"/>
    </row>
    <row r="215" spans="1:19" x14ac:dyDescent="0.15">
      <c r="C215" s="22" t="s">
        <v>390</v>
      </c>
      <c r="D215" s="2" t="s">
        <v>304</v>
      </c>
      <c r="E215" s="11" t="s">
        <v>391</v>
      </c>
      <c r="F215" s="13" t="s">
        <v>404</v>
      </c>
      <c r="G215" s="2">
        <v>3</v>
      </c>
      <c r="H215" s="2"/>
      <c r="I215" s="3" t="str">
        <f t="shared" ref="I215:I217" si="199">TESTmultiple(E215,F215,G215)</f>
        <v>22</v>
      </c>
      <c r="J215" s="2"/>
      <c r="K215" s="2"/>
      <c r="L215" s="2"/>
      <c r="M215" s="3" t="s">
        <v>402</v>
      </c>
      <c r="N215" s="2"/>
      <c r="O215" s="2"/>
      <c r="P215" s="2"/>
      <c r="Q215" s="3" t="b">
        <f t="shared" ref="Q215:Q220" si="200">getText(I215)=getText(M215)</f>
        <v>1</v>
      </c>
      <c r="R215" s="6"/>
      <c r="S215" s="6"/>
    </row>
    <row r="216" spans="1:19" x14ac:dyDescent="0.15">
      <c r="C216" s="6"/>
      <c r="D216" s="6" t="s">
        <v>47</v>
      </c>
      <c r="E216" s="9" t="s">
        <v>391</v>
      </c>
      <c r="F216" s="14" t="s">
        <v>395</v>
      </c>
      <c r="G216" s="6">
        <v>10</v>
      </c>
      <c r="H216" s="6"/>
      <c r="I216" s="1" t="str">
        <f t="shared" si="199"/>
        <v>99</v>
      </c>
      <c r="J216" s="6"/>
      <c r="K216" s="6"/>
      <c r="L216" s="6"/>
      <c r="M216" s="1" t="s">
        <v>228</v>
      </c>
      <c r="N216" s="6"/>
      <c r="O216" s="6"/>
      <c r="P216" s="6"/>
      <c r="Q216" s="1" t="b">
        <f t="shared" si="200"/>
        <v>1</v>
      </c>
      <c r="R216" s="6"/>
      <c r="S216" s="6"/>
    </row>
    <row r="217" spans="1:19" x14ac:dyDescent="0.15">
      <c r="C217" s="6"/>
      <c r="D217" s="6" t="s">
        <v>49</v>
      </c>
      <c r="E217" s="9" t="s">
        <v>391</v>
      </c>
      <c r="F217" s="14" t="s">
        <v>396</v>
      </c>
      <c r="G217" s="6">
        <v>16</v>
      </c>
      <c r="H217" s="6"/>
      <c r="I217" s="1" t="str">
        <f t="shared" si="199"/>
        <v>FF</v>
      </c>
      <c r="J217" s="6"/>
      <c r="K217" s="6"/>
      <c r="L217" s="6"/>
      <c r="M217" s="1" t="s">
        <v>22</v>
      </c>
      <c r="N217" s="6"/>
      <c r="O217" s="6"/>
      <c r="P217" s="6"/>
      <c r="Q217" s="1" t="b">
        <f t="shared" si="200"/>
        <v>1</v>
      </c>
      <c r="R217" s="6"/>
      <c r="S217" s="6"/>
    </row>
    <row r="218" spans="1:19" x14ac:dyDescent="0.15">
      <c r="B218" s="2" t="s">
        <v>224</v>
      </c>
      <c r="C218" s="22">
        <v>10</v>
      </c>
      <c r="D218" s="2" t="s">
        <v>46</v>
      </c>
      <c r="E218" s="11" t="s">
        <v>392</v>
      </c>
      <c r="F218" s="13" t="s">
        <v>397</v>
      </c>
      <c r="G218" s="2">
        <v>2</v>
      </c>
      <c r="H218" s="2"/>
      <c r="I218" s="3" t="str">
        <f>TESTmultiple(E218,F218,G218)</f>
        <v>110</v>
      </c>
      <c r="J218" s="2"/>
      <c r="K218" s="2"/>
      <c r="L218" s="2"/>
      <c r="M218" s="3" t="s">
        <v>291</v>
      </c>
      <c r="N218" s="2"/>
      <c r="O218" s="2"/>
      <c r="P218" s="2"/>
      <c r="Q218" s="3" t="b">
        <f t="shared" si="200"/>
        <v>1</v>
      </c>
      <c r="R218" s="6"/>
      <c r="S218" s="6"/>
    </row>
    <row r="219" spans="1:19" x14ac:dyDescent="0.15">
      <c r="C219" s="27"/>
      <c r="D219" s="6" t="s">
        <v>47</v>
      </c>
      <c r="E219" s="9" t="s">
        <v>391</v>
      </c>
      <c r="F219" s="14" t="s">
        <v>397</v>
      </c>
      <c r="G219" s="6">
        <v>10</v>
      </c>
      <c r="H219" s="6"/>
      <c r="I219" s="1" t="str">
        <f t="shared" ref="I219:I220" si="201">TESTmultiple(E219,F219,G219)</f>
        <v>110</v>
      </c>
      <c r="J219" s="6"/>
      <c r="K219" s="6"/>
      <c r="L219" s="6"/>
      <c r="M219" s="1" t="s">
        <v>291</v>
      </c>
      <c r="N219" s="6"/>
      <c r="O219" s="6"/>
      <c r="P219" s="6"/>
      <c r="Q219" s="1" t="b">
        <f t="shared" si="200"/>
        <v>1</v>
      </c>
      <c r="R219" s="6"/>
      <c r="S219" s="6"/>
    </row>
    <row r="220" spans="1:19" x14ac:dyDescent="0.15">
      <c r="C220" s="27"/>
      <c r="D220" s="6" t="s">
        <v>49</v>
      </c>
      <c r="E220" s="9" t="s">
        <v>391</v>
      </c>
      <c r="F220" s="14" t="s">
        <v>397</v>
      </c>
      <c r="G220" s="6">
        <v>16</v>
      </c>
      <c r="H220" s="6"/>
      <c r="I220" s="1" t="str">
        <f t="shared" si="201"/>
        <v>110</v>
      </c>
      <c r="J220" s="6"/>
      <c r="K220" s="6"/>
      <c r="L220" s="6"/>
      <c r="M220" s="1" t="s">
        <v>291</v>
      </c>
      <c r="N220" s="6"/>
      <c r="O220" s="6"/>
      <c r="P220" s="6"/>
      <c r="Q220" s="1" t="b">
        <f t="shared" si="200"/>
        <v>1</v>
      </c>
      <c r="R220" s="6"/>
      <c r="S220" s="6"/>
    </row>
    <row r="221" spans="1:19" x14ac:dyDescent="0.15">
      <c r="C221" s="22">
        <v>11</v>
      </c>
      <c r="D221" s="2" t="s">
        <v>46</v>
      </c>
      <c r="E221" s="11" t="s">
        <v>391</v>
      </c>
      <c r="F221" s="13" t="s">
        <v>391</v>
      </c>
      <c r="G221" s="2">
        <v>2</v>
      </c>
      <c r="H221" s="2"/>
      <c r="I221" s="3" t="str">
        <f t="shared" ref="I221:I223" si="202">TESTmultiple(E221,F221,G221)</f>
        <v>1001</v>
      </c>
      <c r="J221" s="2"/>
      <c r="K221" s="2"/>
      <c r="L221" s="2"/>
      <c r="M221" s="3" t="s">
        <v>401</v>
      </c>
      <c r="N221" s="2"/>
      <c r="O221" s="2"/>
      <c r="P221" s="2"/>
      <c r="Q221" s="3" t="b">
        <f t="shared" ref="Q221:Q223" si="203">getText(I221)=getText(M221)</f>
        <v>1</v>
      </c>
      <c r="R221" s="6"/>
      <c r="S221" s="6"/>
    </row>
    <row r="222" spans="1:19" x14ac:dyDescent="0.15">
      <c r="C222" s="6"/>
      <c r="D222" s="6" t="s">
        <v>47</v>
      </c>
      <c r="E222" s="9" t="s">
        <v>391</v>
      </c>
      <c r="F222" s="14" t="s">
        <v>391</v>
      </c>
      <c r="G222" s="6">
        <v>10</v>
      </c>
      <c r="H222" s="6"/>
      <c r="I222" s="1" t="str">
        <f t="shared" si="202"/>
        <v>121</v>
      </c>
      <c r="J222" s="6"/>
      <c r="K222" s="6"/>
      <c r="L222" s="6"/>
      <c r="M222" s="1" t="s">
        <v>319</v>
      </c>
      <c r="N222" s="6"/>
      <c r="O222" s="6"/>
      <c r="P222" s="6"/>
      <c r="Q222" s="1" t="b">
        <f t="shared" si="203"/>
        <v>1</v>
      </c>
      <c r="R222" s="6"/>
      <c r="S222" s="6"/>
    </row>
    <row r="223" spans="1:19" x14ac:dyDescent="0.15">
      <c r="C223" s="6"/>
      <c r="D223" s="6" t="s">
        <v>49</v>
      </c>
      <c r="E223" s="9" t="s">
        <v>391</v>
      </c>
      <c r="F223" s="14" t="s">
        <v>391</v>
      </c>
      <c r="G223" s="6">
        <v>16</v>
      </c>
      <c r="H223" s="6"/>
      <c r="I223" s="1" t="str">
        <f t="shared" si="202"/>
        <v>121</v>
      </c>
      <c r="J223" s="6"/>
      <c r="K223" s="6"/>
      <c r="L223" s="6"/>
      <c r="M223" s="1" t="s">
        <v>319</v>
      </c>
      <c r="N223" s="6"/>
      <c r="O223" s="6"/>
      <c r="P223" s="6"/>
      <c r="Q223" s="1" t="b">
        <f t="shared" si="203"/>
        <v>1</v>
      </c>
      <c r="R223" s="6"/>
      <c r="S223" s="6"/>
    </row>
    <row r="224" spans="1:19" x14ac:dyDescent="0.15">
      <c r="C224" s="22" t="s">
        <v>398</v>
      </c>
      <c r="D224" s="2" t="s">
        <v>304</v>
      </c>
      <c r="E224" s="11" t="s">
        <v>391</v>
      </c>
      <c r="F224" s="13" t="s">
        <v>403</v>
      </c>
      <c r="G224" s="2">
        <v>3</v>
      </c>
      <c r="H224" s="2"/>
      <c r="I224" s="3" t="str">
        <f t="shared" ref="I224:I226" si="204">TESTmultiple(E224,F224,G224)</f>
        <v>1012</v>
      </c>
      <c r="J224" s="2"/>
      <c r="K224" s="2"/>
      <c r="L224" s="2"/>
      <c r="M224" s="3" t="s">
        <v>405</v>
      </c>
      <c r="N224" s="2"/>
      <c r="O224" s="2"/>
      <c r="P224" s="2"/>
      <c r="Q224" s="3" t="b">
        <f t="shared" ref="Q224:Q226" si="205">getText(I224)=getText(M224)</f>
        <v>1</v>
      </c>
      <c r="R224" s="6"/>
      <c r="S224" s="6"/>
    </row>
    <row r="225" spans="2:19" x14ac:dyDescent="0.15">
      <c r="C225" s="6"/>
      <c r="D225" s="6" t="s">
        <v>47</v>
      </c>
      <c r="E225" s="9" t="s">
        <v>391</v>
      </c>
      <c r="F225" s="14" t="s">
        <v>399</v>
      </c>
      <c r="G225" s="6">
        <v>10</v>
      </c>
      <c r="H225" s="6"/>
      <c r="I225" s="1" t="str">
        <f t="shared" si="204"/>
        <v>1089</v>
      </c>
      <c r="J225" s="6"/>
      <c r="K225" s="6"/>
      <c r="L225" s="6"/>
      <c r="M225" s="1" t="s">
        <v>406</v>
      </c>
      <c r="N225" s="6"/>
      <c r="O225" s="6"/>
      <c r="P225" s="6"/>
      <c r="Q225" s="1" t="b">
        <f t="shared" si="205"/>
        <v>1</v>
      </c>
      <c r="R225" s="6"/>
      <c r="S225" s="6"/>
    </row>
    <row r="226" spans="2:19" x14ac:dyDescent="0.15">
      <c r="C226" s="6"/>
      <c r="D226" s="6" t="s">
        <v>49</v>
      </c>
      <c r="E226" s="9" t="s">
        <v>391</v>
      </c>
      <c r="F226" s="14" t="s">
        <v>400</v>
      </c>
      <c r="G226" s="6">
        <v>16</v>
      </c>
      <c r="H226" s="6"/>
      <c r="I226" s="1" t="str">
        <f t="shared" si="204"/>
        <v>10EF</v>
      </c>
      <c r="J226" s="6"/>
      <c r="K226" s="6"/>
      <c r="L226" s="6"/>
      <c r="M226" s="1" t="s">
        <v>407</v>
      </c>
      <c r="N226" s="6"/>
      <c r="O226" s="6"/>
      <c r="P226" s="6"/>
      <c r="Q226" s="1" t="b">
        <f t="shared" si="205"/>
        <v>1</v>
      </c>
      <c r="R226" s="6"/>
      <c r="S226" s="6"/>
    </row>
    <row r="227" spans="2:19" x14ac:dyDescent="0.15">
      <c r="C227" s="2" t="s">
        <v>421</v>
      </c>
      <c r="D227" s="2" t="s">
        <v>304</v>
      </c>
      <c r="E227" s="11" t="s">
        <v>409</v>
      </c>
      <c r="F227" s="13" t="s">
        <v>410</v>
      </c>
      <c r="G227" s="2">
        <v>3</v>
      </c>
      <c r="H227" s="2"/>
      <c r="I227" s="3" t="str">
        <f t="shared" ref="I227" si="206">TESTmultiple(E227,F227,G227)</f>
        <v>1010</v>
      </c>
      <c r="J227" s="2"/>
      <c r="K227" s="2"/>
      <c r="L227" s="2"/>
      <c r="M227" s="3" t="s">
        <v>388</v>
      </c>
      <c r="N227" s="2"/>
      <c r="O227" s="2"/>
      <c r="P227" s="2"/>
      <c r="Q227" s="3" t="b">
        <f t="shared" ref="Q227:Q228" si="207">getText(I227)=getText(M227)</f>
        <v>1</v>
      </c>
      <c r="R227" s="6"/>
      <c r="S227" s="6"/>
    </row>
    <row r="228" spans="2:19" x14ac:dyDescent="0.15">
      <c r="C228" s="6" t="s">
        <v>408</v>
      </c>
      <c r="D228" s="6" t="s">
        <v>47</v>
      </c>
      <c r="E228" s="9" t="s">
        <v>409</v>
      </c>
      <c r="F228" s="14" t="s">
        <v>411</v>
      </c>
      <c r="G228" s="6">
        <v>10</v>
      </c>
      <c r="H228" s="6"/>
      <c r="I228" s="1" t="str">
        <f t="shared" ref="I228:I229" si="208">TESTmultiple(E228,F228,G228)</f>
        <v>300</v>
      </c>
      <c r="J228" s="6"/>
      <c r="K228" s="6"/>
      <c r="L228" s="6"/>
      <c r="M228" s="1" t="s">
        <v>412</v>
      </c>
      <c r="N228" s="6"/>
      <c r="O228" s="6"/>
      <c r="P228" s="6"/>
      <c r="Q228" s="1" t="b">
        <f t="shared" si="207"/>
        <v>1</v>
      </c>
      <c r="R228" s="6"/>
      <c r="S228" s="6"/>
    </row>
    <row r="229" spans="2:19" x14ac:dyDescent="0.15">
      <c r="C229" s="6"/>
      <c r="D229" s="6" t="s">
        <v>49</v>
      </c>
      <c r="E229" s="9" t="s">
        <v>409</v>
      </c>
      <c r="F229" s="14" t="s">
        <v>413</v>
      </c>
      <c r="G229" s="6">
        <v>16</v>
      </c>
      <c r="H229" s="6"/>
      <c r="I229" s="1" t="str">
        <f t="shared" si="208"/>
        <v>300</v>
      </c>
      <c r="J229" s="6"/>
      <c r="K229" s="6"/>
      <c r="L229" s="6"/>
      <c r="M229" s="1" t="s">
        <v>412</v>
      </c>
      <c r="N229" s="6"/>
      <c r="O229" s="6"/>
      <c r="P229" s="6"/>
      <c r="Q229" s="1" t="b">
        <f t="shared" ref="Q229:Q243" si="209">getText(I229)=getText(M229)</f>
        <v>1</v>
      </c>
      <c r="R229" s="6"/>
      <c r="S229" s="6"/>
    </row>
    <row r="230" spans="2:19" x14ac:dyDescent="0.15">
      <c r="C230" s="2" t="s">
        <v>422</v>
      </c>
      <c r="D230" s="2" t="s">
        <v>304</v>
      </c>
      <c r="E230" s="11" t="s">
        <v>409</v>
      </c>
      <c r="F230" s="13" t="s">
        <v>415</v>
      </c>
      <c r="G230" s="2">
        <v>3</v>
      </c>
      <c r="H230" s="2"/>
      <c r="I230" s="3" t="str">
        <f t="shared" ref="I230:I231" si="210">TESTmultiple(E230,F230,G230)</f>
        <v>1120</v>
      </c>
      <c r="J230" s="2"/>
      <c r="K230" s="2"/>
      <c r="L230" s="2"/>
      <c r="M230" s="3" t="s">
        <v>416</v>
      </c>
      <c r="N230" s="2"/>
      <c r="O230" s="2"/>
      <c r="P230" s="2"/>
      <c r="Q230" s="3" t="b">
        <f t="shared" si="209"/>
        <v>1</v>
      </c>
      <c r="R230" s="6"/>
      <c r="S230" s="6"/>
    </row>
    <row r="231" spans="2:19" x14ac:dyDescent="0.15">
      <c r="C231" s="6" t="s">
        <v>414</v>
      </c>
      <c r="D231" s="6" t="s">
        <v>47</v>
      </c>
      <c r="E231" s="9" t="s">
        <v>409</v>
      </c>
      <c r="F231" s="14" t="s">
        <v>417</v>
      </c>
      <c r="G231" s="6">
        <v>10</v>
      </c>
      <c r="H231" s="6"/>
      <c r="I231" s="1" t="str">
        <f t="shared" si="210"/>
        <v>1020</v>
      </c>
      <c r="J231" s="6"/>
      <c r="K231" s="6"/>
      <c r="L231" s="6"/>
      <c r="M231" s="1" t="s">
        <v>419</v>
      </c>
      <c r="N231" s="6"/>
      <c r="O231" s="6"/>
      <c r="P231" s="6"/>
      <c r="Q231" s="1" t="b">
        <f t="shared" si="209"/>
        <v>1</v>
      </c>
      <c r="R231" s="6"/>
      <c r="S231" s="6"/>
    </row>
    <row r="232" spans="2:19" x14ac:dyDescent="0.15">
      <c r="C232" s="6"/>
      <c r="D232" s="6" t="s">
        <v>49</v>
      </c>
      <c r="E232" s="9" t="s">
        <v>409</v>
      </c>
      <c r="F232" s="14" t="s">
        <v>418</v>
      </c>
      <c r="G232" s="6">
        <v>16</v>
      </c>
      <c r="H232" s="6"/>
      <c r="I232" s="1" t="str">
        <f t="shared" ref="I232" si="211">TESTmultiple(E232,F232,G232)</f>
        <v>1020</v>
      </c>
      <c r="J232" s="6"/>
      <c r="K232" s="6"/>
      <c r="L232" s="6"/>
      <c r="M232" s="1" t="s">
        <v>419</v>
      </c>
      <c r="N232" s="6"/>
      <c r="O232" s="6"/>
      <c r="P232" s="6"/>
      <c r="Q232" s="1" t="b">
        <f t="shared" si="209"/>
        <v>1</v>
      </c>
      <c r="R232" s="6"/>
      <c r="S232" s="6"/>
    </row>
    <row r="233" spans="2:19" x14ac:dyDescent="0.15">
      <c r="C233" s="2" t="s">
        <v>421</v>
      </c>
      <c r="D233" s="2" t="s">
        <v>304</v>
      </c>
      <c r="E233" s="11" t="s">
        <v>403</v>
      </c>
      <c r="F233" s="13" t="s">
        <v>423</v>
      </c>
      <c r="G233" s="2">
        <v>3</v>
      </c>
      <c r="H233" s="2"/>
      <c r="I233" s="3" t="str">
        <f t="shared" ref="I233" si="212">TESTmultiple(E233,F233,G233)</f>
        <v>2101</v>
      </c>
      <c r="J233" s="2"/>
      <c r="K233" s="2"/>
      <c r="L233" s="2"/>
      <c r="M233" s="3" t="s">
        <v>424</v>
      </c>
      <c r="N233" s="2"/>
      <c r="O233" s="2"/>
      <c r="P233" s="2"/>
      <c r="Q233" s="3" t="b">
        <f t="shared" si="209"/>
        <v>1</v>
      </c>
      <c r="R233" s="6"/>
      <c r="S233" s="6"/>
    </row>
    <row r="234" spans="2:19" x14ac:dyDescent="0.15">
      <c r="C234" s="6" t="s">
        <v>420</v>
      </c>
      <c r="D234" s="6" t="s">
        <v>47</v>
      </c>
      <c r="E234" s="9" t="s">
        <v>423</v>
      </c>
      <c r="F234" s="14" t="s">
        <v>425</v>
      </c>
      <c r="G234" s="6">
        <v>10</v>
      </c>
      <c r="H234" s="6"/>
      <c r="I234" s="1" t="str">
        <f t="shared" ref="I234" si="213">TESTmultiple(E234,F234,G234)</f>
        <v>1210</v>
      </c>
      <c r="J234" s="6"/>
      <c r="K234" s="6"/>
      <c r="L234" s="6"/>
      <c r="M234" s="1" t="s">
        <v>426</v>
      </c>
      <c r="N234" s="6"/>
      <c r="O234" s="6"/>
      <c r="P234" s="6"/>
      <c r="Q234" s="1" t="b">
        <f t="shared" si="209"/>
        <v>1</v>
      </c>
      <c r="R234" s="6"/>
      <c r="S234" s="6"/>
    </row>
    <row r="235" spans="2:19" x14ac:dyDescent="0.15">
      <c r="C235" s="6"/>
      <c r="D235" s="6" t="s">
        <v>49</v>
      </c>
      <c r="E235" s="9" t="s">
        <v>423</v>
      </c>
      <c r="F235" s="14" t="s">
        <v>427</v>
      </c>
      <c r="G235" s="6">
        <v>16</v>
      </c>
      <c r="H235" s="6"/>
      <c r="I235" s="1" t="str">
        <f t="shared" ref="I235" si="214">TESTmultiple(E235,F235,G235)</f>
        <v>1210</v>
      </c>
      <c r="J235" s="6"/>
      <c r="K235" s="6"/>
      <c r="L235" s="6"/>
      <c r="M235" s="1" t="s">
        <v>426</v>
      </c>
      <c r="N235" s="6"/>
      <c r="O235" s="6"/>
      <c r="P235" s="6"/>
      <c r="Q235" s="1" t="b">
        <f t="shared" si="209"/>
        <v>1</v>
      </c>
      <c r="R235" s="6"/>
      <c r="S235" s="6"/>
    </row>
    <row r="236" spans="2:19" x14ac:dyDescent="0.15">
      <c r="B236" s="2" t="s">
        <v>428</v>
      </c>
      <c r="C236" s="24" t="s">
        <v>435</v>
      </c>
      <c r="D236" s="2" t="s">
        <v>304</v>
      </c>
      <c r="E236" s="11" t="s">
        <v>403</v>
      </c>
      <c r="F236" s="13" t="s">
        <v>436</v>
      </c>
      <c r="G236" s="2">
        <v>3</v>
      </c>
      <c r="H236" s="2"/>
      <c r="I236" s="3" t="str">
        <f t="shared" ref="I236:I238" si="215">TESTmultiple(E236,F236,G236)</f>
        <v>12100</v>
      </c>
      <c r="J236" s="2"/>
      <c r="K236" s="2"/>
      <c r="L236" s="2"/>
      <c r="M236" s="3" t="s">
        <v>439</v>
      </c>
      <c r="N236" s="2"/>
      <c r="O236" s="2"/>
      <c r="P236" s="2"/>
      <c r="Q236" s="3" t="b">
        <f t="shared" si="209"/>
        <v>1</v>
      </c>
      <c r="R236" s="6"/>
      <c r="S236" s="6"/>
    </row>
    <row r="237" spans="2:19" x14ac:dyDescent="0.15">
      <c r="C237" s="6"/>
      <c r="D237" s="6" t="s">
        <v>47</v>
      </c>
      <c r="E237" s="9" t="s">
        <v>403</v>
      </c>
      <c r="F237" s="14" t="s">
        <v>437</v>
      </c>
      <c r="G237" s="6">
        <v>10</v>
      </c>
      <c r="H237" s="6"/>
      <c r="I237" s="1" t="str">
        <f t="shared" si="215"/>
        <v>11000</v>
      </c>
      <c r="J237" s="6"/>
      <c r="K237" s="6"/>
      <c r="L237" s="6"/>
      <c r="M237" s="1" t="s">
        <v>440</v>
      </c>
      <c r="N237" s="6"/>
      <c r="O237" s="6"/>
      <c r="P237" s="6"/>
      <c r="Q237" s="1" t="b">
        <f t="shared" si="209"/>
        <v>1</v>
      </c>
      <c r="R237" s="6"/>
      <c r="S237" s="6"/>
    </row>
    <row r="238" spans="2:19" x14ac:dyDescent="0.15">
      <c r="C238" s="6"/>
      <c r="D238" s="6" t="s">
        <v>49</v>
      </c>
      <c r="E238" s="9" t="s">
        <v>403</v>
      </c>
      <c r="F238" s="14" t="s">
        <v>438</v>
      </c>
      <c r="G238" s="6">
        <v>16</v>
      </c>
      <c r="H238" s="6"/>
      <c r="I238" s="1" t="str">
        <f t="shared" si="215"/>
        <v>11000</v>
      </c>
      <c r="J238" s="6"/>
      <c r="K238" s="6"/>
      <c r="L238" s="6"/>
      <c r="M238" s="1" t="s">
        <v>440</v>
      </c>
      <c r="N238" s="6"/>
      <c r="O238" s="6"/>
      <c r="P238" s="6"/>
      <c r="Q238" s="1" t="b">
        <f t="shared" si="209"/>
        <v>1</v>
      </c>
      <c r="R238" s="6"/>
      <c r="S238" s="6"/>
    </row>
    <row r="239" spans="2:19" x14ac:dyDescent="0.15">
      <c r="C239" s="24" t="s">
        <v>429</v>
      </c>
      <c r="D239" s="2" t="s">
        <v>304</v>
      </c>
      <c r="E239" s="11" t="s">
        <v>403</v>
      </c>
      <c r="F239" s="13" t="s">
        <v>430</v>
      </c>
      <c r="G239" s="2">
        <v>3</v>
      </c>
      <c r="H239" s="2"/>
      <c r="I239" s="3" t="str">
        <f t="shared" ref="I239:I241" si="216">TESTmultiple(E239,F239,G239)</f>
        <v>21201</v>
      </c>
      <c r="J239" s="2"/>
      <c r="K239" s="2"/>
      <c r="L239" s="2"/>
      <c r="M239" s="3" t="s">
        <v>433</v>
      </c>
      <c r="N239" s="2"/>
      <c r="O239" s="2"/>
      <c r="P239" s="2"/>
      <c r="Q239" s="3" t="b">
        <f t="shared" si="209"/>
        <v>1</v>
      </c>
      <c r="R239" s="6"/>
      <c r="S239" s="6"/>
    </row>
    <row r="240" spans="2:19" x14ac:dyDescent="0.15">
      <c r="C240" s="6"/>
      <c r="D240" s="6" t="s">
        <v>47</v>
      </c>
      <c r="E240" s="9" t="s">
        <v>403</v>
      </c>
      <c r="F240" s="14" t="s">
        <v>431</v>
      </c>
      <c r="G240" s="6">
        <v>10</v>
      </c>
      <c r="H240" s="6"/>
      <c r="I240" s="1" t="str">
        <f t="shared" si="216"/>
        <v>12210</v>
      </c>
      <c r="J240" s="6"/>
      <c r="K240" s="6"/>
      <c r="L240" s="6"/>
      <c r="M240" s="1" t="s">
        <v>434</v>
      </c>
      <c r="N240" s="6"/>
      <c r="O240" s="6"/>
      <c r="P240" s="6"/>
      <c r="Q240" s="1" t="b">
        <f t="shared" si="209"/>
        <v>1</v>
      </c>
      <c r="R240" s="6"/>
      <c r="S240" s="6"/>
    </row>
    <row r="241" spans="1:19" x14ac:dyDescent="0.15">
      <c r="C241" s="6"/>
      <c r="D241" s="6" t="s">
        <v>49</v>
      </c>
      <c r="E241" s="9" t="s">
        <v>403</v>
      </c>
      <c r="F241" s="14" t="s">
        <v>432</v>
      </c>
      <c r="G241" s="6">
        <v>16</v>
      </c>
      <c r="H241" s="6"/>
      <c r="I241" s="1" t="str">
        <f t="shared" si="216"/>
        <v>12210</v>
      </c>
      <c r="J241" s="6"/>
      <c r="K241" s="6"/>
      <c r="L241" s="6"/>
      <c r="M241" s="1" t="s">
        <v>434</v>
      </c>
      <c r="N241" s="6"/>
      <c r="O241" s="6"/>
      <c r="P241" s="6"/>
      <c r="Q241" s="1" t="b">
        <f t="shared" si="209"/>
        <v>1</v>
      </c>
      <c r="R241" s="6"/>
      <c r="S241" s="6"/>
    </row>
    <row r="242" spans="1:19" x14ac:dyDescent="0.15">
      <c r="A242" s="2" t="s">
        <v>294</v>
      </c>
      <c r="B242" s="2" t="s">
        <v>295</v>
      </c>
      <c r="C242" s="2"/>
      <c r="D242" s="2"/>
      <c r="E242" s="11" t="s">
        <v>300</v>
      </c>
      <c r="F242" s="13" t="s">
        <v>297</v>
      </c>
      <c r="G242" s="24">
        <v>2</v>
      </c>
      <c r="H242" s="2"/>
      <c r="I242" s="3" t="str">
        <f t="shared" ref="I242:I243" si="217">TESTmultipleByOneDigit(E242,F242,G242)</f>
        <v>00</v>
      </c>
      <c r="J242" s="24"/>
      <c r="K242" s="2"/>
      <c r="L242" s="2"/>
      <c r="M242" s="3" t="s">
        <v>98</v>
      </c>
      <c r="N242" s="2"/>
      <c r="O242" s="2"/>
      <c r="P242" s="2"/>
      <c r="Q242" s="3" t="b">
        <f t="shared" si="209"/>
        <v>1</v>
      </c>
      <c r="R242" s="6"/>
      <c r="S242" s="6"/>
    </row>
    <row r="243" spans="1:19" x14ac:dyDescent="0.15">
      <c r="B243" s="28" t="s">
        <v>296</v>
      </c>
      <c r="C243" s="28"/>
      <c r="D243" s="28"/>
      <c r="E243" s="29" t="s">
        <v>301</v>
      </c>
      <c r="F243" s="30" t="s">
        <v>298</v>
      </c>
      <c r="G243" s="31">
        <v>2</v>
      </c>
      <c r="H243" s="28"/>
      <c r="I243" s="32" t="str">
        <f t="shared" si="217"/>
        <v>101</v>
      </c>
      <c r="J243" s="28"/>
      <c r="K243" s="28"/>
      <c r="L243" s="28"/>
      <c r="M243" s="32" t="s">
        <v>280</v>
      </c>
      <c r="N243" s="28"/>
      <c r="O243" s="28"/>
      <c r="P243" s="28"/>
      <c r="Q243" s="32" t="b">
        <f t="shared" si="209"/>
        <v>1</v>
      </c>
      <c r="R243" s="6"/>
      <c r="S243" s="6"/>
    </row>
    <row r="244" spans="1:19" x14ac:dyDescent="0.15">
      <c r="B244" t="s">
        <v>302</v>
      </c>
      <c r="C244" s="6" t="s">
        <v>303</v>
      </c>
      <c r="D244" s="7" t="s">
        <v>304</v>
      </c>
      <c r="E244" s="9" t="s">
        <v>308</v>
      </c>
      <c r="F244" s="14" t="s">
        <v>310</v>
      </c>
      <c r="G244" s="7">
        <v>3</v>
      </c>
      <c r="H244" s="6"/>
      <c r="I244" s="1" t="str">
        <f t="shared" ref="I244" si="218">TESTmultipleByOneDigit(E244,F244,G244)</f>
        <v>11</v>
      </c>
      <c r="J244" s="6"/>
      <c r="K244" s="6"/>
      <c r="L244" s="6"/>
      <c r="M244" s="1" t="s">
        <v>18</v>
      </c>
      <c r="N244" s="6"/>
      <c r="O244" s="6"/>
      <c r="P244" s="6"/>
      <c r="Q244" s="1" t="b">
        <f t="shared" ref="Q244:Q246" si="219">getText(I244)=getText(M244)</f>
        <v>1</v>
      </c>
      <c r="R244" s="6"/>
      <c r="S244" s="6"/>
    </row>
    <row r="245" spans="1:19" x14ac:dyDescent="0.15">
      <c r="C245" s="6"/>
      <c r="D245" s="7" t="s">
        <v>305</v>
      </c>
      <c r="E245" s="9" t="s">
        <v>308</v>
      </c>
      <c r="F245" s="14" t="s">
        <v>311</v>
      </c>
      <c r="G245" s="7">
        <v>10</v>
      </c>
      <c r="H245" s="6"/>
      <c r="I245" s="1" t="str">
        <f t="shared" ref="I245:I247" si="220">TESTmultipleByOneDigit(E245,F245,G245)</f>
        <v>4</v>
      </c>
      <c r="J245" s="6"/>
      <c r="K245" s="6"/>
      <c r="L245" s="6"/>
      <c r="M245" s="1" t="s">
        <v>314</v>
      </c>
      <c r="N245" s="6"/>
      <c r="O245" s="6"/>
      <c r="P245" s="6"/>
      <c r="Q245" s="1" t="b">
        <f t="shared" si="219"/>
        <v>1</v>
      </c>
      <c r="R245" s="6"/>
      <c r="S245" s="6"/>
    </row>
    <row r="246" spans="1:19" x14ac:dyDescent="0.15">
      <c r="C246" s="6"/>
      <c r="D246" s="7" t="s">
        <v>306</v>
      </c>
      <c r="E246" s="9" t="s">
        <v>313</v>
      </c>
      <c r="F246" s="14" t="s">
        <v>312</v>
      </c>
      <c r="G246" s="7">
        <v>16</v>
      </c>
      <c r="H246" s="6"/>
      <c r="I246" s="1" t="str">
        <f t="shared" si="220"/>
        <v>A</v>
      </c>
      <c r="J246" s="6"/>
      <c r="K246" s="6"/>
      <c r="L246" s="6"/>
      <c r="M246" s="1" t="s">
        <v>315</v>
      </c>
      <c r="N246" s="6"/>
      <c r="O246" s="6"/>
      <c r="P246" s="6"/>
      <c r="Q246" s="1" t="b">
        <f t="shared" si="219"/>
        <v>1</v>
      </c>
      <c r="R246" s="6"/>
      <c r="S246" s="6"/>
    </row>
    <row r="247" spans="1:19" x14ac:dyDescent="0.15">
      <c r="C247" s="2" t="s">
        <v>318</v>
      </c>
      <c r="D247" s="24" t="s">
        <v>304</v>
      </c>
      <c r="E247" s="11" t="s">
        <v>316</v>
      </c>
      <c r="F247" s="13" t="s">
        <v>310</v>
      </c>
      <c r="G247" s="24">
        <v>3</v>
      </c>
      <c r="H247" s="2"/>
      <c r="I247" s="3" t="str">
        <f t="shared" si="220"/>
        <v>121</v>
      </c>
      <c r="J247" s="2"/>
      <c r="K247" s="2"/>
      <c r="L247" s="2"/>
      <c r="M247" s="3" t="s">
        <v>319</v>
      </c>
      <c r="N247" s="2"/>
      <c r="O247" s="2"/>
      <c r="P247" s="2"/>
      <c r="Q247" s="3" t="b">
        <f t="shared" ref="Q247:Q249" si="221">getText(I247)=getText(M247)</f>
        <v>1</v>
      </c>
      <c r="R247" s="6"/>
      <c r="S247" s="6"/>
    </row>
    <row r="248" spans="1:19" x14ac:dyDescent="0.15">
      <c r="C248" s="6"/>
      <c r="D248" s="7" t="s">
        <v>305</v>
      </c>
      <c r="E248" s="9" t="s">
        <v>316</v>
      </c>
      <c r="F248" s="14" t="s">
        <v>311</v>
      </c>
      <c r="G248" s="7">
        <v>10</v>
      </c>
      <c r="H248" s="6"/>
      <c r="I248" s="1" t="str">
        <f t="shared" ref="I248:I250" si="222">TESTmultipleByOneDigit(E248,F248,G248)</f>
        <v>44</v>
      </c>
      <c r="J248" s="6"/>
      <c r="K248" s="6"/>
      <c r="L248" s="6"/>
      <c r="M248" s="1" t="s">
        <v>320</v>
      </c>
      <c r="N248" s="6"/>
      <c r="O248" s="6"/>
      <c r="P248" s="6"/>
      <c r="Q248" s="1" t="b">
        <f t="shared" si="221"/>
        <v>1</v>
      </c>
      <c r="R248" s="6"/>
      <c r="S248" s="6"/>
    </row>
    <row r="249" spans="1:19" x14ac:dyDescent="0.15">
      <c r="C249" s="6"/>
      <c r="D249" s="7" t="s">
        <v>306</v>
      </c>
      <c r="E249" s="9" t="s">
        <v>317</v>
      </c>
      <c r="F249" s="14" t="s">
        <v>312</v>
      </c>
      <c r="G249" s="7">
        <v>16</v>
      </c>
      <c r="H249" s="6"/>
      <c r="I249" s="1" t="str">
        <f t="shared" si="222"/>
        <v>AA</v>
      </c>
      <c r="J249" s="6"/>
      <c r="K249" s="6"/>
      <c r="L249" s="6"/>
      <c r="M249" s="1" t="s">
        <v>321</v>
      </c>
      <c r="N249" s="6"/>
      <c r="O249" s="6"/>
      <c r="P249" s="6"/>
      <c r="Q249" s="1" t="b">
        <f t="shared" si="221"/>
        <v>1</v>
      </c>
      <c r="R249" s="6"/>
      <c r="S249" s="6"/>
    </row>
    <row r="250" spans="1:19" x14ac:dyDescent="0.15">
      <c r="C250" s="2" t="s">
        <v>322</v>
      </c>
      <c r="D250" s="24" t="s">
        <v>304</v>
      </c>
      <c r="E250" s="11" t="s">
        <v>323</v>
      </c>
      <c r="F250" s="13" t="s">
        <v>310</v>
      </c>
      <c r="G250" s="24">
        <v>3</v>
      </c>
      <c r="H250" s="2"/>
      <c r="I250" s="3" t="str">
        <f t="shared" si="222"/>
        <v>1221</v>
      </c>
      <c r="J250" s="2"/>
      <c r="K250" s="2"/>
      <c r="L250" s="2"/>
      <c r="M250" s="3" t="s">
        <v>325</v>
      </c>
      <c r="N250" s="2"/>
      <c r="O250" s="2"/>
      <c r="P250" s="2"/>
      <c r="Q250" s="3" t="b">
        <f t="shared" ref="Q250:Q252" si="223">getText(I250)=getText(M250)</f>
        <v>1</v>
      </c>
      <c r="R250" s="6"/>
      <c r="S250" s="6"/>
    </row>
    <row r="251" spans="1:19" x14ac:dyDescent="0.15">
      <c r="C251" s="6"/>
      <c r="D251" s="7" t="s">
        <v>305</v>
      </c>
      <c r="E251" s="9" t="s">
        <v>323</v>
      </c>
      <c r="F251" s="14" t="s">
        <v>311</v>
      </c>
      <c r="G251" s="7">
        <v>10</v>
      </c>
      <c r="H251" s="6"/>
      <c r="I251" s="1" t="str">
        <f t="shared" ref="I251:I252" si="224">TESTmultipleByOneDigit(E251,F251,G251)</f>
        <v>444</v>
      </c>
      <c r="J251" s="6"/>
      <c r="K251" s="6"/>
      <c r="L251" s="6"/>
      <c r="M251" s="1" t="s">
        <v>326</v>
      </c>
      <c r="N251" s="6"/>
      <c r="O251" s="6"/>
      <c r="P251" s="6"/>
      <c r="Q251" s="1" t="b">
        <f t="shared" si="223"/>
        <v>1</v>
      </c>
      <c r="R251" s="6"/>
      <c r="S251" s="6"/>
    </row>
    <row r="252" spans="1:19" x14ac:dyDescent="0.15">
      <c r="C252" s="6"/>
      <c r="D252" s="7" t="s">
        <v>306</v>
      </c>
      <c r="E252" s="9" t="s">
        <v>324</v>
      </c>
      <c r="F252" s="14" t="s">
        <v>312</v>
      </c>
      <c r="G252" s="7">
        <v>16</v>
      </c>
      <c r="H252" s="6"/>
      <c r="I252" s="1" t="str">
        <f t="shared" si="224"/>
        <v>AAA</v>
      </c>
      <c r="J252" s="6"/>
      <c r="K252" s="6"/>
      <c r="L252" s="6"/>
      <c r="M252" s="1" t="s">
        <v>327</v>
      </c>
      <c r="N252" s="6"/>
      <c r="O252" s="6"/>
      <c r="P252" s="6"/>
      <c r="Q252" s="1" t="b">
        <f t="shared" si="223"/>
        <v>1</v>
      </c>
      <c r="R252" s="6"/>
      <c r="S252" s="6"/>
    </row>
    <row r="253" spans="1:19" x14ac:dyDescent="0.15">
      <c r="B253" s="2" t="s">
        <v>329</v>
      </c>
      <c r="C253" s="2" t="s">
        <v>328</v>
      </c>
      <c r="D253" s="24" t="s">
        <v>304</v>
      </c>
      <c r="E253" s="11" t="s">
        <v>330</v>
      </c>
      <c r="F253" s="13" t="s">
        <v>330</v>
      </c>
      <c r="G253" s="24">
        <v>3</v>
      </c>
      <c r="H253" s="2"/>
      <c r="I253" s="3" t="str">
        <f t="shared" ref="I253:I255" si="225">TESTmultipleByOneDigit(E253,F253,G253)</f>
        <v>0</v>
      </c>
      <c r="J253" s="2"/>
      <c r="K253" s="2"/>
      <c r="L253" s="2"/>
      <c r="M253" s="3" t="s">
        <v>14</v>
      </c>
      <c r="N253" s="2"/>
      <c r="O253" s="2"/>
      <c r="P253" s="2"/>
      <c r="Q253" s="3" t="b">
        <f t="shared" ref="Q253:Q255" si="226">getText(I253)=getText(M253)</f>
        <v>1</v>
      </c>
      <c r="R253" s="6"/>
      <c r="S253" s="6"/>
    </row>
    <row r="254" spans="1:19" x14ac:dyDescent="0.15">
      <c r="B254" t="s">
        <v>333</v>
      </c>
      <c r="C254" s="6"/>
      <c r="D254" s="7" t="s">
        <v>305</v>
      </c>
      <c r="E254" s="9" t="s">
        <v>331</v>
      </c>
      <c r="F254" s="14" t="s">
        <v>331</v>
      </c>
      <c r="G254" s="7">
        <v>10</v>
      </c>
      <c r="H254" s="6"/>
      <c r="I254" s="1" t="str">
        <f t="shared" si="225"/>
        <v>0</v>
      </c>
      <c r="J254" s="6"/>
      <c r="K254" s="6"/>
      <c r="L254" s="6"/>
      <c r="M254" s="1" t="s">
        <v>14</v>
      </c>
      <c r="N254" s="6"/>
      <c r="O254" s="6"/>
      <c r="P254" s="6"/>
      <c r="Q254" s="1" t="b">
        <f t="shared" si="226"/>
        <v>1</v>
      </c>
      <c r="R254" s="6"/>
      <c r="S254" s="6"/>
    </row>
    <row r="255" spans="1:19" x14ac:dyDescent="0.15">
      <c r="B255" t="s">
        <v>334</v>
      </c>
      <c r="C255" s="6"/>
      <c r="D255" s="7" t="s">
        <v>306</v>
      </c>
      <c r="E255" s="9" t="s">
        <v>331</v>
      </c>
      <c r="F255" s="14" t="s">
        <v>331</v>
      </c>
      <c r="G255" s="7">
        <v>16</v>
      </c>
      <c r="H255" s="6"/>
      <c r="I255" s="1" t="str">
        <f t="shared" si="225"/>
        <v>0</v>
      </c>
      <c r="J255" s="6"/>
      <c r="K255" s="6"/>
      <c r="L255" s="6"/>
      <c r="M255" s="1" t="s">
        <v>14</v>
      </c>
      <c r="N255" s="6"/>
      <c r="O255" s="6"/>
      <c r="P255" s="6"/>
      <c r="Q255" s="1" t="b">
        <f t="shared" si="226"/>
        <v>1</v>
      </c>
      <c r="R255" s="6"/>
      <c r="S255" s="6"/>
    </row>
    <row r="256" spans="1:19" x14ac:dyDescent="0.15">
      <c r="C256" s="2" t="s">
        <v>332</v>
      </c>
      <c r="D256" s="24" t="s">
        <v>304</v>
      </c>
      <c r="E256" s="11" t="s">
        <v>335</v>
      </c>
      <c r="F256" s="13" t="s">
        <v>336</v>
      </c>
      <c r="G256" s="24">
        <v>3</v>
      </c>
      <c r="H256" s="2"/>
      <c r="I256" s="3" t="str">
        <f t="shared" ref="I256:I258" si="227">TESTmultipleByOneDigit(E256,F256,G256)</f>
        <v>0</v>
      </c>
      <c r="J256" s="2"/>
      <c r="K256" s="2"/>
      <c r="L256" s="2"/>
      <c r="M256" s="3" t="s">
        <v>14</v>
      </c>
      <c r="N256" s="2"/>
      <c r="O256" s="2"/>
      <c r="P256" s="2"/>
      <c r="Q256" s="3" t="b">
        <f t="shared" ref="Q256:Q258" si="228">getText(I256)=getText(M256)</f>
        <v>1</v>
      </c>
      <c r="R256" s="6"/>
      <c r="S256" s="6"/>
    </row>
    <row r="257" spans="3:19" x14ac:dyDescent="0.15">
      <c r="C257" s="6"/>
      <c r="D257" s="7" t="s">
        <v>305</v>
      </c>
      <c r="E257" s="9" t="s">
        <v>335</v>
      </c>
      <c r="F257" s="14" t="s">
        <v>337</v>
      </c>
      <c r="G257" s="7">
        <v>10</v>
      </c>
      <c r="H257" s="6"/>
      <c r="I257" s="1" t="str">
        <f t="shared" si="227"/>
        <v>0</v>
      </c>
      <c r="J257" s="6"/>
      <c r="K257" s="6"/>
      <c r="L257" s="6"/>
      <c r="M257" s="1" t="s">
        <v>14</v>
      </c>
      <c r="N257" s="6"/>
      <c r="O257" s="6"/>
      <c r="P257" s="6"/>
      <c r="Q257" s="1" t="b">
        <f t="shared" si="228"/>
        <v>1</v>
      </c>
      <c r="R257" s="6"/>
      <c r="S257" s="6"/>
    </row>
    <row r="258" spans="3:19" x14ac:dyDescent="0.15">
      <c r="C258" s="6"/>
      <c r="D258" s="7" t="s">
        <v>306</v>
      </c>
      <c r="E258" s="9" t="s">
        <v>335</v>
      </c>
      <c r="F258" s="14" t="s">
        <v>338</v>
      </c>
      <c r="G258" s="7">
        <v>16</v>
      </c>
      <c r="H258" s="6"/>
      <c r="I258" s="1" t="str">
        <f t="shared" si="227"/>
        <v>0</v>
      </c>
      <c r="J258" s="6"/>
      <c r="K258" s="6"/>
      <c r="L258" s="6"/>
      <c r="M258" s="1" t="s">
        <v>14</v>
      </c>
      <c r="N258" s="6"/>
      <c r="O258" s="6"/>
      <c r="P258" s="6"/>
      <c r="Q258" s="1" t="b">
        <f t="shared" si="228"/>
        <v>1</v>
      </c>
      <c r="R258" s="6"/>
      <c r="S258" s="6"/>
    </row>
    <row r="259" spans="3:19" x14ac:dyDescent="0.15">
      <c r="C259" s="2" t="s">
        <v>339</v>
      </c>
      <c r="D259" s="24" t="s">
        <v>304</v>
      </c>
      <c r="E259" s="11" t="s">
        <v>340</v>
      </c>
      <c r="F259" s="13" t="s">
        <v>330</v>
      </c>
      <c r="G259" s="24">
        <v>3</v>
      </c>
      <c r="H259" s="2"/>
      <c r="I259" s="3" t="str">
        <f t="shared" ref="I259:I262" si="229">TESTmultipleByOneDigit(E259,F259,G259)</f>
        <v>0</v>
      </c>
      <c r="J259" s="2"/>
      <c r="K259" s="2"/>
      <c r="L259" s="2"/>
      <c r="M259" s="3" t="s">
        <v>14</v>
      </c>
      <c r="N259" s="2"/>
      <c r="O259" s="2"/>
      <c r="P259" s="2"/>
      <c r="Q259" s="3" t="b">
        <f t="shared" ref="Q259:Q261" si="230">getText(I259)=getText(M259)</f>
        <v>1</v>
      </c>
      <c r="R259" s="6"/>
      <c r="S259" s="6"/>
    </row>
    <row r="260" spans="3:19" x14ac:dyDescent="0.15">
      <c r="C260" s="6"/>
      <c r="D260" s="7" t="s">
        <v>305</v>
      </c>
      <c r="E260" s="9" t="s">
        <v>341</v>
      </c>
      <c r="F260" s="14" t="s">
        <v>330</v>
      </c>
      <c r="G260" s="7">
        <v>10</v>
      </c>
      <c r="H260" s="6"/>
      <c r="I260" s="1" t="str">
        <f t="shared" si="229"/>
        <v>0</v>
      </c>
      <c r="J260" s="6"/>
      <c r="K260" s="6"/>
      <c r="L260" s="6"/>
      <c r="M260" s="1" t="s">
        <v>14</v>
      </c>
      <c r="N260" s="6"/>
      <c r="O260" s="6"/>
      <c r="P260" s="6"/>
      <c r="Q260" s="1" t="b">
        <f t="shared" si="230"/>
        <v>1</v>
      </c>
      <c r="R260" s="6"/>
      <c r="S260" s="6"/>
    </row>
    <row r="261" spans="3:19" x14ac:dyDescent="0.15">
      <c r="C261" s="6"/>
      <c r="D261" s="7" t="s">
        <v>306</v>
      </c>
      <c r="E261" s="9" t="s">
        <v>342</v>
      </c>
      <c r="F261" s="14" t="s">
        <v>335</v>
      </c>
      <c r="G261" s="7">
        <v>16</v>
      </c>
      <c r="H261" s="6"/>
      <c r="I261" s="1" t="str">
        <f t="shared" si="229"/>
        <v>0</v>
      </c>
      <c r="J261" s="6"/>
      <c r="K261" s="6"/>
      <c r="L261" s="6"/>
      <c r="M261" s="1" t="s">
        <v>14</v>
      </c>
      <c r="N261" s="6"/>
      <c r="O261" s="6"/>
      <c r="P261" s="6"/>
      <c r="Q261" s="1" t="b">
        <f t="shared" si="230"/>
        <v>1</v>
      </c>
      <c r="R261" s="6"/>
      <c r="S261" s="6"/>
    </row>
    <row r="262" spans="3:19" x14ac:dyDescent="0.15">
      <c r="C262" s="2" t="s">
        <v>343</v>
      </c>
      <c r="D262" s="33" t="s">
        <v>590</v>
      </c>
      <c r="E262" s="11" t="s">
        <v>382</v>
      </c>
      <c r="F262" s="13" t="s">
        <v>383</v>
      </c>
      <c r="G262" s="24">
        <v>3</v>
      </c>
      <c r="H262" s="2"/>
      <c r="I262" s="3" t="str">
        <f t="shared" si="229"/>
        <v>2</v>
      </c>
      <c r="J262" s="2"/>
      <c r="K262" s="2"/>
      <c r="L262" s="2"/>
      <c r="M262" s="3" t="s">
        <v>307</v>
      </c>
      <c r="N262" s="2"/>
      <c r="O262" s="2"/>
      <c r="P262" s="2"/>
      <c r="Q262" s="3" t="b">
        <f t="shared" ref="Q262:Q268" si="231">getText(I262)=getText(M262)</f>
        <v>1</v>
      </c>
      <c r="R262" s="6"/>
      <c r="S262" s="6"/>
    </row>
    <row r="263" spans="3:19" x14ac:dyDescent="0.15">
      <c r="C263" s="6"/>
      <c r="D263" s="7" t="s">
        <v>591</v>
      </c>
      <c r="E263" s="9" t="s">
        <v>307</v>
      </c>
      <c r="F263" s="14" t="s">
        <v>307</v>
      </c>
      <c r="G263" s="7">
        <v>3</v>
      </c>
      <c r="H263" s="6"/>
      <c r="I263" s="1" t="str">
        <f t="shared" ref="I263" si="232">TESTmultipleByOneDigit(E263,F263,G263)</f>
        <v>11</v>
      </c>
      <c r="J263" s="6"/>
      <c r="K263" s="6"/>
      <c r="L263" s="6"/>
      <c r="M263" s="1" t="s">
        <v>18</v>
      </c>
      <c r="N263" s="6"/>
      <c r="O263" s="6"/>
      <c r="P263" s="6"/>
      <c r="Q263" s="1" t="b">
        <f t="shared" si="231"/>
        <v>1</v>
      </c>
      <c r="R263" s="6"/>
      <c r="S263" s="6"/>
    </row>
    <row r="264" spans="3:19" x14ac:dyDescent="0.15">
      <c r="C264" s="6"/>
      <c r="D264" s="7" t="s">
        <v>592</v>
      </c>
      <c r="E264" s="9" t="s">
        <v>384</v>
      </c>
      <c r="F264" s="14" t="s">
        <v>384</v>
      </c>
      <c r="G264" s="7">
        <v>10</v>
      </c>
      <c r="H264" s="6"/>
      <c r="I264" s="1" t="str">
        <f t="shared" ref="I264" si="233">TESTmultipleByOneDigit(E264,F264,G264)</f>
        <v>9</v>
      </c>
      <c r="J264" s="6"/>
      <c r="K264" s="6"/>
      <c r="L264" s="6"/>
      <c r="M264" s="1" t="s">
        <v>101</v>
      </c>
      <c r="N264" s="6"/>
      <c r="O264" s="6"/>
      <c r="P264" s="6"/>
      <c r="Q264" s="1" t="b">
        <f t="shared" si="231"/>
        <v>1</v>
      </c>
      <c r="R264" s="6"/>
      <c r="S264" s="6"/>
    </row>
    <row r="265" spans="3:19" x14ac:dyDescent="0.15">
      <c r="C265" s="6"/>
      <c r="D265" s="7" t="s">
        <v>593</v>
      </c>
      <c r="E265" s="9" t="s">
        <v>346</v>
      </c>
      <c r="F265" s="14" t="s">
        <v>347</v>
      </c>
      <c r="G265" s="7">
        <v>10</v>
      </c>
      <c r="H265" s="6"/>
      <c r="I265" s="1" t="str">
        <f t="shared" ref="I265" si="234">TESTmultipleByOneDigit(E265,F265,G265)</f>
        <v>10</v>
      </c>
      <c r="J265" s="6"/>
      <c r="K265" s="6"/>
      <c r="L265" s="6"/>
      <c r="M265" s="1" t="s">
        <v>15</v>
      </c>
      <c r="N265" s="6"/>
      <c r="O265" s="6"/>
      <c r="P265" s="6"/>
      <c r="Q265" s="1" t="b">
        <f t="shared" si="231"/>
        <v>1</v>
      </c>
      <c r="R265" s="6"/>
      <c r="S265" s="6"/>
    </row>
    <row r="266" spans="3:19" x14ac:dyDescent="0.15">
      <c r="C266" s="6"/>
      <c r="D266" s="7" t="s">
        <v>594</v>
      </c>
      <c r="E266" s="9" t="s">
        <v>341</v>
      </c>
      <c r="F266" s="14" t="s">
        <v>101</v>
      </c>
      <c r="G266" s="7">
        <v>10</v>
      </c>
      <c r="H266" s="6"/>
      <c r="I266" s="1" t="str">
        <f t="shared" ref="I266" si="235">TESTmultipleByOneDigit(E266,F266,G266)</f>
        <v>81</v>
      </c>
      <c r="J266" s="6"/>
      <c r="K266" s="6"/>
      <c r="L266" s="6"/>
      <c r="M266" s="1" t="s">
        <v>345</v>
      </c>
      <c r="N266" s="6"/>
      <c r="O266" s="6"/>
      <c r="P266" s="6"/>
      <c r="Q266" s="1" t="b">
        <f t="shared" si="231"/>
        <v>1</v>
      </c>
      <c r="R266" s="6"/>
      <c r="S266" s="6"/>
    </row>
    <row r="267" spans="3:19" x14ac:dyDescent="0.15">
      <c r="C267" s="6"/>
      <c r="D267" s="7" t="s">
        <v>595</v>
      </c>
      <c r="E267" s="9" t="s">
        <v>385</v>
      </c>
      <c r="F267" s="14" t="s">
        <v>386</v>
      </c>
      <c r="G267" s="7">
        <v>16</v>
      </c>
      <c r="H267" s="6"/>
      <c r="I267" s="1" t="str">
        <f t="shared" ref="I267" si="236">TESTmultipleByOneDigit(E267,F267,G267)</f>
        <v>F</v>
      </c>
      <c r="J267" s="6"/>
      <c r="K267" s="6"/>
      <c r="L267" s="6"/>
      <c r="M267" s="1" t="s">
        <v>99</v>
      </c>
      <c r="N267" s="6"/>
      <c r="O267" s="6"/>
      <c r="P267" s="6"/>
      <c r="Q267" s="1" t="b">
        <f t="shared" si="231"/>
        <v>1</v>
      </c>
      <c r="R267" s="6"/>
      <c r="S267" s="6"/>
    </row>
    <row r="268" spans="3:19" x14ac:dyDescent="0.15">
      <c r="C268" s="6"/>
      <c r="D268" s="7" t="s">
        <v>596</v>
      </c>
      <c r="E268" s="9" t="s">
        <v>348</v>
      </c>
      <c r="F268" s="14" t="s">
        <v>310</v>
      </c>
      <c r="G268" s="7">
        <v>16</v>
      </c>
      <c r="H268" s="6"/>
      <c r="I268" s="1" t="str">
        <f t="shared" ref="I268" si="237">TESTmultipleByOneDigit(E268,F268,G268)</f>
        <v>10</v>
      </c>
      <c r="J268" s="6"/>
      <c r="K268" s="6"/>
      <c r="L268" s="6"/>
      <c r="M268" s="1" t="s">
        <v>15</v>
      </c>
      <c r="N268" s="6"/>
      <c r="O268" s="6"/>
      <c r="P268" s="6"/>
      <c r="Q268" s="1" t="b">
        <f t="shared" si="231"/>
        <v>1</v>
      </c>
      <c r="R268" s="6"/>
      <c r="S268" s="6"/>
    </row>
    <row r="269" spans="3:19" x14ac:dyDescent="0.15">
      <c r="C269" s="6"/>
      <c r="D269" s="7" t="s">
        <v>597</v>
      </c>
      <c r="E269" s="9" t="s">
        <v>342</v>
      </c>
      <c r="F269" s="14" t="s">
        <v>99</v>
      </c>
      <c r="G269" s="7">
        <v>16</v>
      </c>
      <c r="H269" s="6"/>
      <c r="I269" s="1" t="str">
        <f>TESTmultipleByOneDigit(E269,F269,G269)</f>
        <v>E1</v>
      </c>
      <c r="J269" s="6"/>
      <c r="K269" s="6"/>
      <c r="L269" s="6"/>
      <c r="M269" s="1" t="s">
        <v>344</v>
      </c>
      <c r="N269" s="6"/>
      <c r="O269" s="6"/>
      <c r="P269" s="6"/>
      <c r="Q269" s="1" t="b">
        <f t="shared" ref="Q269" si="238">getText(I269)=getText(M269)</f>
        <v>1</v>
      </c>
      <c r="R269" s="6"/>
      <c r="S269" s="6"/>
    </row>
    <row r="270" spans="3:19" x14ac:dyDescent="0.15">
      <c r="C270" s="2" t="s">
        <v>349</v>
      </c>
      <c r="D270" s="24" t="s">
        <v>304</v>
      </c>
      <c r="E270" s="11" t="s">
        <v>358</v>
      </c>
      <c r="F270" s="13" t="s">
        <v>357</v>
      </c>
      <c r="G270" s="24">
        <v>3</v>
      </c>
      <c r="H270" s="2"/>
      <c r="I270" s="3" t="str">
        <f>TESTmultipleByOneDigit(E270,F270,G270)</f>
        <v>00</v>
      </c>
      <c r="J270" s="2"/>
      <c r="K270" s="2"/>
      <c r="L270" s="2"/>
      <c r="M270" s="3" t="s">
        <v>98</v>
      </c>
      <c r="N270" s="2"/>
      <c r="O270" s="2"/>
      <c r="P270" s="2"/>
      <c r="Q270" s="3" t="b">
        <f t="shared" ref="Q270:Q272" si="239">getText(I270)=getText(M270)</f>
        <v>1</v>
      </c>
      <c r="R270" s="6"/>
      <c r="S270" s="6"/>
    </row>
    <row r="271" spans="3:19" x14ac:dyDescent="0.15">
      <c r="C271" s="6"/>
      <c r="D271" s="7" t="s">
        <v>305</v>
      </c>
      <c r="E271" s="9" t="s">
        <v>98</v>
      </c>
      <c r="F271" s="14" t="s">
        <v>14</v>
      </c>
      <c r="G271" s="7">
        <v>10</v>
      </c>
      <c r="H271" s="6"/>
      <c r="I271" s="1" t="str">
        <f t="shared" ref="I271:I272" si="240">TESTmultipleByOneDigit(E271,F271,G271)</f>
        <v>00</v>
      </c>
      <c r="J271" s="6"/>
      <c r="K271" s="6"/>
      <c r="L271" s="6"/>
      <c r="M271" s="1" t="s">
        <v>98</v>
      </c>
      <c r="N271" s="6"/>
      <c r="O271" s="6"/>
      <c r="P271" s="6"/>
      <c r="Q271" s="1" t="b">
        <f t="shared" si="239"/>
        <v>1</v>
      </c>
      <c r="R271" s="6"/>
      <c r="S271" s="6"/>
    </row>
    <row r="272" spans="3:19" x14ac:dyDescent="0.15">
      <c r="C272" s="6"/>
      <c r="D272" s="7" t="s">
        <v>306</v>
      </c>
      <c r="E272" s="9" t="s">
        <v>98</v>
      </c>
      <c r="F272" s="14" t="s">
        <v>14</v>
      </c>
      <c r="G272" s="7">
        <v>16</v>
      </c>
      <c r="H272" s="6"/>
      <c r="I272" s="1" t="str">
        <f t="shared" si="240"/>
        <v>00</v>
      </c>
      <c r="J272" s="6"/>
      <c r="K272" s="6"/>
      <c r="L272" s="6"/>
      <c r="M272" s="1" t="s">
        <v>98</v>
      </c>
      <c r="N272" s="6"/>
      <c r="O272" s="6"/>
      <c r="P272" s="6"/>
      <c r="Q272" s="1" t="b">
        <f t="shared" si="239"/>
        <v>1</v>
      </c>
      <c r="R272" s="6"/>
      <c r="S272" s="6"/>
    </row>
    <row r="273" spans="2:19" x14ac:dyDescent="0.15">
      <c r="B273" s="4" t="s">
        <v>372</v>
      </c>
      <c r="C273" s="2" t="s">
        <v>350</v>
      </c>
      <c r="D273" s="24" t="s">
        <v>304</v>
      </c>
      <c r="E273" s="11" t="s">
        <v>360</v>
      </c>
      <c r="F273" s="13" t="s">
        <v>361</v>
      </c>
      <c r="G273" s="24">
        <v>3</v>
      </c>
      <c r="H273" s="2"/>
      <c r="I273" s="3"/>
      <c r="J273" s="2"/>
      <c r="K273" s="2"/>
      <c r="L273" s="2"/>
      <c r="M273" s="3"/>
      <c r="N273" s="2"/>
      <c r="O273" s="2"/>
      <c r="P273" s="2"/>
      <c r="Q273" s="3"/>
      <c r="R273" s="6"/>
      <c r="S273" s="6"/>
    </row>
    <row r="274" spans="2:19" x14ac:dyDescent="0.15">
      <c r="C274" s="6"/>
      <c r="D274" s="7" t="s">
        <v>305</v>
      </c>
      <c r="E274" s="9" t="s">
        <v>359</v>
      </c>
      <c r="F274" s="14" t="s">
        <v>359</v>
      </c>
      <c r="G274" s="7">
        <v>10</v>
      </c>
      <c r="H274" s="6"/>
      <c r="J274" s="6"/>
      <c r="K274" s="6"/>
      <c r="L274" s="6"/>
      <c r="N274" s="6"/>
      <c r="O274" s="6"/>
      <c r="P274" s="6"/>
      <c r="R274" s="6"/>
      <c r="S274" s="6"/>
    </row>
    <row r="275" spans="2:19" x14ac:dyDescent="0.15">
      <c r="C275" s="6"/>
      <c r="D275" s="7" t="s">
        <v>306</v>
      </c>
      <c r="E275" s="9" t="s">
        <v>359</v>
      </c>
      <c r="F275" s="14" t="s">
        <v>359</v>
      </c>
      <c r="G275" s="7">
        <v>16</v>
      </c>
      <c r="H275" s="6"/>
      <c r="J275" s="6"/>
      <c r="K275" s="6"/>
      <c r="L275" s="6"/>
      <c r="N275" s="6"/>
      <c r="O275" s="6"/>
      <c r="P275" s="6"/>
      <c r="R275" s="6"/>
      <c r="S275" s="6"/>
    </row>
    <row r="276" spans="2:19" x14ac:dyDescent="0.15">
      <c r="C276" s="2" t="s">
        <v>351</v>
      </c>
      <c r="D276" s="24" t="s">
        <v>304</v>
      </c>
      <c r="E276" s="11" t="s">
        <v>358</v>
      </c>
      <c r="F276" s="13" t="s">
        <v>362</v>
      </c>
      <c r="G276" s="24">
        <v>3</v>
      </c>
      <c r="H276" s="2"/>
      <c r="I276" s="3" t="str">
        <f t="shared" ref="I276:I278" si="241">TESTmultipleByOneDigit(E276,F276,G276)</f>
        <v>00</v>
      </c>
      <c r="J276" s="2"/>
      <c r="K276" s="2"/>
      <c r="L276" s="2"/>
      <c r="M276" s="3" t="s">
        <v>98</v>
      </c>
      <c r="N276" s="2"/>
      <c r="O276" s="2"/>
      <c r="P276" s="2"/>
      <c r="Q276" s="3" t="b">
        <f t="shared" ref="Q276:Q278" si="242">getText(I276)=getText(M276)</f>
        <v>1</v>
      </c>
      <c r="R276" s="6"/>
      <c r="S276" s="6"/>
    </row>
    <row r="277" spans="2:19" x14ac:dyDescent="0.15">
      <c r="C277" s="6"/>
      <c r="D277" s="7" t="s">
        <v>305</v>
      </c>
      <c r="E277" s="9" t="s">
        <v>358</v>
      </c>
      <c r="F277" s="14" t="s">
        <v>363</v>
      </c>
      <c r="G277" s="7">
        <v>10</v>
      </c>
      <c r="H277" s="6"/>
      <c r="I277" s="1" t="str">
        <f t="shared" si="241"/>
        <v>00</v>
      </c>
      <c r="J277" s="6"/>
      <c r="K277" s="6"/>
      <c r="L277" s="6"/>
      <c r="M277" s="1" t="s">
        <v>98</v>
      </c>
      <c r="N277" s="6"/>
      <c r="O277" s="6"/>
      <c r="P277" s="6"/>
      <c r="Q277" s="1" t="b">
        <f t="shared" si="242"/>
        <v>1</v>
      </c>
      <c r="R277" s="6"/>
      <c r="S277" s="6"/>
    </row>
    <row r="278" spans="2:19" x14ac:dyDescent="0.15">
      <c r="C278" s="6"/>
      <c r="D278" s="7" t="s">
        <v>306</v>
      </c>
      <c r="E278" s="9" t="s">
        <v>358</v>
      </c>
      <c r="F278" s="14" t="s">
        <v>364</v>
      </c>
      <c r="G278" s="7">
        <v>16</v>
      </c>
      <c r="H278" s="6"/>
      <c r="I278" s="1" t="str">
        <f t="shared" si="241"/>
        <v>00</v>
      </c>
      <c r="J278" s="6"/>
      <c r="K278" s="6"/>
      <c r="L278" s="6"/>
      <c r="M278" s="1" t="s">
        <v>98</v>
      </c>
      <c r="N278" s="6"/>
      <c r="O278" s="6"/>
      <c r="P278" s="6"/>
      <c r="Q278" s="1" t="b">
        <f t="shared" si="242"/>
        <v>1</v>
      </c>
      <c r="R278" s="6"/>
      <c r="S278" s="6"/>
    </row>
    <row r="279" spans="2:19" x14ac:dyDescent="0.15">
      <c r="C279" s="2" t="s">
        <v>352</v>
      </c>
      <c r="D279" s="24" t="s">
        <v>304</v>
      </c>
      <c r="E279" s="11" t="s">
        <v>366</v>
      </c>
      <c r="F279" s="13" t="s">
        <v>362</v>
      </c>
      <c r="G279" s="24">
        <v>3</v>
      </c>
      <c r="H279" s="2"/>
      <c r="I279" s="3" t="str">
        <f t="shared" ref="I279:I281" si="243">TESTmultipleByOneDigit(E279,F279,G279)</f>
        <v>11</v>
      </c>
      <c r="J279" s="2"/>
      <c r="K279" s="2"/>
      <c r="L279" s="2"/>
      <c r="M279" s="3" t="s">
        <v>18</v>
      </c>
      <c r="N279" s="2"/>
      <c r="O279" s="2"/>
      <c r="P279" s="2"/>
      <c r="Q279" s="3" t="b">
        <f t="shared" ref="Q279:Q281" si="244">getText(I279)=getText(M279)</f>
        <v>1</v>
      </c>
      <c r="R279" s="6"/>
      <c r="S279" s="6"/>
    </row>
    <row r="280" spans="2:19" x14ac:dyDescent="0.15">
      <c r="C280" s="6"/>
      <c r="D280" s="7" t="s">
        <v>305</v>
      </c>
      <c r="E280" s="9" t="s">
        <v>367</v>
      </c>
      <c r="F280" s="14" t="s">
        <v>363</v>
      </c>
      <c r="G280" s="7">
        <v>10</v>
      </c>
      <c r="H280" s="6"/>
      <c r="I280" s="1" t="str">
        <f t="shared" si="243"/>
        <v>81</v>
      </c>
      <c r="J280" s="6"/>
      <c r="K280" s="6"/>
      <c r="L280" s="6"/>
      <c r="M280" s="1" t="s">
        <v>345</v>
      </c>
      <c r="N280" s="6"/>
      <c r="O280" s="6"/>
      <c r="P280" s="6"/>
      <c r="Q280" s="1" t="b">
        <f t="shared" si="244"/>
        <v>1</v>
      </c>
      <c r="R280" s="6"/>
      <c r="S280" s="6"/>
    </row>
    <row r="281" spans="2:19" x14ac:dyDescent="0.15">
      <c r="C281" s="6"/>
      <c r="D281" s="7" t="s">
        <v>306</v>
      </c>
      <c r="E281" s="9" t="s">
        <v>368</v>
      </c>
      <c r="F281" s="14" t="s">
        <v>364</v>
      </c>
      <c r="G281" s="7">
        <v>16</v>
      </c>
      <c r="H281" s="6"/>
      <c r="I281" s="1" t="str">
        <f t="shared" si="243"/>
        <v>E1</v>
      </c>
      <c r="J281" s="6"/>
      <c r="K281" s="6"/>
      <c r="L281" s="6"/>
      <c r="M281" s="1" t="s">
        <v>344</v>
      </c>
      <c r="N281" s="6"/>
      <c r="O281" s="6"/>
      <c r="P281" s="6"/>
      <c r="Q281" s="1" t="b">
        <f t="shared" si="244"/>
        <v>1</v>
      </c>
      <c r="R281" s="6"/>
      <c r="S281" s="6"/>
    </row>
    <row r="282" spans="2:19" x14ac:dyDescent="0.15">
      <c r="C282" s="2" t="s">
        <v>353</v>
      </c>
      <c r="D282" s="24" t="s">
        <v>304</v>
      </c>
      <c r="E282" s="11" t="s">
        <v>299</v>
      </c>
      <c r="F282" s="13" t="s">
        <v>365</v>
      </c>
      <c r="G282" s="24">
        <v>3</v>
      </c>
      <c r="H282" s="2"/>
      <c r="I282" s="3" t="str">
        <f t="shared" ref="I282:I284" si="245">TESTmultipleByOneDigit(E282,F282,G282)</f>
        <v>00</v>
      </c>
      <c r="J282" s="2"/>
      <c r="K282" s="2"/>
      <c r="L282" s="2"/>
      <c r="M282" s="3" t="s">
        <v>98</v>
      </c>
      <c r="N282" s="2"/>
      <c r="O282" s="2"/>
      <c r="P282" s="2"/>
      <c r="Q282" s="3" t="b">
        <f t="shared" ref="Q282:Q284" si="246">getText(I282)=getText(M282)</f>
        <v>1</v>
      </c>
      <c r="R282" s="6"/>
      <c r="S282" s="6"/>
    </row>
    <row r="283" spans="2:19" x14ac:dyDescent="0.15">
      <c r="C283" s="6"/>
      <c r="D283" s="7" t="s">
        <v>305</v>
      </c>
      <c r="E283" s="9" t="s">
        <v>299</v>
      </c>
      <c r="F283" s="14" t="s">
        <v>369</v>
      </c>
      <c r="G283" s="7">
        <v>10</v>
      </c>
      <c r="H283" s="6"/>
      <c r="I283" s="1" t="str">
        <f t="shared" si="245"/>
        <v>00</v>
      </c>
      <c r="J283" s="6"/>
      <c r="K283" s="6"/>
      <c r="L283" s="6"/>
      <c r="M283" s="1" t="s">
        <v>98</v>
      </c>
      <c r="N283" s="6"/>
      <c r="O283" s="6"/>
      <c r="P283" s="6"/>
      <c r="Q283" s="1" t="b">
        <f t="shared" si="246"/>
        <v>1</v>
      </c>
      <c r="R283" s="6"/>
      <c r="S283" s="6"/>
    </row>
    <row r="284" spans="2:19" x14ac:dyDescent="0.15">
      <c r="C284" s="6"/>
      <c r="D284" s="7" t="s">
        <v>306</v>
      </c>
      <c r="E284" s="9" t="s">
        <v>299</v>
      </c>
      <c r="F284" s="14" t="s">
        <v>365</v>
      </c>
      <c r="G284" s="7">
        <v>16</v>
      </c>
      <c r="H284" s="6"/>
      <c r="I284" s="1" t="str">
        <f t="shared" si="245"/>
        <v>00</v>
      </c>
      <c r="J284" s="6"/>
      <c r="K284" s="6"/>
      <c r="L284" s="6"/>
      <c r="M284" s="1" t="s">
        <v>98</v>
      </c>
      <c r="N284" s="6"/>
      <c r="O284" s="6"/>
      <c r="P284" s="6"/>
      <c r="Q284" s="1" t="b">
        <f t="shared" si="246"/>
        <v>1</v>
      </c>
      <c r="R284" s="6"/>
      <c r="S284" s="6"/>
    </row>
    <row r="285" spans="2:19" x14ac:dyDescent="0.15">
      <c r="B285" s="4" t="s">
        <v>372</v>
      </c>
      <c r="C285" s="2" t="s">
        <v>354</v>
      </c>
      <c r="D285" s="24" t="s">
        <v>304</v>
      </c>
      <c r="E285" s="11" t="s">
        <v>370</v>
      </c>
      <c r="F285" s="13" t="s">
        <v>371</v>
      </c>
      <c r="G285" s="24">
        <v>3</v>
      </c>
      <c r="H285" s="2"/>
      <c r="I285" s="3"/>
      <c r="J285" s="2"/>
      <c r="K285" s="2"/>
      <c r="L285" s="2"/>
      <c r="M285" s="3"/>
      <c r="N285" s="2"/>
      <c r="O285" s="2"/>
      <c r="P285" s="2"/>
      <c r="Q285" s="3"/>
      <c r="R285" s="6"/>
      <c r="S285" s="6"/>
    </row>
    <row r="286" spans="2:19" x14ac:dyDescent="0.15">
      <c r="C286" s="6"/>
      <c r="D286" s="7" t="s">
        <v>305</v>
      </c>
      <c r="E286" s="9" t="s">
        <v>359</v>
      </c>
      <c r="F286" s="14" t="s">
        <v>359</v>
      </c>
      <c r="G286" s="7">
        <v>10</v>
      </c>
      <c r="H286" s="6"/>
      <c r="J286" s="6"/>
      <c r="K286" s="6"/>
      <c r="L286" s="6"/>
      <c r="N286" s="6"/>
      <c r="O286" s="6"/>
      <c r="P286" s="6"/>
      <c r="R286" s="6"/>
      <c r="S286" s="6"/>
    </row>
    <row r="287" spans="2:19" x14ac:dyDescent="0.15">
      <c r="C287" s="6"/>
      <c r="D287" s="7" t="s">
        <v>306</v>
      </c>
      <c r="E287" s="9" t="s">
        <v>359</v>
      </c>
      <c r="F287" s="14" t="s">
        <v>359</v>
      </c>
      <c r="G287" s="7">
        <v>16</v>
      </c>
      <c r="H287" s="6"/>
      <c r="J287" s="6"/>
      <c r="K287" s="6"/>
      <c r="L287" s="6"/>
      <c r="N287" s="6"/>
      <c r="O287" s="6"/>
      <c r="P287" s="6"/>
      <c r="R287" s="6"/>
      <c r="S287" s="6"/>
    </row>
    <row r="288" spans="2:19" x14ac:dyDescent="0.15">
      <c r="C288" s="2" t="s">
        <v>355</v>
      </c>
      <c r="D288" s="24" t="s">
        <v>304</v>
      </c>
      <c r="E288" s="11" t="s">
        <v>373</v>
      </c>
      <c r="F288" s="13" t="s">
        <v>362</v>
      </c>
      <c r="G288" s="24">
        <v>3</v>
      </c>
      <c r="H288" s="2"/>
      <c r="I288" s="3" t="str">
        <f t="shared" ref="I288:I290" si="247">TESTmultipleByOneDigit(E288,F288,G288)</f>
        <v>110</v>
      </c>
      <c r="J288" s="2"/>
      <c r="K288" s="2"/>
      <c r="L288" s="2"/>
      <c r="M288" s="3" t="s">
        <v>291</v>
      </c>
      <c r="N288" s="2"/>
      <c r="O288" s="2"/>
      <c r="P288" s="2"/>
      <c r="Q288" s="3" t="b">
        <f t="shared" ref="Q288:Q290" si="248">getText(I288)=getText(M288)</f>
        <v>1</v>
      </c>
      <c r="R288" s="6"/>
      <c r="S288" s="6"/>
    </row>
    <row r="289" spans="1:19" x14ac:dyDescent="0.15">
      <c r="C289" s="6"/>
      <c r="D289" s="7" t="s">
        <v>305</v>
      </c>
      <c r="E289" s="9" t="s">
        <v>374</v>
      </c>
      <c r="F289" s="14" t="s">
        <v>363</v>
      </c>
      <c r="G289" s="7">
        <v>10</v>
      </c>
      <c r="H289" s="6"/>
      <c r="I289" s="1" t="str">
        <f t="shared" si="247"/>
        <v>810</v>
      </c>
      <c r="J289" s="6"/>
      <c r="K289" s="6"/>
      <c r="L289" s="6"/>
      <c r="M289" s="1" t="s">
        <v>376</v>
      </c>
      <c r="N289" s="6"/>
      <c r="O289" s="6"/>
      <c r="P289" s="6"/>
      <c r="Q289" s="1" t="b">
        <f t="shared" si="248"/>
        <v>1</v>
      </c>
      <c r="R289" s="6"/>
      <c r="S289" s="6"/>
    </row>
    <row r="290" spans="1:19" x14ac:dyDescent="0.15">
      <c r="C290" s="6"/>
      <c r="D290" s="7" t="s">
        <v>306</v>
      </c>
      <c r="E290" s="9" t="s">
        <v>375</v>
      </c>
      <c r="F290" s="14" t="s">
        <v>364</v>
      </c>
      <c r="G290" s="7">
        <v>16</v>
      </c>
      <c r="H290" s="6"/>
      <c r="I290" s="1" t="str">
        <f t="shared" si="247"/>
        <v>E10</v>
      </c>
      <c r="J290" s="6"/>
      <c r="K290" s="6"/>
      <c r="L290" s="6"/>
      <c r="M290" s="1" t="s">
        <v>377</v>
      </c>
      <c r="N290" s="6"/>
      <c r="O290" s="6"/>
      <c r="P290" s="6"/>
      <c r="Q290" s="1" t="b">
        <f t="shared" si="248"/>
        <v>1</v>
      </c>
      <c r="R290" s="6"/>
      <c r="S290" s="6"/>
    </row>
    <row r="291" spans="1:19" x14ac:dyDescent="0.15">
      <c r="C291" s="2" t="s">
        <v>356</v>
      </c>
      <c r="D291" s="24" t="s">
        <v>304</v>
      </c>
      <c r="E291" s="11" t="s">
        <v>309</v>
      </c>
      <c r="F291" s="13" t="s">
        <v>307</v>
      </c>
      <c r="G291" s="24">
        <v>3</v>
      </c>
      <c r="H291" s="2"/>
      <c r="I291" s="3" t="str">
        <f t="shared" ref="I291:I293" si="249">TESTmultipleByOneDigit(E291,F291,G291)</f>
        <v>121</v>
      </c>
      <c r="J291" s="2"/>
      <c r="K291" s="2"/>
      <c r="L291" s="2"/>
      <c r="M291" s="3" t="s">
        <v>319</v>
      </c>
      <c r="N291" s="2"/>
      <c r="O291" s="2"/>
      <c r="P291" s="2"/>
      <c r="Q291" s="3" t="b">
        <f t="shared" ref="Q291:Q293" si="250">getText(I291)=getText(M291)</f>
        <v>1</v>
      </c>
      <c r="R291" s="6"/>
      <c r="S291" s="6"/>
    </row>
    <row r="292" spans="1:19" x14ac:dyDescent="0.15">
      <c r="C292" s="6"/>
      <c r="D292" s="7" t="s">
        <v>305</v>
      </c>
      <c r="E292" s="9" t="s">
        <v>378</v>
      </c>
      <c r="F292" s="14" t="s">
        <v>101</v>
      </c>
      <c r="G292" s="7">
        <v>10</v>
      </c>
      <c r="H292" s="6"/>
      <c r="I292" s="1" t="str">
        <f t="shared" si="249"/>
        <v>891</v>
      </c>
      <c r="J292" s="6"/>
      <c r="K292" s="6"/>
      <c r="L292" s="6"/>
      <c r="M292" s="1" t="s">
        <v>380</v>
      </c>
      <c r="N292" s="6"/>
      <c r="O292" s="6"/>
      <c r="P292" s="6"/>
      <c r="Q292" s="1" t="b">
        <f t="shared" si="250"/>
        <v>1</v>
      </c>
      <c r="R292" s="6"/>
      <c r="S292" s="6"/>
    </row>
    <row r="293" spans="1:19" x14ac:dyDescent="0.15">
      <c r="C293" s="6"/>
      <c r="D293" s="7" t="s">
        <v>306</v>
      </c>
      <c r="E293" s="9" t="s">
        <v>379</v>
      </c>
      <c r="F293" s="14" t="s">
        <v>99</v>
      </c>
      <c r="G293" s="7">
        <v>16</v>
      </c>
      <c r="H293" s="6"/>
      <c r="I293" s="1" t="str">
        <f t="shared" si="249"/>
        <v>EF1</v>
      </c>
      <c r="J293" s="6"/>
      <c r="K293" s="6"/>
      <c r="L293" s="6"/>
      <c r="M293" s="1" t="s">
        <v>381</v>
      </c>
      <c r="N293" s="6"/>
      <c r="O293" s="6"/>
      <c r="P293" s="6"/>
      <c r="Q293" s="1" t="b">
        <f t="shared" si="250"/>
        <v>1</v>
      </c>
      <c r="R293" s="35"/>
      <c r="S293" s="35"/>
    </row>
    <row r="294" spans="1:19" s="2" customFormat="1" x14ac:dyDescent="0.15">
      <c r="A294" s="2" t="s">
        <v>59</v>
      </c>
      <c r="B294" s="2" t="s">
        <v>36</v>
      </c>
      <c r="C294" s="2" t="s">
        <v>38</v>
      </c>
      <c r="D294" s="2" t="s">
        <v>46</v>
      </c>
      <c r="E294" s="3">
        <v>1</v>
      </c>
      <c r="F294" s="13" t="s">
        <v>40</v>
      </c>
      <c r="G294" s="2">
        <v>2</v>
      </c>
      <c r="H294" s="2">
        <v>0</v>
      </c>
      <c r="I294" s="3" t="str">
        <f t="shared" ref="I294:I302" si="251">TESTdivide(E294,F294,G294,H294)</f>
        <v>0</v>
      </c>
      <c r="J294" s="2" t="str">
        <f t="shared" ref="J294:J302" si="252">TESTdivideByRef1(E294,F294,G294,H294)</f>
        <v>1</v>
      </c>
      <c r="K294" s="2">
        <f t="shared" ref="K294:K302" si="253">TESTdivideByRef2(E294,F294,G294,H294)</f>
        <v>0</v>
      </c>
      <c r="M294" s="3" t="s">
        <v>14</v>
      </c>
      <c r="N294" s="2" t="s">
        <v>44</v>
      </c>
      <c r="O294" s="2">
        <v>0</v>
      </c>
      <c r="Q294" s="3" t="b">
        <f t="shared" ref="Q294" si="254">getText(I294)=getText(M294)</f>
        <v>1</v>
      </c>
      <c r="R294" s="2" t="b">
        <f t="shared" ref="R294" si="255">getText(J294)=getText(N294)</f>
        <v>1</v>
      </c>
      <c r="S294" s="2" t="b">
        <f t="shared" ref="S294" si="256">getText(K294)=getText(O294)</f>
        <v>1</v>
      </c>
    </row>
    <row r="295" spans="1:19" x14ac:dyDescent="0.15">
      <c r="C295" t="s">
        <v>51</v>
      </c>
      <c r="D295" t="s">
        <v>47</v>
      </c>
      <c r="E295" s="1">
        <v>1</v>
      </c>
      <c r="F295" s="17">
        <v>2147483647</v>
      </c>
      <c r="G295">
        <v>10</v>
      </c>
      <c r="H295">
        <v>0</v>
      </c>
      <c r="I295" s="1" t="str">
        <f t="shared" si="251"/>
        <v>0</v>
      </c>
      <c r="J295" t="str">
        <f t="shared" si="252"/>
        <v>1</v>
      </c>
      <c r="K295">
        <f t="shared" si="253"/>
        <v>0</v>
      </c>
      <c r="M295" s="1" t="s">
        <v>14</v>
      </c>
      <c r="N295" t="s">
        <v>44</v>
      </c>
      <c r="O295">
        <v>0</v>
      </c>
      <c r="Q295" s="1" t="b">
        <f t="shared" ref="Q295:Q299" si="257">getText(I295)=getText(M295)</f>
        <v>1</v>
      </c>
      <c r="R295" t="b">
        <f t="shared" ref="R295:R299" si="258">getText(J295)=getText(N295)</f>
        <v>1</v>
      </c>
      <c r="S295" t="b">
        <f t="shared" ref="S295:S299" si="259">getText(K295)=getText(O295)</f>
        <v>1</v>
      </c>
    </row>
    <row r="296" spans="1:19" x14ac:dyDescent="0.15">
      <c r="D296" t="s">
        <v>49</v>
      </c>
      <c r="E296" s="1">
        <v>1</v>
      </c>
      <c r="F296" s="17" t="s">
        <v>50</v>
      </c>
      <c r="G296">
        <v>16</v>
      </c>
      <c r="H296">
        <v>0</v>
      </c>
      <c r="I296" s="1" t="str">
        <f t="shared" si="251"/>
        <v>0</v>
      </c>
      <c r="J296" t="str">
        <f t="shared" si="252"/>
        <v>1</v>
      </c>
      <c r="K296">
        <f t="shared" si="253"/>
        <v>0</v>
      </c>
      <c r="M296" s="1" t="s">
        <v>14</v>
      </c>
      <c r="N296" t="s">
        <v>44</v>
      </c>
      <c r="O296">
        <v>0</v>
      </c>
      <c r="Q296" s="1" t="b">
        <f t="shared" si="257"/>
        <v>1</v>
      </c>
      <c r="R296" t="b">
        <f t="shared" si="258"/>
        <v>1</v>
      </c>
      <c r="S296" t="b">
        <f t="shared" si="259"/>
        <v>1</v>
      </c>
    </row>
    <row r="297" spans="1:19" x14ac:dyDescent="0.15">
      <c r="C297" s="2" t="s">
        <v>39</v>
      </c>
      <c r="D297" s="2" t="s">
        <v>46</v>
      </c>
      <c r="E297" s="3">
        <v>1</v>
      </c>
      <c r="F297" s="13" t="s">
        <v>41</v>
      </c>
      <c r="G297" s="2">
        <v>2</v>
      </c>
      <c r="H297" s="2">
        <v>0</v>
      </c>
      <c r="I297" s="3" t="str">
        <f t="shared" si="251"/>
        <v/>
      </c>
      <c r="J297" s="2" t="str">
        <f t="shared" si="252"/>
        <v/>
      </c>
      <c r="K297" s="2" t="e">
        <f t="shared" si="253"/>
        <v>#NUM!</v>
      </c>
      <c r="L297" s="2"/>
      <c r="M297" s="3" t="s">
        <v>45</v>
      </c>
      <c r="N297" s="2" t="s">
        <v>45</v>
      </c>
      <c r="O297" s="2" t="e">
        <v>#NUM!</v>
      </c>
      <c r="P297" s="2"/>
      <c r="Q297" s="3" t="b">
        <f t="shared" si="257"/>
        <v>1</v>
      </c>
      <c r="R297" s="2" t="b">
        <f t="shared" si="258"/>
        <v>1</v>
      </c>
      <c r="S297" s="2" t="b">
        <f t="shared" si="259"/>
        <v>1</v>
      </c>
    </row>
    <row r="298" spans="1:19" x14ac:dyDescent="0.15">
      <c r="C298" t="s">
        <v>52</v>
      </c>
      <c r="D298" t="s">
        <v>47</v>
      </c>
      <c r="E298" s="1">
        <v>1</v>
      </c>
      <c r="F298">
        <v>2147483648</v>
      </c>
      <c r="G298">
        <v>10</v>
      </c>
      <c r="H298">
        <v>0</v>
      </c>
      <c r="I298" s="1" t="str">
        <f t="shared" si="251"/>
        <v/>
      </c>
      <c r="J298" t="str">
        <f t="shared" si="252"/>
        <v/>
      </c>
      <c r="K298" t="e">
        <f t="shared" si="253"/>
        <v>#NUM!</v>
      </c>
      <c r="M298" s="1" t="s">
        <v>45</v>
      </c>
      <c r="N298" t="s">
        <v>45</v>
      </c>
      <c r="O298" t="e">
        <v>#NUM!</v>
      </c>
      <c r="Q298" s="1" t="b">
        <f t="shared" si="257"/>
        <v>1</v>
      </c>
      <c r="R298" t="b">
        <f t="shared" si="258"/>
        <v>1</v>
      </c>
      <c r="S298" t="b">
        <f t="shared" si="259"/>
        <v>1</v>
      </c>
    </row>
    <row r="299" spans="1:19" x14ac:dyDescent="0.15">
      <c r="D299" t="s">
        <v>49</v>
      </c>
      <c r="E299" s="1">
        <v>1</v>
      </c>
      <c r="F299">
        <v>80000000</v>
      </c>
      <c r="G299">
        <v>16</v>
      </c>
      <c r="H299">
        <v>0</v>
      </c>
      <c r="I299" s="1" t="str">
        <f t="shared" si="251"/>
        <v/>
      </c>
      <c r="J299" t="str">
        <f t="shared" si="252"/>
        <v/>
      </c>
      <c r="K299" t="e">
        <f t="shared" si="253"/>
        <v>#NUM!</v>
      </c>
      <c r="M299" s="1" t="s">
        <v>45</v>
      </c>
      <c r="N299" t="s">
        <v>45</v>
      </c>
      <c r="O299" t="e">
        <v>#NUM!</v>
      </c>
      <c r="Q299" s="1" t="b">
        <f t="shared" si="257"/>
        <v>1</v>
      </c>
      <c r="R299" t="b">
        <f t="shared" si="258"/>
        <v>1</v>
      </c>
      <c r="S299" t="b">
        <f t="shared" si="259"/>
        <v>1</v>
      </c>
    </row>
    <row r="300" spans="1:19" x14ac:dyDescent="0.15">
      <c r="B300" s="2" t="s">
        <v>42</v>
      </c>
      <c r="C300" s="2"/>
      <c r="D300" s="2" t="s">
        <v>46</v>
      </c>
      <c r="E300" s="3">
        <v>1</v>
      </c>
      <c r="F300" s="2">
        <v>0</v>
      </c>
      <c r="G300" s="2">
        <v>2</v>
      </c>
      <c r="H300" s="2">
        <v>0</v>
      </c>
      <c r="I300" s="3" t="str">
        <f t="shared" si="251"/>
        <v/>
      </c>
      <c r="J300" s="2" t="str">
        <f t="shared" si="252"/>
        <v/>
      </c>
      <c r="K300" s="2" t="e">
        <f t="shared" si="253"/>
        <v>#DIV/0!</v>
      </c>
      <c r="L300" s="2"/>
      <c r="M300" s="3" t="s">
        <v>45</v>
      </c>
      <c r="N300" s="2" t="s">
        <v>45</v>
      </c>
      <c r="O300" s="2" t="e">
        <v>#DIV/0!</v>
      </c>
      <c r="P300" s="2"/>
      <c r="Q300" s="3" t="b">
        <f t="shared" ref="Q300:Q302" si="260">getText(I300)=getText(M300)</f>
        <v>1</v>
      </c>
      <c r="R300" s="2" t="b">
        <f t="shared" ref="R300:R302" si="261">getText(J300)=getText(N300)</f>
        <v>1</v>
      </c>
      <c r="S300" s="2" t="b">
        <f t="shared" ref="S300:S302" si="262">getText(K300)=getText(O300)</f>
        <v>1</v>
      </c>
    </row>
    <row r="301" spans="1:19" x14ac:dyDescent="0.15">
      <c r="B301" s="6"/>
      <c r="C301" s="6"/>
      <c r="D301" s="6" t="s">
        <v>47</v>
      </c>
      <c r="E301" s="1">
        <v>1</v>
      </c>
      <c r="F301" s="6">
        <v>0</v>
      </c>
      <c r="G301" s="6">
        <v>10</v>
      </c>
      <c r="H301" s="6">
        <v>0</v>
      </c>
      <c r="I301" s="1" t="str">
        <f t="shared" si="251"/>
        <v/>
      </c>
      <c r="J301" s="6" t="str">
        <f t="shared" si="252"/>
        <v/>
      </c>
      <c r="K301" s="6" t="e">
        <f t="shared" si="253"/>
        <v>#DIV/0!</v>
      </c>
      <c r="L301" s="6"/>
      <c r="M301" s="1" t="s">
        <v>45</v>
      </c>
      <c r="N301" s="6" t="s">
        <v>45</v>
      </c>
      <c r="O301" s="6" t="e">
        <v>#DIV/0!</v>
      </c>
      <c r="P301" s="6"/>
      <c r="Q301" s="1" t="b">
        <f t="shared" si="260"/>
        <v>1</v>
      </c>
      <c r="R301" s="6" t="b">
        <f t="shared" si="261"/>
        <v>1</v>
      </c>
      <c r="S301" s="6" t="b">
        <f t="shared" si="262"/>
        <v>1</v>
      </c>
    </row>
    <row r="302" spans="1:19" x14ac:dyDescent="0.15">
      <c r="B302" s="6"/>
      <c r="C302" s="6"/>
      <c r="D302" s="6" t="s">
        <v>49</v>
      </c>
      <c r="E302" s="1">
        <v>1</v>
      </c>
      <c r="F302" s="6">
        <v>0</v>
      </c>
      <c r="G302" s="6">
        <v>16</v>
      </c>
      <c r="H302" s="6">
        <v>0</v>
      </c>
      <c r="I302" s="1" t="str">
        <f t="shared" si="251"/>
        <v/>
      </c>
      <c r="J302" s="6" t="str">
        <f t="shared" si="252"/>
        <v/>
      </c>
      <c r="K302" s="6" t="e">
        <f t="shared" si="253"/>
        <v>#DIV/0!</v>
      </c>
      <c r="L302" s="6"/>
      <c r="M302" s="1" t="s">
        <v>45</v>
      </c>
      <c r="N302" s="6" t="s">
        <v>45</v>
      </c>
      <c r="O302" s="6" t="e">
        <v>#DIV/0!</v>
      </c>
      <c r="P302" s="6"/>
      <c r="Q302" s="1" t="b">
        <f t="shared" si="260"/>
        <v>1</v>
      </c>
      <c r="R302" s="6" t="b">
        <f t="shared" si="261"/>
        <v>1</v>
      </c>
      <c r="S302" s="6" t="b">
        <f t="shared" si="262"/>
        <v>1</v>
      </c>
    </row>
    <row r="303" spans="1:19" x14ac:dyDescent="0.15">
      <c r="B303" s="2" t="s">
        <v>43</v>
      </c>
      <c r="C303" s="2"/>
      <c r="D303" s="16" t="s">
        <v>46</v>
      </c>
      <c r="E303" s="11" t="s">
        <v>65</v>
      </c>
      <c r="F303" s="2">
        <v>1</v>
      </c>
      <c r="G303" s="2">
        <v>2</v>
      </c>
      <c r="H303" s="2">
        <v>0</v>
      </c>
      <c r="I303" s="3" t="str">
        <f t="shared" ref="I303:I305" si="263">TESTdivide(E303,F303,G303,H303)</f>
        <v>001000000000000000000000000000000000</v>
      </c>
      <c r="J303" s="2" t="str">
        <f t="shared" ref="J303:J305" si="264">TESTdivideByRef1(E303,F303,G303,H303)</f>
        <v/>
      </c>
      <c r="K303" s="2">
        <f t="shared" ref="K303:K305" si="265">TESTdivideByRef2(E303,F303,G303,H303)</f>
        <v>0</v>
      </c>
      <c r="L303" s="2"/>
      <c r="M303" s="20" t="s">
        <v>64</v>
      </c>
      <c r="N303" s="2"/>
      <c r="O303" s="2">
        <v>0</v>
      </c>
      <c r="P303" s="2"/>
      <c r="Q303" s="3" t="b">
        <f t="shared" ref="Q303:Q305" si="266">getText(I303)=getText(M303)</f>
        <v>1</v>
      </c>
      <c r="R303" s="2" t="b">
        <f t="shared" ref="R303:R305" si="267">getText(J303)=getText(N303)</f>
        <v>1</v>
      </c>
      <c r="S303" s="2" t="b">
        <f t="shared" ref="S303:S305" si="268">getText(K303)=getText(O303)</f>
        <v>1</v>
      </c>
    </row>
    <row r="304" spans="1:19" x14ac:dyDescent="0.15">
      <c r="D304" s="15" t="s">
        <v>47</v>
      </c>
      <c r="E304" s="9" t="s">
        <v>67</v>
      </c>
      <c r="F304">
        <v>1</v>
      </c>
      <c r="G304">
        <v>10</v>
      </c>
      <c r="H304">
        <v>0</v>
      </c>
      <c r="I304" s="1" t="str">
        <f t="shared" si="263"/>
        <v>00214748364800</v>
      </c>
      <c r="J304" t="str">
        <f t="shared" si="264"/>
        <v/>
      </c>
      <c r="K304">
        <f t="shared" si="265"/>
        <v>0</v>
      </c>
      <c r="M304" s="21" t="s">
        <v>66</v>
      </c>
      <c r="O304">
        <v>0</v>
      </c>
      <c r="Q304" s="1" t="b">
        <f t="shared" si="266"/>
        <v>1</v>
      </c>
      <c r="R304" t="b">
        <f t="shared" si="267"/>
        <v>1</v>
      </c>
      <c r="S304" t="b">
        <f t="shared" si="268"/>
        <v>1</v>
      </c>
    </row>
    <row r="305" spans="1:19" x14ac:dyDescent="0.15">
      <c r="D305" s="15" t="s">
        <v>49</v>
      </c>
      <c r="E305" s="9" t="s">
        <v>69</v>
      </c>
      <c r="F305">
        <v>1</v>
      </c>
      <c r="G305">
        <v>16</v>
      </c>
      <c r="H305">
        <v>0</v>
      </c>
      <c r="I305" s="1" t="str">
        <f t="shared" si="263"/>
        <v>008000000000</v>
      </c>
      <c r="J305" t="str">
        <f t="shared" si="264"/>
        <v/>
      </c>
      <c r="K305">
        <f t="shared" si="265"/>
        <v>0</v>
      </c>
      <c r="M305" s="21" t="s">
        <v>68</v>
      </c>
      <c r="O305">
        <v>0</v>
      </c>
      <c r="Q305" s="1" t="b">
        <f t="shared" si="266"/>
        <v>1</v>
      </c>
      <c r="R305" t="b">
        <f t="shared" si="267"/>
        <v>1</v>
      </c>
      <c r="S305" t="b">
        <f t="shared" si="268"/>
        <v>1</v>
      </c>
    </row>
    <row r="306" spans="1:19" x14ac:dyDescent="0.15">
      <c r="B306" s="2" t="s">
        <v>37</v>
      </c>
      <c r="C306" s="2" t="s">
        <v>38</v>
      </c>
      <c r="D306" s="2" t="s">
        <v>46</v>
      </c>
      <c r="E306" s="11" t="s">
        <v>103</v>
      </c>
      <c r="F306" s="13" t="s">
        <v>103</v>
      </c>
      <c r="G306" s="2">
        <v>2</v>
      </c>
      <c r="H306" s="2">
        <v>0</v>
      </c>
      <c r="I306" s="3" t="str">
        <f t="shared" ref="I306" si="269">TESTdivide(E306,F306,G306,H306)</f>
        <v>0000000000000000000000000000001</v>
      </c>
      <c r="J306" s="2" t="str">
        <f t="shared" ref="J306" si="270">TESTdivideByRef1(E306,F306,G306,H306)</f>
        <v>0</v>
      </c>
      <c r="K306" s="2">
        <f t="shared" ref="K306" si="271">TESTdivideByRef2(E306,F306,G306,H306)</f>
        <v>0</v>
      </c>
      <c r="L306" s="2"/>
      <c r="M306" s="3" t="s">
        <v>108</v>
      </c>
      <c r="N306" s="2" t="s">
        <v>14</v>
      </c>
      <c r="O306" s="2">
        <v>0</v>
      </c>
      <c r="P306" s="2"/>
      <c r="Q306" s="3" t="b">
        <f t="shared" ref="Q306:Q308" si="272">getText(I306)=getText(M306)</f>
        <v>1</v>
      </c>
      <c r="R306" s="2" t="b">
        <f t="shared" ref="R306:R308" si="273">getText(J306)=getText(N306)</f>
        <v>1</v>
      </c>
      <c r="S306" s="2" t="b">
        <f t="shared" ref="S306:S308" si="274">getText(K306)=getText(O306)</f>
        <v>1</v>
      </c>
    </row>
    <row r="307" spans="1:19" x14ac:dyDescent="0.15">
      <c r="C307" t="s">
        <v>51</v>
      </c>
      <c r="D307" t="s">
        <v>47</v>
      </c>
      <c r="E307" s="9" t="s">
        <v>104</v>
      </c>
      <c r="F307" s="14" t="s">
        <v>104</v>
      </c>
      <c r="G307">
        <v>10</v>
      </c>
      <c r="H307" s="7">
        <v>0</v>
      </c>
      <c r="I307" s="1" t="str">
        <f t="shared" ref="I307:I308" si="275">TESTdivide(E307,F307,G307,H307)</f>
        <v>0000000001</v>
      </c>
      <c r="J307" t="str">
        <f t="shared" ref="J307:J308" si="276">TESTdivideByRef1(E307,F307,G307,H307)</f>
        <v>0</v>
      </c>
      <c r="K307">
        <f t="shared" ref="K307:K308" si="277">TESTdivideByRef2(E307,F307,G307,H307)</f>
        <v>0</v>
      </c>
      <c r="M307" s="1" t="s">
        <v>109</v>
      </c>
      <c r="N307" t="s">
        <v>14</v>
      </c>
      <c r="O307">
        <v>0</v>
      </c>
      <c r="Q307" s="1" t="b">
        <f t="shared" si="272"/>
        <v>1</v>
      </c>
      <c r="R307" t="b">
        <f t="shared" si="273"/>
        <v>1</v>
      </c>
      <c r="S307" t="b">
        <f t="shared" si="274"/>
        <v>1</v>
      </c>
    </row>
    <row r="308" spans="1:19" x14ac:dyDescent="0.15">
      <c r="D308" t="s">
        <v>49</v>
      </c>
      <c r="E308" s="18" t="s">
        <v>50</v>
      </c>
      <c r="F308" s="19" t="s">
        <v>50</v>
      </c>
      <c r="G308">
        <v>16</v>
      </c>
      <c r="H308" s="7">
        <v>0</v>
      </c>
      <c r="I308" s="1" t="str">
        <f t="shared" si="275"/>
        <v>00000001</v>
      </c>
      <c r="J308" t="str">
        <f t="shared" si="276"/>
        <v>0</v>
      </c>
      <c r="K308">
        <f t="shared" si="277"/>
        <v>0</v>
      </c>
      <c r="M308" s="1" t="s">
        <v>110</v>
      </c>
      <c r="N308" t="s">
        <v>14</v>
      </c>
      <c r="O308">
        <v>0</v>
      </c>
      <c r="Q308" s="1" t="b">
        <f t="shared" si="272"/>
        <v>1</v>
      </c>
      <c r="R308" t="b">
        <f t="shared" si="273"/>
        <v>1</v>
      </c>
      <c r="S308" t="b">
        <f t="shared" si="274"/>
        <v>1</v>
      </c>
    </row>
    <row r="309" spans="1:19" x14ac:dyDescent="0.15">
      <c r="C309" s="2" t="s">
        <v>39</v>
      </c>
      <c r="D309" s="2" t="s">
        <v>46</v>
      </c>
      <c r="E309" s="11" t="s">
        <v>105</v>
      </c>
      <c r="F309" s="13" t="s">
        <v>103</v>
      </c>
      <c r="G309" s="2">
        <v>2</v>
      </c>
      <c r="H309" s="2">
        <v>0</v>
      </c>
      <c r="I309" s="3" t="str">
        <f t="shared" ref="I309:I314" si="278">TESTdivide(E309,F309,G309,H309)</f>
        <v/>
      </c>
      <c r="J309" s="2" t="str">
        <f t="shared" ref="J309:J314" si="279">TESTdivideByRef1(E309,F309,G309,H309)</f>
        <v/>
      </c>
      <c r="K309" s="2" t="e">
        <f t="shared" ref="K309:K314" si="280">TESTdivideByRef2(E309,F309,G309,H309)</f>
        <v>#NUM!</v>
      </c>
      <c r="L309" s="2"/>
      <c r="M309" s="3" t="s">
        <v>45</v>
      </c>
      <c r="N309" s="2" t="s">
        <v>45</v>
      </c>
      <c r="O309" s="2" t="e">
        <v>#NUM!</v>
      </c>
      <c r="P309" s="2"/>
      <c r="Q309" s="3" t="b">
        <f t="shared" ref="Q309:Q314" si="281">getText(I309)=getText(M309)</f>
        <v>1</v>
      </c>
      <c r="R309" s="2" t="b">
        <f t="shared" ref="R309:R314" si="282">getText(J309)=getText(N309)</f>
        <v>1</v>
      </c>
      <c r="S309" s="2" t="b">
        <f t="shared" ref="S309:S314" si="283">getText(K309)=getText(O309)</f>
        <v>1</v>
      </c>
    </row>
    <row r="310" spans="1:19" x14ac:dyDescent="0.15">
      <c r="C310" t="s">
        <v>52</v>
      </c>
      <c r="D310" t="s">
        <v>47</v>
      </c>
      <c r="E310" s="9" t="s">
        <v>106</v>
      </c>
      <c r="F310" s="14" t="s">
        <v>104</v>
      </c>
      <c r="G310">
        <v>10</v>
      </c>
      <c r="H310" s="7">
        <v>0</v>
      </c>
      <c r="I310" s="1" t="str">
        <f t="shared" si="278"/>
        <v/>
      </c>
      <c r="J310" t="str">
        <f t="shared" si="279"/>
        <v/>
      </c>
      <c r="K310" t="e">
        <f t="shared" si="280"/>
        <v>#NUM!</v>
      </c>
      <c r="M310" s="1" t="s">
        <v>45</v>
      </c>
      <c r="N310" t="s">
        <v>45</v>
      </c>
      <c r="O310" t="e">
        <v>#NUM!</v>
      </c>
      <c r="Q310" s="1" t="b">
        <f t="shared" si="281"/>
        <v>1</v>
      </c>
      <c r="R310" t="b">
        <f t="shared" si="282"/>
        <v>1</v>
      </c>
      <c r="S310" t="b">
        <f t="shared" si="283"/>
        <v>1</v>
      </c>
    </row>
    <row r="311" spans="1:19" x14ac:dyDescent="0.15">
      <c r="D311" t="s">
        <v>49</v>
      </c>
      <c r="E311" s="9" t="s">
        <v>107</v>
      </c>
      <c r="F311" s="14" t="s">
        <v>50</v>
      </c>
      <c r="G311">
        <v>16</v>
      </c>
      <c r="H311" s="7">
        <v>0</v>
      </c>
      <c r="I311" s="1" t="str">
        <f t="shared" si="278"/>
        <v/>
      </c>
      <c r="J311" t="str">
        <f t="shared" si="279"/>
        <v/>
      </c>
      <c r="K311" t="e">
        <f t="shared" si="280"/>
        <v>#NUM!</v>
      </c>
      <c r="M311" s="1" t="s">
        <v>45</v>
      </c>
      <c r="N311" t="s">
        <v>45</v>
      </c>
      <c r="O311" t="e">
        <v>#NUM!</v>
      </c>
      <c r="Q311" s="1" t="b">
        <f t="shared" si="281"/>
        <v>1</v>
      </c>
      <c r="R311" t="b">
        <f t="shared" si="282"/>
        <v>1</v>
      </c>
      <c r="S311" t="b">
        <f t="shared" si="283"/>
        <v>1</v>
      </c>
    </row>
    <row r="312" spans="1:19" x14ac:dyDescent="0.15">
      <c r="B312" s="2" t="s">
        <v>102</v>
      </c>
      <c r="C312" s="2"/>
      <c r="D312" s="2" t="s">
        <v>46</v>
      </c>
      <c r="E312" s="11" t="s">
        <v>70</v>
      </c>
      <c r="F312" s="13" t="s">
        <v>61</v>
      </c>
      <c r="G312" s="2">
        <v>2</v>
      </c>
      <c r="H312" s="2">
        <v>0</v>
      </c>
      <c r="I312" s="3" t="str">
        <f t="shared" si="278"/>
        <v>00000000000000000000000000000000100</v>
      </c>
      <c r="J312" s="2" t="str">
        <f t="shared" si="279"/>
        <v>0</v>
      </c>
      <c r="K312" s="2">
        <f t="shared" si="280"/>
        <v>0</v>
      </c>
      <c r="L312" s="2"/>
      <c r="M312" s="3" t="s">
        <v>73</v>
      </c>
      <c r="N312" s="2" t="s">
        <v>14</v>
      </c>
      <c r="O312" s="2">
        <v>0</v>
      </c>
      <c r="P312" s="2"/>
      <c r="Q312" s="3" t="b">
        <f t="shared" si="281"/>
        <v>1</v>
      </c>
      <c r="R312" s="2" t="b">
        <f t="shared" si="282"/>
        <v>1</v>
      </c>
      <c r="S312" s="2" t="b">
        <f t="shared" si="283"/>
        <v>1</v>
      </c>
    </row>
    <row r="313" spans="1:19" x14ac:dyDescent="0.15">
      <c r="D313" t="s">
        <v>47</v>
      </c>
      <c r="E313" s="9" t="s">
        <v>71</v>
      </c>
      <c r="F313" s="14" t="s">
        <v>62</v>
      </c>
      <c r="G313">
        <v>10</v>
      </c>
      <c r="H313" s="7">
        <v>0</v>
      </c>
      <c r="I313" s="1" t="str">
        <f t="shared" si="278"/>
        <v>00000000000100</v>
      </c>
      <c r="J313" t="str">
        <f t="shared" si="279"/>
        <v>0</v>
      </c>
      <c r="K313">
        <f t="shared" si="280"/>
        <v>0</v>
      </c>
      <c r="M313" s="1" t="s">
        <v>74</v>
      </c>
      <c r="N313" t="s">
        <v>14</v>
      </c>
      <c r="O313">
        <v>0</v>
      </c>
      <c r="Q313" s="1" t="b">
        <f t="shared" si="281"/>
        <v>1</v>
      </c>
      <c r="R313" t="b">
        <f t="shared" si="282"/>
        <v>1</v>
      </c>
      <c r="S313" t="b">
        <f t="shared" si="283"/>
        <v>1</v>
      </c>
    </row>
    <row r="314" spans="1:19" x14ac:dyDescent="0.15">
      <c r="D314" t="s">
        <v>49</v>
      </c>
      <c r="E314" s="18" t="s">
        <v>72</v>
      </c>
      <c r="F314" s="19" t="s">
        <v>63</v>
      </c>
      <c r="G314">
        <v>16</v>
      </c>
      <c r="H314" s="7">
        <v>0</v>
      </c>
      <c r="I314" s="1" t="str">
        <f t="shared" si="278"/>
        <v>000000000100</v>
      </c>
      <c r="J314" t="str">
        <f t="shared" si="279"/>
        <v>0</v>
      </c>
      <c r="K314">
        <f t="shared" si="280"/>
        <v>0</v>
      </c>
      <c r="M314" s="1" t="s">
        <v>75</v>
      </c>
      <c r="N314" t="s">
        <v>14</v>
      </c>
      <c r="O314">
        <v>0</v>
      </c>
      <c r="Q314" s="1" t="b">
        <f t="shared" si="281"/>
        <v>1</v>
      </c>
      <c r="R314" t="b">
        <f t="shared" si="282"/>
        <v>1</v>
      </c>
      <c r="S314" t="b">
        <f t="shared" si="283"/>
        <v>1</v>
      </c>
    </row>
    <row r="315" spans="1:19" x14ac:dyDescent="0.15">
      <c r="B315" s="22" t="s">
        <v>84</v>
      </c>
      <c r="C315" s="2" t="s">
        <v>87</v>
      </c>
      <c r="D315" s="2" t="s">
        <v>46</v>
      </c>
      <c r="E315" s="11" t="s">
        <v>111</v>
      </c>
      <c r="F315" s="13" t="s">
        <v>114</v>
      </c>
      <c r="G315" s="2">
        <v>2</v>
      </c>
      <c r="H315" s="2">
        <v>0</v>
      </c>
      <c r="I315" s="3" t="str">
        <f t="shared" ref="I315:I317" si="284">TESTdivide(E315,F315,G315,H315)</f>
        <v>0</v>
      </c>
      <c r="J315" s="2" t="str">
        <f t="shared" ref="J315:J317" si="285">TESTdivideByRef1(E315,F315,G315,H315)</f>
        <v>1</v>
      </c>
      <c r="K315" s="2">
        <f t="shared" ref="K315:K317" si="286">TESTdivideByRef2(E315,F315,G315,H315)</f>
        <v>0</v>
      </c>
      <c r="L315" s="2"/>
      <c r="M315" s="10">
        <v>0</v>
      </c>
      <c r="N315" s="2" t="s">
        <v>44</v>
      </c>
      <c r="O315" s="2">
        <v>0</v>
      </c>
      <c r="P315" s="2"/>
      <c r="Q315" s="3" t="b">
        <f t="shared" ref="Q315:Q317" si="287">getText(I315)=getText(M315)</f>
        <v>1</v>
      </c>
      <c r="R315" s="2" t="b">
        <f t="shared" ref="R315:R317" si="288">getText(J315)=getText(N315)</f>
        <v>1</v>
      </c>
      <c r="S315" s="2" t="b">
        <f t="shared" ref="S315:S317" si="289">getText(K315)=getText(O315)</f>
        <v>1</v>
      </c>
    </row>
    <row r="316" spans="1:19" x14ac:dyDescent="0.15">
      <c r="B316" s="23"/>
      <c r="D316" t="s">
        <v>47</v>
      </c>
      <c r="E316" s="9" t="s">
        <v>112</v>
      </c>
      <c r="F316" s="14" t="s">
        <v>15</v>
      </c>
      <c r="G316">
        <v>10</v>
      </c>
      <c r="H316" s="7">
        <v>0</v>
      </c>
      <c r="I316" s="1" t="str">
        <f t="shared" si="284"/>
        <v>0</v>
      </c>
      <c r="J316" t="str">
        <f t="shared" si="285"/>
        <v>1</v>
      </c>
      <c r="K316">
        <f t="shared" si="286"/>
        <v>0</v>
      </c>
      <c r="M316" s="12">
        <v>0</v>
      </c>
      <c r="N316" t="s">
        <v>44</v>
      </c>
      <c r="O316">
        <v>0</v>
      </c>
      <c r="Q316" s="1" t="b">
        <f t="shared" si="287"/>
        <v>1</v>
      </c>
      <c r="R316" t="b">
        <f t="shared" si="288"/>
        <v>1</v>
      </c>
      <c r="S316" t="b">
        <f t="shared" si="289"/>
        <v>1</v>
      </c>
    </row>
    <row r="317" spans="1:19" x14ac:dyDescent="0.15">
      <c r="D317" t="s">
        <v>49</v>
      </c>
      <c r="E317" s="9" t="s">
        <v>112</v>
      </c>
      <c r="F317" s="14" t="s">
        <v>15</v>
      </c>
      <c r="G317">
        <v>16</v>
      </c>
      <c r="H317" s="7">
        <v>0</v>
      </c>
      <c r="I317" s="1" t="str">
        <f t="shared" si="284"/>
        <v>0</v>
      </c>
      <c r="J317" t="str">
        <f t="shared" si="285"/>
        <v>1</v>
      </c>
      <c r="K317">
        <f t="shared" si="286"/>
        <v>0</v>
      </c>
      <c r="M317" s="12">
        <v>0</v>
      </c>
      <c r="N317" t="s">
        <v>44</v>
      </c>
      <c r="O317">
        <v>0</v>
      </c>
      <c r="Q317" s="1" t="b">
        <f t="shared" si="287"/>
        <v>1</v>
      </c>
      <c r="R317" t="b">
        <f t="shared" si="288"/>
        <v>1</v>
      </c>
      <c r="S317" t="b">
        <f t="shared" si="289"/>
        <v>1</v>
      </c>
    </row>
    <row r="318" spans="1:19" x14ac:dyDescent="0.15">
      <c r="C318" s="2" t="s">
        <v>97</v>
      </c>
      <c r="D318" s="2" t="s">
        <v>47</v>
      </c>
      <c r="E318" s="11" t="s">
        <v>113</v>
      </c>
      <c r="F318" s="13" t="s">
        <v>15</v>
      </c>
      <c r="G318" s="2">
        <v>10</v>
      </c>
      <c r="H318" s="24">
        <v>0</v>
      </c>
      <c r="I318" s="3" t="str">
        <f t="shared" ref="I318:I319" si="290">TESTdivide(E318,F318,G318,H318)</f>
        <v>0</v>
      </c>
      <c r="J318" s="2" t="str">
        <f t="shared" ref="J318:J319" si="291">TESTdivideByRef1(E318,F318,G318,H318)</f>
        <v>9</v>
      </c>
      <c r="K318" s="2">
        <f t="shared" ref="K318:K319" si="292">TESTdivideByRef2(E318,F318,G318,H318)</f>
        <v>0</v>
      </c>
      <c r="L318" s="2"/>
      <c r="M318" s="10">
        <v>0</v>
      </c>
      <c r="N318" s="2" t="s">
        <v>101</v>
      </c>
      <c r="O318" s="2">
        <v>0</v>
      </c>
      <c r="P318" s="2"/>
      <c r="Q318" s="3" t="b">
        <f t="shared" ref="Q318:Q319" si="293">getText(I318)=getText(M318)</f>
        <v>1</v>
      </c>
      <c r="R318" s="2" t="b">
        <f t="shared" ref="R318:R319" si="294">getText(J318)=getText(N318)</f>
        <v>1</v>
      </c>
      <c r="S318" s="2" t="b">
        <f t="shared" ref="S318:S319" si="295">getText(K318)=getText(O318)</f>
        <v>1</v>
      </c>
    </row>
    <row r="319" spans="1:19" x14ac:dyDescent="0.15">
      <c r="D319" t="s">
        <v>49</v>
      </c>
      <c r="E319" s="9" t="s">
        <v>100</v>
      </c>
      <c r="F319" s="14" t="s">
        <v>15</v>
      </c>
      <c r="G319">
        <v>16</v>
      </c>
      <c r="H319" s="7">
        <v>0</v>
      </c>
      <c r="I319" s="1" t="str">
        <f t="shared" si="290"/>
        <v>0</v>
      </c>
      <c r="J319" t="str">
        <f t="shared" si="291"/>
        <v>F</v>
      </c>
      <c r="K319">
        <f t="shared" si="292"/>
        <v>0</v>
      </c>
      <c r="M319" s="12" t="s">
        <v>14</v>
      </c>
      <c r="N319" t="s">
        <v>99</v>
      </c>
      <c r="O319">
        <v>0</v>
      </c>
      <c r="Q319" s="1" t="b">
        <f t="shared" si="293"/>
        <v>1</v>
      </c>
      <c r="R319" t="b">
        <f t="shared" si="294"/>
        <v>1</v>
      </c>
      <c r="S319" t="b">
        <f t="shared" si="295"/>
        <v>1</v>
      </c>
    </row>
    <row r="320" spans="1:19" x14ac:dyDescent="0.15">
      <c r="A320" s="23"/>
      <c r="B320" s="22" t="s">
        <v>85</v>
      </c>
      <c r="C320" s="2" t="s">
        <v>86</v>
      </c>
      <c r="D320" s="2" t="s">
        <v>46</v>
      </c>
      <c r="E320" s="11" t="s">
        <v>114</v>
      </c>
      <c r="F320" s="13" t="s">
        <v>15</v>
      </c>
      <c r="G320" s="2">
        <v>2</v>
      </c>
      <c r="H320" s="2">
        <v>0</v>
      </c>
      <c r="I320" s="3" t="str">
        <f t="shared" ref="I320:I322" si="296">TESTdivide(E320,F320,G320,H320)</f>
        <v>01</v>
      </c>
      <c r="J320" s="2" t="str">
        <f t="shared" ref="J320:J322" si="297">TESTdivideByRef1(E320,F320,G320,H320)</f>
        <v>0</v>
      </c>
      <c r="K320" s="2">
        <f t="shared" ref="K320:K322" si="298">TESTdivideByRef2(E320,F320,G320,H320)</f>
        <v>0</v>
      </c>
      <c r="L320" s="2"/>
      <c r="M320" s="10" t="s">
        <v>119</v>
      </c>
      <c r="N320" s="2" t="s">
        <v>14</v>
      </c>
      <c r="O320" s="2">
        <v>0</v>
      </c>
      <c r="P320" s="2"/>
      <c r="Q320" s="3" t="b">
        <f t="shared" ref="Q320:Q322" si="299">getText(I320)=getText(M320)</f>
        <v>1</v>
      </c>
      <c r="R320" s="2" t="b">
        <f t="shared" ref="R320:R322" si="300">getText(J320)=getText(N320)</f>
        <v>1</v>
      </c>
      <c r="S320" s="2" t="b">
        <f t="shared" ref="S320:S322" si="301">getText(K320)=getText(O320)</f>
        <v>1</v>
      </c>
    </row>
    <row r="321" spans="1:19" x14ac:dyDescent="0.15">
      <c r="B321" s="23"/>
      <c r="D321" t="s">
        <v>47</v>
      </c>
      <c r="E321" s="9" t="s">
        <v>114</v>
      </c>
      <c r="F321" s="14" t="s">
        <v>15</v>
      </c>
      <c r="G321">
        <v>10</v>
      </c>
      <c r="H321" s="7">
        <v>0</v>
      </c>
      <c r="I321" s="1" t="str">
        <f t="shared" si="296"/>
        <v>01</v>
      </c>
      <c r="J321" t="str">
        <f t="shared" si="297"/>
        <v>0</v>
      </c>
      <c r="K321">
        <f t="shared" si="298"/>
        <v>0</v>
      </c>
      <c r="M321" s="12" t="s">
        <v>119</v>
      </c>
      <c r="N321" t="s">
        <v>14</v>
      </c>
      <c r="O321">
        <v>0</v>
      </c>
      <c r="Q321" s="1" t="b">
        <f t="shared" si="299"/>
        <v>1</v>
      </c>
      <c r="R321" t="b">
        <f t="shared" si="300"/>
        <v>1</v>
      </c>
      <c r="S321" t="b">
        <f t="shared" si="301"/>
        <v>1</v>
      </c>
    </row>
    <row r="322" spans="1:19" x14ac:dyDescent="0.15">
      <c r="B322" s="23"/>
      <c r="D322" t="s">
        <v>49</v>
      </c>
      <c r="E322" s="9" t="s">
        <v>114</v>
      </c>
      <c r="F322" s="14" t="s">
        <v>15</v>
      </c>
      <c r="G322">
        <v>16</v>
      </c>
      <c r="H322" s="7">
        <v>0</v>
      </c>
      <c r="I322" s="1" t="str">
        <f t="shared" si="296"/>
        <v>01</v>
      </c>
      <c r="J322" t="str">
        <f t="shared" si="297"/>
        <v>0</v>
      </c>
      <c r="K322">
        <f t="shared" si="298"/>
        <v>0</v>
      </c>
      <c r="M322" s="12" t="s">
        <v>119</v>
      </c>
      <c r="N322" t="s">
        <v>14</v>
      </c>
      <c r="O322">
        <v>0</v>
      </c>
      <c r="Q322" s="1" t="b">
        <f t="shared" si="299"/>
        <v>1</v>
      </c>
      <c r="R322" t="b">
        <f t="shared" si="300"/>
        <v>1</v>
      </c>
      <c r="S322" t="b">
        <f t="shared" si="301"/>
        <v>1</v>
      </c>
    </row>
    <row r="323" spans="1:19" x14ac:dyDescent="0.15">
      <c r="B323" s="23"/>
      <c r="C323" s="2" t="s">
        <v>87</v>
      </c>
      <c r="D323" s="2" t="s">
        <v>46</v>
      </c>
      <c r="E323" s="11" t="s">
        <v>115</v>
      </c>
      <c r="F323" s="13" t="s">
        <v>15</v>
      </c>
      <c r="G323" s="2">
        <v>2</v>
      </c>
      <c r="H323" s="2">
        <v>0</v>
      </c>
      <c r="I323" s="3" t="str">
        <f t="shared" ref="I323:I325" si="302">TESTdivide(E323,F323,G323,H323)</f>
        <v>01</v>
      </c>
      <c r="J323" s="2" t="str">
        <f t="shared" ref="J323:J325" si="303">TESTdivideByRef1(E323,F323,G323,H323)</f>
        <v>1</v>
      </c>
      <c r="K323" s="2">
        <f t="shared" ref="K323:K325" si="304">TESTdivideByRef2(E323,F323,G323,H323)</f>
        <v>0</v>
      </c>
      <c r="L323" s="2"/>
      <c r="M323" s="10" t="s">
        <v>120</v>
      </c>
      <c r="N323" s="2" t="s">
        <v>44</v>
      </c>
      <c r="O323" s="2">
        <v>0</v>
      </c>
      <c r="P323" s="2"/>
      <c r="Q323" s="3" t="b">
        <f t="shared" ref="Q323:Q325" si="305">getText(I323)=getText(M323)</f>
        <v>1</v>
      </c>
      <c r="R323" s="2" t="b">
        <f t="shared" ref="R323:R325" si="306">getText(J323)=getText(N323)</f>
        <v>1</v>
      </c>
      <c r="S323" s="2" t="b">
        <f t="shared" ref="S323:S325" si="307">getText(K323)=getText(O323)</f>
        <v>1</v>
      </c>
    </row>
    <row r="324" spans="1:19" x14ac:dyDescent="0.15">
      <c r="B324" s="23"/>
      <c r="D324" t="s">
        <v>47</v>
      </c>
      <c r="E324" s="9" t="s">
        <v>115</v>
      </c>
      <c r="F324" s="14" t="s">
        <v>15</v>
      </c>
      <c r="G324">
        <v>10</v>
      </c>
      <c r="H324" s="7">
        <v>0</v>
      </c>
      <c r="I324" s="1" t="str">
        <f t="shared" si="302"/>
        <v>01</v>
      </c>
      <c r="J324" t="str">
        <f t="shared" si="303"/>
        <v>1</v>
      </c>
      <c r="K324">
        <f t="shared" si="304"/>
        <v>0</v>
      </c>
      <c r="M324" s="12" t="s">
        <v>120</v>
      </c>
      <c r="N324" t="s">
        <v>44</v>
      </c>
      <c r="O324">
        <v>0</v>
      </c>
      <c r="Q324" s="1" t="b">
        <f t="shared" si="305"/>
        <v>1</v>
      </c>
      <c r="R324" t="b">
        <f t="shared" si="306"/>
        <v>1</v>
      </c>
      <c r="S324" t="b">
        <f t="shared" si="307"/>
        <v>1</v>
      </c>
    </row>
    <row r="325" spans="1:19" x14ac:dyDescent="0.15">
      <c r="D325" t="s">
        <v>49</v>
      </c>
      <c r="E325" s="9" t="s">
        <v>115</v>
      </c>
      <c r="F325" s="14" t="s">
        <v>15</v>
      </c>
      <c r="G325">
        <v>16</v>
      </c>
      <c r="H325" s="7">
        <v>0</v>
      </c>
      <c r="I325" s="1" t="str">
        <f t="shared" si="302"/>
        <v>01</v>
      </c>
      <c r="J325" t="str">
        <f t="shared" si="303"/>
        <v>1</v>
      </c>
      <c r="K325">
        <f t="shared" si="304"/>
        <v>0</v>
      </c>
      <c r="M325" s="12" t="s">
        <v>120</v>
      </c>
      <c r="N325" t="s">
        <v>44</v>
      </c>
      <c r="O325">
        <v>0</v>
      </c>
      <c r="Q325" s="1" t="b">
        <f t="shared" si="305"/>
        <v>1</v>
      </c>
      <c r="R325" t="b">
        <f t="shared" si="306"/>
        <v>1</v>
      </c>
      <c r="S325" t="b">
        <f t="shared" si="307"/>
        <v>1</v>
      </c>
    </row>
    <row r="326" spans="1:19" x14ac:dyDescent="0.15">
      <c r="C326" s="2" t="s">
        <v>97</v>
      </c>
      <c r="D326" s="2" t="s">
        <v>47</v>
      </c>
      <c r="E326" s="11" t="s">
        <v>117</v>
      </c>
      <c r="F326" s="13" t="s">
        <v>15</v>
      </c>
      <c r="G326" s="2">
        <v>10</v>
      </c>
      <c r="H326" s="24">
        <v>0</v>
      </c>
      <c r="I326" s="3" t="str">
        <f t="shared" ref="I326:I327" si="308">TESTdivide(E326,F326,G326,H326)</f>
        <v>01</v>
      </c>
      <c r="J326" s="2" t="str">
        <f t="shared" ref="J326:J327" si="309">TESTdivideByRef1(E326,F326,G326,H326)</f>
        <v>9</v>
      </c>
      <c r="K326" s="2">
        <f t="shared" ref="K326:K327" si="310">TESTdivideByRef2(E326,F326,G326,H326)</f>
        <v>0</v>
      </c>
      <c r="L326" s="2"/>
      <c r="M326" s="10" t="s">
        <v>120</v>
      </c>
      <c r="N326" s="2" t="s">
        <v>101</v>
      </c>
      <c r="O326" s="2">
        <v>0</v>
      </c>
      <c r="P326" s="2"/>
      <c r="Q326" s="3" t="b">
        <f t="shared" ref="Q326:Q327" si="311">getText(I326)=getText(M326)</f>
        <v>1</v>
      </c>
      <c r="R326" s="2" t="b">
        <f t="shared" ref="R326:R327" si="312">getText(J326)=getText(N326)</f>
        <v>1</v>
      </c>
      <c r="S326" s="2" t="b">
        <f t="shared" ref="S326:S327" si="313">getText(K326)=getText(O326)</f>
        <v>1</v>
      </c>
    </row>
    <row r="327" spans="1:19" x14ac:dyDescent="0.15">
      <c r="D327" t="s">
        <v>49</v>
      </c>
      <c r="E327" s="9" t="s">
        <v>118</v>
      </c>
      <c r="F327" s="14" t="s">
        <v>15</v>
      </c>
      <c r="G327">
        <v>16</v>
      </c>
      <c r="H327" s="7">
        <v>0</v>
      </c>
      <c r="I327" s="1" t="str">
        <f t="shared" si="308"/>
        <v>01</v>
      </c>
      <c r="J327" t="str">
        <f t="shared" si="309"/>
        <v>F</v>
      </c>
      <c r="K327">
        <f t="shared" si="310"/>
        <v>0</v>
      </c>
      <c r="M327" s="12" t="s">
        <v>120</v>
      </c>
      <c r="N327" t="s">
        <v>99</v>
      </c>
      <c r="O327">
        <v>0</v>
      </c>
      <c r="Q327" s="1" t="b">
        <f t="shared" si="311"/>
        <v>1</v>
      </c>
      <c r="R327" t="b">
        <f t="shared" si="312"/>
        <v>1</v>
      </c>
      <c r="S327" t="b">
        <f t="shared" si="313"/>
        <v>1</v>
      </c>
    </row>
    <row r="328" spans="1:19" x14ac:dyDescent="0.15">
      <c r="B328" s="22" t="s">
        <v>88</v>
      </c>
      <c r="C328" s="2" t="s">
        <v>86</v>
      </c>
      <c r="D328" s="2" t="s">
        <v>46</v>
      </c>
      <c r="E328" s="11" t="s">
        <v>114</v>
      </c>
      <c r="F328" s="13" t="s">
        <v>15</v>
      </c>
      <c r="G328" s="2">
        <v>2</v>
      </c>
      <c r="H328" s="2">
        <v>0</v>
      </c>
      <c r="I328" s="3" t="str">
        <f t="shared" ref="I328:I330" si="314">TESTdivide(E328,F328,G328,H328)</f>
        <v>01</v>
      </c>
      <c r="J328" s="2" t="str">
        <f t="shared" ref="J328:J330" si="315">TESTdivideByRef1(E328,F328,G328,H328)</f>
        <v>0</v>
      </c>
      <c r="K328" s="2">
        <f t="shared" ref="K328:K330" si="316">TESTdivideByRef2(E328,F328,G328,H328)</f>
        <v>0</v>
      </c>
      <c r="L328" s="2"/>
      <c r="M328" s="20" t="s">
        <v>119</v>
      </c>
      <c r="N328" s="25" t="s">
        <v>121</v>
      </c>
      <c r="O328" s="2">
        <v>0</v>
      </c>
      <c r="P328" s="2"/>
      <c r="Q328" s="3" t="b">
        <f t="shared" ref="Q328:Q329" si="317">getText(I328)=getText(M328)</f>
        <v>1</v>
      </c>
      <c r="R328" s="2" t="b">
        <f t="shared" ref="R328:R329" si="318">getText(J328)=getText(N328)</f>
        <v>1</v>
      </c>
      <c r="S328" s="2" t="b">
        <f t="shared" ref="S328:S329" si="319">getText(K328)=getText(O328)</f>
        <v>1</v>
      </c>
    </row>
    <row r="329" spans="1:19" x14ac:dyDescent="0.15">
      <c r="B329" s="23"/>
      <c r="D329" t="s">
        <v>47</v>
      </c>
      <c r="E329" s="9" t="s">
        <v>123</v>
      </c>
      <c r="F329" s="14" t="s">
        <v>15</v>
      </c>
      <c r="G329">
        <v>10</v>
      </c>
      <c r="H329" s="7">
        <v>0</v>
      </c>
      <c r="I329" s="1" t="str">
        <f t="shared" si="314"/>
        <v>09</v>
      </c>
      <c r="J329" t="str">
        <f t="shared" si="315"/>
        <v>0</v>
      </c>
      <c r="K329">
        <f t="shared" si="316"/>
        <v>0</v>
      </c>
      <c r="M329" s="21" t="s">
        <v>125</v>
      </c>
      <c r="N329" s="26" t="s">
        <v>122</v>
      </c>
      <c r="O329">
        <v>0</v>
      </c>
      <c r="Q329" s="1" t="b">
        <f t="shared" si="317"/>
        <v>1</v>
      </c>
      <c r="R329" t="b">
        <f t="shared" si="318"/>
        <v>1</v>
      </c>
      <c r="S329" t="b">
        <f t="shared" si="319"/>
        <v>1</v>
      </c>
    </row>
    <row r="330" spans="1:19" x14ac:dyDescent="0.15">
      <c r="B330" s="23"/>
      <c r="D330" t="s">
        <v>49</v>
      </c>
      <c r="E330" s="9" t="s">
        <v>124</v>
      </c>
      <c r="F330" s="14" t="s">
        <v>15</v>
      </c>
      <c r="G330">
        <v>16</v>
      </c>
      <c r="H330" s="7">
        <v>0</v>
      </c>
      <c r="I330" s="1" t="str">
        <f t="shared" si="314"/>
        <v>0F</v>
      </c>
      <c r="J330" t="str">
        <f t="shared" si="315"/>
        <v>0</v>
      </c>
      <c r="K330">
        <f t="shared" si="316"/>
        <v>0</v>
      </c>
      <c r="M330" s="21" t="s">
        <v>126</v>
      </c>
      <c r="N330" s="26" t="s">
        <v>122</v>
      </c>
      <c r="O330">
        <v>0</v>
      </c>
      <c r="Q330" s="1" t="b">
        <f t="shared" ref="Q330:Q332" si="320">getText(I330)=getText(M330)</f>
        <v>1</v>
      </c>
      <c r="R330" t="b">
        <f t="shared" ref="R330:R332" si="321">getText(J330)=getText(N330)</f>
        <v>1</v>
      </c>
      <c r="S330" t="b">
        <f t="shared" ref="S330:S332" si="322">getText(K330)=getText(O330)</f>
        <v>1</v>
      </c>
    </row>
    <row r="331" spans="1:19" x14ac:dyDescent="0.15">
      <c r="B331" s="23"/>
      <c r="C331" s="2" t="s">
        <v>87</v>
      </c>
      <c r="D331" s="2" t="s">
        <v>46</v>
      </c>
      <c r="E331" s="11" t="s">
        <v>115</v>
      </c>
      <c r="F331" s="13" t="s">
        <v>15</v>
      </c>
      <c r="G331" s="2">
        <v>2</v>
      </c>
      <c r="H331" s="2">
        <v>0</v>
      </c>
      <c r="I331" s="3" t="str">
        <f t="shared" ref="I331:I332" si="323">TESTdivide(E331,F331,G331,H331)</f>
        <v>01</v>
      </c>
      <c r="J331" s="2" t="str">
        <f t="shared" ref="J331:J332" si="324">TESTdivideByRef1(E331,F331,G331,H331)</f>
        <v>1</v>
      </c>
      <c r="K331" s="2">
        <f t="shared" ref="K331:K332" si="325">TESTdivideByRef2(E331,F331,G331,H331)</f>
        <v>0</v>
      </c>
      <c r="L331" s="2"/>
      <c r="M331" s="20" t="s">
        <v>119</v>
      </c>
      <c r="N331" s="25" t="s">
        <v>116</v>
      </c>
      <c r="O331" s="2">
        <v>0</v>
      </c>
      <c r="P331" s="2"/>
      <c r="Q331" s="3" t="b">
        <f t="shared" si="320"/>
        <v>1</v>
      </c>
      <c r="R331" s="2" t="b">
        <f t="shared" si="321"/>
        <v>1</v>
      </c>
      <c r="S331" s="2" t="b">
        <f t="shared" si="322"/>
        <v>1</v>
      </c>
    </row>
    <row r="332" spans="1:19" x14ac:dyDescent="0.15">
      <c r="B332" s="23"/>
      <c r="D332" t="s">
        <v>47</v>
      </c>
      <c r="E332" s="9" t="s">
        <v>127</v>
      </c>
      <c r="F332" s="14" t="s">
        <v>15</v>
      </c>
      <c r="G332">
        <v>10</v>
      </c>
      <c r="H332" s="7">
        <v>0</v>
      </c>
      <c r="I332" s="1" t="str">
        <f t="shared" si="323"/>
        <v>09</v>
      </c>
      <c r="J332" t="str">
        <f t="shared" si="324"/>
        <v>1</v>
      </c>
      <c r="K332">
        <f t="shared" si="325"/>
        <v>0</v>
      </c>
      <c r="M332" s="21" t="s">
        <v>125</v>
      </c>
      <c r="N332" s="26" t="s">
        <v>129</v>
      </c>
      <c r="O332">
        <v>0</v>
      </c>
      <c r="Q332" s="1" t="b">
        <f t="shared" si="320"/>
        <v>1</v>
      </c>
      <c r="R332" t="b">
        <f t="shared" si="321"/>
        <v>1</v>
      </c>
      <c r="S332" t="b">
        <f t="shared" si="322"/>
        <v>1</v>
      </c>
    </row>
    <row r="333" spans="1:19" x14ac:dyDescent="0.15">
      <c r="D333" t="s">
        <v>49</v>
      </c>
      <c r="E333" s="9" t="s">
        <v>128</v>
      </c>
      <c r="F333" s="14" t="s">
        <v>15</v>
      </c>
      <c r="G333">
        <v>16</v>
      </c>
      <c r="H333" s="7">
        <v>0</v>
      </c>
      <c r="I333" s="1" t="str">
        <f t="shared" ref="I333:I335" si="326">TESTdivide(E333,F333,G333,H333)</f>
        <v>0F</v>
      </c>
      <c r="J333" t="str">
        <f t="shared" ref="J333:J335" si="327">TESTdivideByRef1(E333,F333,G333,H333)</f>
        <v>1</v>
      </c>
      <c r="K333">
        <f t="shared" ref="K333:K335" si="328">TESTdivideByRef2(E333,F333,G333,H333)</f>
        <v>0</v>
      </c>
      <c r="M333" s="21" t="s">
        <v>126</v>
      </c>
      <c r="N333" s="26" t="s">
        <v>129</v>
      </c>
      <c r="O333">
        <v>0</v>
      </c>
      <c r="Q333" s="1" t="b">
        <f t="shared" ref="Q333:Q335" si="329">getText(I333)=getText(M333)</f>
        <v>1</v>
      </c>
      <c r="R333" t="b">
        <f t="shared" ref="R333:R335" si="330">getText(J333)=getText(N333)</f>
        <v>1</v>
      </c>
      <c r="S333" t="b">
        <f t="shared" ref="S333:S335" si="331">getText(K333)=getText(O333)</f>
        <v>1</v>
      </c>
    </row>
    <row r="334" spans="1:19" x14ac:dyDescent="0.15">
      <c r="A334" s="23"/>
      <c r="C334" s="2" t="s">
        <v>97</v>
      </c>
      <c r="D334" s="2" t="s">
        <v>47</v>
      </c>
      <c r="E334" s="11" t="s">
        <v>130</v>
      </c>
      <c r="F334" s="13" t="s">
        <v>15</v>
      </c>
      <c r="G334" s="2">
        <v>10</v>
      </c>
      <c r="H334" s="24">
        <v>0</v>
      </c>
      <c r="I334" s="3" t="str">
        <f t="shared" si="326"/>
        <v>09</v>
      </c>
      <c r="J334" s="2" t="str">
        <f t="shared" si="327"/>
        <v>9</v>
      </c>
      <c r="K334" s="2">
        <f t="shared" si="328"/>
        <v>0</v>
      </c>
      <c r="L334" s="2"/>
      <c r="M334" s="20" t="s">
        <v>125</v>
      </c>
      <c r="N334" s="25" t="s">
        <v>132</v>
      </c>
      <c r="O334" s="2">
        <v>0</v>
      </c>
      <c r="P334" s="2"/>
      <c r="Q334" s="3" t="b">
        <f t="shared" si="329"/>
        <v>1</v>
      </c>
      <c r="R334" s="2" t="b">
        <f t="shared" si="330"/>
        <v>1</v>
      </c>
      <c r="S334" s="2" t="b">
        <f t="shared" si="331"/>
        <v>1</v>
      </c>
    </row>
    <row r="335" spans="1:19" x14ac:dyDescent="0.15">
      <c r="D335" t="s">
        <v>49</v>
      </c>
      <c r="E335" s="9" t="s">
        <v>131</v>
      </c>
      <c r="F335" s="14" t="s">
        <v>15</v>
      </c>
      <c r="G335">
        <v>16</v>
      </c>
      <c r="H335" s="7">
        <v>0</v>
      </c>
      <c r="I335" s="1" t="str">
        <f t="shared" si="326"/>
        <v>0F</v>
      </c>
      <c r="J335" t="str">
        <f t="shared" si="327"/>
        <v>F</v>
      </c>
      <c r="K335">
        <f t="shared" si="328"/>
        <v>0</v>
      </c>
      <c r="M335" s="21" t="s">
        <v>126</v>
      </c>
      <c r="N335" s="26" t="s">
        <v>133</v>
      </c>
      <c r="O335">
        <v>0</v>
      </c>
      <c r="Q335" s="1" t="b">
        <f t="shared" si="329"/>
        <v>1</v>
      </c>
      <c r="R335" t="b">
        <f t="shared" si="330"/>
        <v>1</v>
      </c>
      <c r="S335" t="b">
        <f t="shared" si="331"/>
        <v>1</v>
      </c>
    </row>
    <row r="336" spans="1:19" x14ac:dyDescent="0.15">
      <c r="B336" s="22" t="s">
        <v>89</v>
      </c>
      <c r="C336" s="2" t="s">
        <v>86</v>
      </c>
      <c r="D336" s="2" t="s">
        <v>46</v>
      </c>
      <c r="E336" s="11" t="s">
        <v>136</v>
      </c>
      <c r="F336" s="13" t="s">
        <v>15</v>
      </c>
      <c r="G336" s="2">
        <v>2</v>
      </c>
      <c r="H336" s="2">
        <v>0</v>
      </c>
      <c r="I336" s="3" t="str">
        <f t="shared" ref="I336:I338" si="332">TESTdivide(E336,F336,G336,H336)</f>
        <v>010</v>
      </c>
      <c r="J336" s="2" t="str">
        <f t="shared" ref="J336:J338" si="333">TESTdivideByRef1(E336,F336,G336,H336)</f>
        <v>0</v>
      </c>
      <c r="K336" s="2">
        <f t="shared" ref="K336:K338" si="334">TESTdivideByRef2(E336,F336,G336,H336)</f>
        <v>0</v>
      </c>
      <c r="L336" s="2"/>
      <c r="M336" s="20" t="s">
        <v>79</v>
      </c>
      <c r="N336" s="25" t="s">
        <v>134</v>
      </c>
      <c r="O336" s="2">
        <v>0</v>
      </c>
      <c r="P336" s="2"/>
      <c r="Q336" s="3" t="b">
        <f t="shared" ref="Q336:Q338" si="335">getText(I336)=getText(M336)</f>
        <v>1</v>
      </c>
      <c r="R336" s="2" t="b">
        <f t="shared" ref="R336:R338" si="336">getText(J336)=getText(N336)</f>
        <v>1</v>
      </c>
      <c r="S336" s="2" t="b">
        <f t="shared" ref="S336:S338" si="337">getText(K336)=getText(O336)</f>
        <v>1</v>
      </c>
    </row>
    <row r="337" spans="2:19" x14ac:dyDescent="0.15">
      <c r="B337" s="23"/>
      <c r="D337" t="s">
        <v>47</v>
      </c>
      <c r="E337" s="9" t="s">
        <v>136</v>
      </c>
      <c r="F337" s="14" t="s">
        <v>15</v>
      </c>
      <c r="G337">
        <v>10</v>
      </c>
      <c r="H337" s="7">
        <v>0</v>
      </c>
      <c r="I337" s="1" t="str">
        <f t="shared" si="332"/>
        <v>010</v>
      </c>
      <c r="J337" t="str">
        <f t="shared" si="333"/>
        <v>0</v>
      </c>
      <c r="K337">
        <f t="shared" si="334"/>
        <v>0</v>
      </c>
      <c r="M337" s="21" t="s">
        <v>79</v>
      </c>
      <c r="N337" s="26" t="s">
        <v>135</v>
      </c>
      <c r="O337" s="7">
        <v>0</v>
      </c>
      <c r="P337" s="7"/>
      <c r="Q337" s="1" t="b">
        <f t="shared" si="335"/>
        <v>1</v>
      </c>
      <c r="R337" t="b">
        <f t="shared" si="336"/>
        <v>1</v>
      </c>
      <c r="S337" t="b">
        <f t="shared" si="337"/>
        <v>1</v>
      </c>
    </row>
    <row r="338" spans="2:19" x14ac:dyDescent="0.15">
      <c r="B338" s="23"/>
      <c r="D338" t="s">
        <v>49</v>
      </c>
      <c r="E338" s="9" t="s">
        <v>136</v>
      </c>
      <c r="F338" s="14" t="s">
        <v>15</v>
      </c>
      <c r="G338">
        <v>16</v>
      </c>
      <c r="H338" s="7">
        <v>0</v>
      </c>
      <c r="I338" s="1" t="str">
        <f t="shared" si="332"/>
        <v>010</v>
      </c>
      <c r="J338" t="str">
        <f t="shared" si="333"/>
        <v>0</v>
      </c>
      <c r="K338">
        <f t="shared" si="334"/>
        <v>0</v>
      </c>
      <c r="M338" s="21" t="s">
        <v>79</v>
      </c>
      <c r="N338" s="26" t="s">
        <v>134</v>
      </c>
      <c r="O338" s="7">
        <v>0</v>
      </c>
      <c r="P338" s="7"/>
      <c r="Q338" s="1" t="b">
        <f t="shared" si="335"/>
        <v>1</v>
      </c>
      <c r="R338" t="b">
        <f t="shared" si="336"/>
        <v>1</v>
      </c>
      <c r="S338" t="b">
        <f t="shared" si="337"/>
        <v>1</v>
      </c>
    </row>
    <row r="339" spans="2:19" x14ac:dyDescent="0.15">
      <c r="B339" s="23"/>
      <c r="C339" s="2" t="s">
        <v>87</v>
      </c>
      <c r="D339" s="2" t="s">
        <v>46</v>
      </c>
      <c r="E339" s="11" t="s">
        <v>141</v>
      </c>
      <c r="F339" s="13" t="s">
        <v>15</v>
      </c>
      <c r="G339" s="2">
        <v>2</v>
      </c>
      <c r="H339" s="2">
        <v>0</v>
      </c>
      <c r="I339" s="3" t="str">
        <f t="shared" ref="I339:I343" si="338">TESTdivide(E339,F339,G339,H339)</f>
        <v>010</v>
      </c>
      <c r="J339" s="2" t="str">
        <f t="shared" ref="J339:J343" si="339">TESTdivideByRef1(E339,F339,G339,H339)</f>
        <v>1</v>
      </c>
      <c r="K339" s="2">
        <f t="shared" ref="K339:K343" si="340">TESTdivideByRef2(E339,F339,G339,H339)</f>
        <v>0</v>
      </c>
      <c r="L339" s="2"/>
      <c r="M339" s="20" t="s">
        <v>79</v>
      </c>
      <c r="N339" s="25" t="s">
        <v>137</v>
      </c>
      <c r="O339" s="2">
        <v>0</v>
      </c>
      <c r="P339" s="2"/>
      <c r="Q339" s="3" t="b">
        <f t="shared" ref="Q339:Q343" si="341">getText(I339)=getText(M339)</f>
        <v>1</v>
      </c>
      <c r="R339" s="2" t="b">
        <f t="shared" ref="R339:R343" si="342">getText(J339)=getText(N339)</f>
        <v>1</v>
      </c>
      <c r="S339" s="2" t="b">
        <f t="shared" ref="S339:S343" si="343">getText(K339)=getText(O339)</f>
        <v>1</v>
      </c>
    </row>
    <row r="340" spans="2:19" x14ac:dyDescent="0.15">
      <c r="B340" s="23"/>
      <c r="D340" t="s">
        <v>47</v>
      </c>
      <c r="E340" s="9" t="s">
        <v>144</v>
      </c>
      <c r="F340" s="14" t="s">
        <v>15</v>
      </c>
      <c r="G340">
        <v>10</v>
      </c>
      <c r="H340" s="7">
        <v>0</v>
      </c>
      <c r="I340" s="1" t="str">
        <f t="shared" si="338"/>
        <v>010</v>
      </c>
      <c r="J340" t="str">
        <f t="shared" si="339"/>
        <v>1</v>
      </c>
      <c r="K340">
        <f t="shared" si="340"/>
        <v>0</v>
      </c>
      <c r="M340" s="21" t="s">
        <v>79</v>
      </c>
      <c r="N340" s="26" t="s">
        <v>137</v>
      </c>
      <c r="O340">
        <v>0</v>
      </c>
      <c r="Q340" s="1" t="b">
        <f t="shared" si="341"/>
        <v>1</v>
      </c>
      <c r="R340" t="b">
        <f t="shared" si="342"/>
        <v>1</v>
      </c>
      <c r="S340" t="b">
        <f t="shared" si="343"/>
        <v>1</v>
      </c>
    </row>
    <row r="341" spans="2:19" x14ac:dyDescent="0.15">
      <c r="D341" t="s">
        <v>49</v>
      </c>
      <c r="E341" s="9" t="s">
        <v>141</v>
      </c>
      <c r="F341" s="14" t="s">
        <v>15</v>
      </c>
      <c r="G341">
        <v>16</v>
      </c>
      <c r="H341" s="7">
        <v>0</v>
      </c>
      <c r="I341" s="1" t="str">
        <f t="shared" si="338"/>
        <v>010</v>
      </c>
      <c r="J341" t="str">
        <f t="shared" si="339"/>
        <v>1</v>
      </c>
      <c r="K341">
        <f t="shared" si="340"/>
        <v>0</v>
      </c>
      <c r="M341" s="21" t="s">
        <v>79</v>
      </c>
      <c r="N341" s="26" t="s">
        <v>138</v>
      </c>
      <c r="O341">
        <v>0</v>
      </c>
      <c r="Q341" s="1" t="b">
        <f t="shared" si="341"/>
        <v>1</v>
      </c>
      <c r="R341" t="b">
        <f t="shared" si="342"/>
        <v>1</v>
      </c>
      <c r="S341" t="b">
        <f t="shared" si="343"/>
        <v>1</v>
      </c>
    </row>
    <row r="342" spans="2:19" x14ac:dyDescent="0.15">
      <c r="C342" s="2" t="s">
        <v>97</v>
      </c>
      <c r="D342" s="2" t="s">
        <v>47</v>
      </c>
      <c r="E342" s="11" t="s">
        <v>142</v>
      </c>
      <c r="F342" s="13" t="s">
        <v>15</v>
      </c>
      <c r="G342" s="2">
        <v>10</v>
      </c>
      <c r="H342" s="24">
        <v>0</v>
      </c>
      <c r="I342" s="3" t="str">
        <f t="shared" si="338"/>
        <v>010</v>
      </c>
      <c r="J342" s="2" t="str">
        <f t="shared" si="339"/>
        <v>9</v>
      </c>
      <c r="K342" s="2">
        <f t="shared" si="340"/>
        <v>0</v>
      </c>
      <c r="L342" s="2"/>
      <c r="M342" s="20" t="s">
        <v>79</v>
      </c>
      <c r="N342" s="25" t="s">
        <v>139</v>
      </c>
      <c r="O342" s="2">
        <v>0</v>
      </c>
      <c r="P342" s="2"/>
      <c r="Q342" s="3" t="b">
        <f t="shared" si="341"/>
        <v>1</v>
      </c>
      <c r="R342" s="2" t="b">
        <f t="shared" si="342"/>
        <v>1</v>
      </c>
      <c r="S342" s="2" t="b">
        <f t="shared" si="343"/>
        <v>1</v>
      </c>
    </row>
    <row r="343" spans="2:19" x14ac:dyDescent="0.15">
      <c r="D343" t="s">
        <v>49</v>
      </c>
      <c r="E343" s="9" t="s">
        <v>143</v>
      </c>
      <c r="F343" s="14" t="s">
        <v>15</v>
      </c>
      <c r="G343">
        <v>16</v>
      </c>
      <c r="H343" s="7">
        <v>0</v>
      </c>
      <c r="I343" s="1" t="str">
        <f t="shared" si="338"/>
        <v>010</v>
      </c>
      <c r="J343" t="str">
        <f t="shared" si="339"/>
        <v>F</v>
      </c>
      <c r="K343">
        <f t="shared" si="340"/>
        <v>0</v>
      </c>
      <c r="M343" s="21" t="s">
        <v>79</v>
      </c>
      <c r="N343" s="26" t="s">
        <v>140</v>
      </c>
      <c r="O343">
        <v>0</v>
      </c>
      <c r="Q343" s="1" t="b">
        <f t="shared" si="341"/>
        <v>1</v>
      </c>
      <c r="R343" t="b">
        <f t="shared" si="342"/>
        <v>1</v>
      </c>
      <c r="S343" t="b">
        <f t="shared" si="343"/>
        <v>1</v>
      </c>
    </row>
    <row r="344" spans="2:19" x14ac:dyDescent="0.15">
      <c r="B344" s="22" t="s">
        <v>90</v>
      </c>
      <c r="C344" s="2" t="s">
        <v>86</v>
      </c>
      <c r="D344" s="2" t="s">
        <v>46</v>
      </c>
      <c r="E344" s="11" t="s">
        <v>148</v>
      </c>
      <c r="F344" s="13" t="s">
        <v>15</v>
      </c>
      <c r="G344" s="2">
        <v>2</v>
      </c>
      <c r="H344" s="2">
        <v>0</v>
      </c>
      <c r="I344" s="3" t="str">
        <f t="shared" ref="I344:I346" si="344">TESTdivide(E344,F344,G344,H344)</f>
        <v>011</v>
      </c>
      <c r="J344" s="2" t="str">
        <f t="shared" ref="J344:J346" si="345">TESTdivideByRef1(E344,F344,G344,H344)</f>
        <v>0</v>
      </c>
      <c r="K344" s="2">
        <f t="shared" ref="K344:K346" si="346">TESTdivideByRef2(E344,F344,G344,H344)</f>
        <v>0</v>
      </c>
      <c r="L344" s="2"/>
      <c r="M344" s="20" t="s">
        <v>149</v>
      </c>
      <c r="N344" s="25" t="s">
        <v>145</v>
      </c>
      <c r="O344" s="2">
        <v>0</v>
      </c>
      <c r="P344" s="2"/>
      <c r="Q344" s="3" t="b">
        <f t="shared" ref="Q344:Q346" si="347">getText(I344)=getText(M344)</f>
        <v>1</v>
      </c>
      <c r="R344" s="2" t="b">
        <f t="shared" ref="R344:R346" si="348">getText(J344)=getText(N344)</f>
        <v>1</v>
      </c>
      <c r="S344" s="2" t="b">
        <f t="shared" ref="S344:S346" si="349">getText(K344)=getText(O344)</f>
        <v>1</v>
      </c>
    </row>
    <row r="345" spans="2:19" x14ac:dyDescent="0.15">
      <c r="B345" s="23"/>
      <c r="D345" t="s">
        <v>47</v>
      </c>
      <c r="E345" s="9" t="s">
        <v>148</v>
      </c>
      <c r="F345" s="14" t="s">
        <v>15</v>
      </c>
      <c r="G345">
        <v>10</v>
      </c>
      <c r="H345" s="7">
        <v>0</v>
      </c>
      <c r="I345" s="1" t="str">
        <f t="shared" si="344"/>
        <v>011</v>
      </c>
      <c r="J345" t="str">
        <f t="shared" si="345"/>
        <v>0</v>
      </c>
      <c r="K345">
        <f t="shared" si="346"/>
        <v>0</v>
      </c>
      <c r="M345" s="21" t="s">
        <v>78</v>
      </c>
      <c r="N345" s="26" t="s">
        <v>146</v>
      </c>
      <c r="O345">
        <v>0</v>
      </c>
      <c r="Q345" s="1" t="b">
        <f t="shared" si="347"/>
        <v>1</v>
      </c>
      <c r="R345" t="b">
        <f t="shared" si="348"/>
        <v>1</v>
      </c>
      <c r="S345" t="b">
        <f t="shared" si="349"/>
        <v>1</v>
      </c>
    </row>
    <row r="346" spans="2:19" x14ac:dyDescent="0.15">
      <c r="B346" s="23"/>
      <c r="D346" t="s">
        <v>49</v>
      </c>
      <c r="E346" s="9" t="s">
        <v>148</v>
      </c>
      <c r="F346" s="14" t="s">
        <v>15</v>
      </c>
      <c r="G346">
        <v>16</v>
      </c>
      <c r="H346" s="7">
        <v>0</v>
      </c>
      <c r="I346" s="1" t="str">
        <f t="shared" si="344"/>
        <v>011</v>
      </c>
      <c r="J346" t="str">
        <f t="shared" si="345"/>
        <v>0</v>
      </c>
      <c r="K346">
        <f t="shared" si="346"/>
        <v>0</v>
      </c>
      <c r="M346" s="21" t="s">
        <v>78</v>
      </c>
      <c r="N346" s="26" t="s">
        <v>147</v>
      </c>
      <c r="O346">
        <v>0</v>
      </c>
      <c r="Q346" s="1" t="b">
        <f t="shared" si="347"/>
        <v>1</v>
      </c>
      <c r="R346" t="b">
        <f t="shared" si="348"/>
        <v>1</v>
      </c>
      <c r="S346" t="b">
        <f t="shared" si="349"/>
        <v>1</v>
      </c>
    </row>
    <row r="347" spans="2:19" x14ac:dyDescent="0.15">
      <c r="B347" s="23"/>
      <c r="C347" s="2" t="s">
        <v>87</v>
      </c>
      <c r="D347" s="2" t="s">
        <v>46</v>
      </c>
      <c r="E347" s="11" t="s">
        <v>150</v>
      </c>
      <c r="F347" s="13" t="s">
        <v>15</v>
      </c>
      <c r="G347" s="2">
        <v>2</v>
      </c>
      <c r="H347" s="2">
        <v>0</v>
      </c>
      <c r="I347" s="3" t="str">
        <f t="shared" ref="I347:I351" si="350">TESTdivide(E347,F347,G347,H347)</f>
        <v>011</v>
      </c>
      <c r="J347" s="2" t="str">
        <f t="shared" ref="J347:J351" si="351">TESTdivideByRef1(E347,F347,G347,H347)</f>
        <v>1</v>
      </c>
      <c r="K347" s="2">
        <f t="shared" ref="K347:K351" si="352">TESTdivideByRef2(E347,F347,G347,H347)</f>
        <v>0</v>
      </c>
      <c r="L347" s="2"/>
      <c r="M347" s="20" t="s">
        <v>78</v>
      </c>
      <c r="N347" s="25" t="s">
        <v>44</v>
      </c>
      <c r="O347" s="2">
        <v>0</v>
      </c>
      <c r="P347" s="2"/>
      <c r="Q347" s="3" t="b">
        <f t="shared" ref="Q347:Q349" si="353">getText(I347)=getText(M347)</f>
        <v>1</v>
      </c>
      <c r="R347" s="2" t="b">
        <f t="shared" ref="R347:R349" si="354">getText(J347)=getText(N347)</f>
        <v>1</v>
      </c>
      <c r="S347" s="2" t="b">
        <f t="shared" ref="S347:S349" si="355">getText(K347)=getText(O347)</f>
        <v>1</v>
      </c>
    </row>
    <row r="348" spans="2:19" x14ac:dyDescent="0.15">
      <c r="B348" s="23"/>
      <c r="D348" t="s">
        <v>47</v>
      </c>
      <c r="E348" s="9" t="s">
        <v>31</v>
      </c>
      <c r="F348" s="14" t="s">
        <v>15</v>
      </c>
      <c r="G348">
        <v>10</v>
      </c>
      <c r="H348" s="7">
        <v>0</v>
      </c>
      <c r="I348" s="1" t="str">
        <f t="shared" si="350"/>
        <v>011</v>
      </c>
      <c r="J348" t="str">
        <f t="shared" si="351"/>
        <v>1</v>
      </c>
      <c r="K348">
        <f t="shared" si="352"/>
        <v>0</v>
      </c>
      <c r="M348" s="21" t="s">
        <v>78</v>
      </c>
      <c r="N348" s="26" t="s">
        <v>44</v>
      </c>
      <c r="O348">
        <v>0</v>
      </c>
      <c r="Q348" s="1" t="b">
        <f t="shared" si="353"/>
        <v>1</v>
      </c>
      <c r="R348" t="b">
        <f t="shared" si="354"/>
        <v>1</v>
      </c>
      <c r="S348" t="b">
        <f t="shared" si="355"/>
        <v>1</v>
      </c>
    </row>
    <row r="349" spans="2:19" x14ac:dyDescent="0.15">
      <c r="D349" t="s">
        <v>49</v>
      </c>
      <c r="E349" s="9" t="s">
        <v>31</v>
      </c>
      <c r="F349" s="14" t="s">
        <v>15</v>
      </c>
      <c r="G349">
        <v>16</v>
      </c>
      <c r="H349" s="7">
        <v>0</v>
      </c>
      <c r="I349" s="1" t="str">
        <f t="shared" si="350"/>
        <v>011</v>
      </c>
      <c r="J349" t="str">
        <f t="shared" si="351"/>
        <v>1</v>
      </c>
      <c r="K349">
        <f t="shared" si="352"/>
        <v>0</v>
      </c>
      <c r="M349" s="21" t="s">
        <v>78</v>
      </c>
      <c r="N349" s="26" t="s">
        <v>44</v>
      </c>
      <c r="O349">
        <v>0</v>
      </c>
      <c r="Q349" s="1" t="b">
        <f t="shared" si="353"/>
        <v>1</v>
      </c>
      <c r="R349" t="b">
        <f t="shared" si="354"/>
        <v>1</v>
      </c>
      <c r="S349" t="b">
        <f t="shared" si="355"/>
        <v>1</v>
      </c>
    </row>
    <row r="350" spans="2:19" x14ac:dyDescent="0.15">
      <c r="C350" s="2" t="s">
        <v>97</v>
      </c>
      <c r="D350" s="2" t="s">
        <v>47</v>
      </c>
      <c r="E350" s="11" t="s">
        <v>151</v>
      </c>
      <c r="F350" s="13" t="s">
        <v>15</v>
      </c>
      <c r="G350" s="2">
        <v>10</v>
      </c>
      <c r="H350" s="24">
        <v>0</v>
      </c>
      <c r="I350" s="3" t="str">
        <f t="shared" si="350"/>
        <v>011</v>
      </c>
      <c r="J350" s="2" t="str">
        <f t="shared" si="351"/>
        <v>9</v>
      </c>
      <c r="K350" s="2">
        <f t="shared" si="352"/>
        <v>0</v>
      </c>
      <c r="L350" s="2"/>
      <c r="M350" s="20" t="s">
        <v>78</v>
      </c>
      <c r="N350" s="25" t="s">
        <v>101</v>
      </c>
      <c r="O350" s="2">
        <v>0</v>
      </c>
      <c r="P350" s="2"/>
      <c r="Q350" s="3" t="b">
        <f t="shared" ref="Q350:Q351" si="356">getText(I350)=getText(M350)</f>
        <v>1</v>
      </c>
      <c r="R350" s="2" t="b">
        <f t="shared" ref="R350:R351" si="357">getText(J350)=getText(N350)</f>
        <v>1</v>
      </c>
      <c r="S350" s="2" t="b">
        <f t="shared" ref="S350:S351" si="358">getText(K350)=getText(O350)</f>
        <v>1</v>
      </c>
    </row>
    <row r="351" spans="2:19" x14ac:dyDescent="0.15">
      <c r="D351" t="s">
        <v>49</v>
      </c>
      <c r="E351" s="9" t="s">
        <v>152</v>
      </c>
      <c r="F351" s="14" t="s">
        <v>15</v>
      </c>
      <c r="G351">
        <v>16</v>
      </c>
      <c r="H351" s="7">
        <v>0</v>
      </c>
      <c r="I351" s="1" t="str">
        <f t="shared" si="350"/>
        <v>011</v>
      </c>
      <c r="J351" t="str">
        <f t="shared" si="351"/>
        <v>F</v>
      </c>
      <c r="K351">
        <f t="shared" si="352"/>
        <v>0</v>
      </c>
      <c r="M351" s="21" t="s">
        <v>78</v>
      </c>
      <c r="N351" s="26" t="s">
        <v>99</v>
      </c>
      <c r="O351">
        <v>0</v>
      </c>
      <c r="Q351" s="1" t="b">
        <f t="shared" si="356"/>
        <v>1</v>
      </c>
      <c r="R351" t="b">
        <f t="shared" si="357"/>
        <v>1</v>
      </c>
      <c r="S351" t="b">
        <f t="shared" si="358"/>
        <v>1</v>
      </c>
    </row>
    <row r="352" spans="2:19" x14ac:dyDescent="0.15">
      <c r="B352" s="22" t="s">
        <v>91</v>
      </c>
      <c r="C352" s="2" t="s">
        <v>86</v>
      </c>
      <c r="D352" s="2" t="s">
        <v>46</v>
      </c>
      <c r="E352" s="11" t="s">
        <v>148</v>
      </c>
      <c r="F352" s="13" t="s">
        <v>15</v>
      </c>
      <c r="G352" s="2">
        <v>2</v>
      </c>
      <c r="H352" s="2">
        <v>0</v>
      </c>
      <c r="I352" s="3" t="str">
        <f t="shared" ref="I352:I354" si="359">TESTdivide(E352,F352,G352,H352)</f>
        <v>011</v>
      </c>
      <c r="J352" s="2" t="str">
        <f t="shared" ref="J352:J354" si="360">TESTdivideByRef1(E352,F352,G352,H352)</f>
        <v>0</v>
      </c>
      <c r="K352" s="2">
        <f t="shared" ref="K352:K354" si="361">TESTdivideByRef2(E352,F352,G352,H352)</f>
        <v>0</v>
      </c>
      <c r="L352" s="2"/>
      <c r="M352" s="20" t="s">
        <v>149</v>
      </c>
      <c r="N352" s="25" t="s">
        <v>156</v>
      </c>
      <c r="O352" s="2">
        <v>0</v>
      </c>
      <c r="P352" s="2"/>
      <c r="Q352" s="3" t="b">
        <f t="shared" ref="Q352:Q354" si="362">getText(I352)=getText(M352)</f>
        <v>1</v>
      </c>
      <c r="R352" s="2" t="b">
        <f t="shared" ref="R352:R354" si="363">getText(J352)=getText(N352)</f>
        <v>1</v>
      </c>
      <c r="S352" s="2" t="b">
        <f t="shared" ref="S352:S354" si="364">getText(K352)=getText(O352)</f>
        <v>1</v>
      </c>
    </row>
    <row r="353" spans="2:19" x14ac:dyDescent="0.15">
      <c r="B353" s="23"/>
      <c r="D353" t="s">
        <v>47</v>
      </c>
      <c r="E353" s="9" t="s">
        <v>153</v>
      </c>
      <c r="F353" s="14" t="s">
        <v>15</v>
      </c>
      <c r="G353">
        <v>10</v>
      </c>
      <c r="H353" s="7">
        <v>0</v>
      </c>
      <c r="I353" s="1" t="str">
        <f t="shared" si="359"/>
        <v>099</v>
      </c>
      <c r="J353" t="str">
        <f t="shared" si="360"/>
        <v>0</v>
      </c>
      <c r="K353">
        <f t="shared" si="361"/>
        <v>0</v>
      </c>
      <c r="M353" s="21" t="s">
        <v>155</v>
      </c>
      <c r="N353" s="26" t="s">
        <v>146</v>
      </c>
      <c r="O353">
        <v>0</v>
      </c>
      <c r="Q353" s="1" t="b">
        <f t="shared" si="362"/>
        <v>1</v>
      </c>
      <c r="R353" t="b">
        <f t="shared" si="363"/>
        <v>1</v>
      </c>
      <c r="S353" t="b">
        <f t="shared" si="364"/>
        <v>1</v>
      </c>
    </row>
    <row r="354" spans="2:19" x14ac:dyDescent="0.15">
      <c r="B354" s="23"/>
      <c r="D354" t="s">
        <v>49</v>
      </c>
      <c r="E354" s="9" t="s">
        <v>160</v>
      </c>
      <c r="F354" s="14" t="s">
        <v>15</v>
      </c>
      <c r="G354">
        <v>16</v>
      </c>
      <c r="H354" s="7">
        <v>0</v>
      </c>
      <c r="I354" s="1" t="str">
        <f t="shared" si="359"/>
        <v>0FF</v>
      </c>
      <c r="J354" t="str">
        <f t="shared" si="360"/>
        <v>0</v>
      </c>
      <c r="K354">
        <f t="shared" si="361"/>
        <v>0</v>
      </c>
      <c r="M354" s="21" t="s">
        <v>158</v>
      </c>
      <c r="N354" s="26" t="s">
        <v>159</v>
      </c>
      <c r="O354">
        <v>0</v>
      </c>
      <c r="Q354" s="1" t="b">
        <f t="shared" si="362"/>
        <v>1</v>
      </c>
      <c r="R354" t="b">
        <f t="shared" si="363"/>
        <v>1</v>
      </c>
      <c r="S354" t="b">
        <f t="shared" si="364"/>
        <v>1</v>
      </c>
    </row>
    <row r="355" spans="2:19" x14ac:dyDescent="0.15">
      <c r="B355" s="23"/>
      <c r="C355" s="2" t="s">
        <v>87</v>
      </c>
      <c r="D355" s="2" t="s">
        <v>46</v>
      </c>
      <c r="E355" s="11" t="s">
        <v>161</v>
      </c>
      <c r="F355" s="13" t="s">
        <v>15</v>
      </c>
      <c r="G355" s="2">
        <v>2</v>
      </c>
      <c r="H355" s="2">
        <v>0</v>
      </c>
      <c r="I355" s="3" t="str">
        <f t="shared" ref="I355:I357" si="365">TESTdivide(E355,F355,G355,H355)</f>
        <v>011</v>
      </c>
      <c r="J355" s="2" t="str">
        <f t="shared" ref="J355:J357" si="366">TESTdivideByRef1(E355,F355,G355,H355)</f>
        <v>1</v>
      </c>
      <c r="K355" s="2">
        <f t="shared" ref="K355:K357" si="367">TESTdivideByRef2(E355,F355,G355,H355)</f>
        <v>0</v>
      </c>
      <c r="L355" s="2"/>
      <c r="M355" s="20" t="s">
        <v>78</v>
      </c>
      <c r="N355" s="25" t="s">
        <v>44</v>
      </c>
      <c r="O355" s="2">
        <v>0</v>
      </c>
      <c r="P355" s="2"/>
      <c r="Q355" s="3" t="b">
        <f t="shared" ref="Q355:Q357" si="368">getText(I355)=getText(M355)</f>
        <v>1</v>
      </c>
      <c r="R355" s="2" t="b">
        <f t="shared" ref="R355:R357" si="369">getText(J355)=getText(N355)</f>
        <v>1</v>
      </c>
      <c r="S355" s="2" t="b">
        <f t="shared" ref="S355:S357" si="370">getText(K355)=getText(O355)</f>
        <v>1</v>
      </c>
    </row>
    <row r="356" spans="2:19" x14ac:dyDescent="0.15">
      <c r="B356" s="23"/>
      <c r="D356" t="s">
        <v>47</v>
      </c>
      <c r="E356" s="9" t="s">
        <v>162</v>
      </c>
      <c r="F356" s="14" t="s">
        <v>15</v>
      </c>
      <c r="G356">
        <v>10</v>
      </c>
      <c r="H356" s="7">
        <v>0</v>
      </c>
      <c r="I356" s="1" t="str">
        <f t="shared" si="365"/>
        <v>099</v>
      </c>
      <c r="J356" t="str">
        <f t="shared" si="366"/>
        <v>1</v>
      </c>
      <c r="K356">
        <f t="shared" si="367"/>
        <v>0</v>
      </c>
      <c r="M356" s="21" t="s">
        <v>154</v>
      </c>
      <c r="N356" s="26" t="s">
        <v>44</v>
      </c>
      <c r="O356">
        <v>0</v>
      </c>
      <c r="Q356" s="1" t="b">
        <f t="shared" si="368"/>
        <v>1</v>
      </c>
      <c r="R356" t="b">
        <f t="shared" si="369"/>
        <v>1</v>
      </c>
      <c r="S356" t="b">
        <f t="shared" si="370"/>
        <v>1</v>
      </c>
    </row>
    <row r="357" spans="2:19" x14ac:dyDescent="0.15">
      <c r="D357" t="s">
        <v>49</v>
      </c>
      <c r="E357" s="9" t="s">
        <v>163</v>
      </c>
      <c r="F357" s="14" t="s">
        <v>15</v>
      </c>
      <c r="G357">
        <v>16</v>
      </c>
      <c r="H357" s="7">
        <v>0</v>
      </c>
      <c r="I357" s="1" t="str">
        <f t="shared" si="365"/>
        <v>0FF</v>
      </c>
      <c r="J357" t="str">
        <f t="shared" si="366"/>
        <v>1</v>
      </c>
      <c r="K357">
        <f t="shared" si="367"/>
        <v>0</v>
      </c>
      <c r="M357" s="21" t="s">
        <v>157</v>
      </c>
      <c r="N357" s="26" t="s">
        <v>44</v>
      </c>
      <c r="O357">
        <v>0</v>
      </c>
      <c r="Q357" s="1" t="b">
        <f t="shared" si="368"/>
        <v>1</v>
      </c>
      <c r="R357" t="b">
        <f t="shared" si="369"/>
        <v>1</v>
      </c>
      <c r="S357" t="b">
        <f t="shared" si="370"/>
        <v>1</v>
      </c>
    </row>
    <row r="358" spans="2:19" x14ac:dyDescent="0.15">
      <c r="C358" s="2" t="s">
        <v>97</v>
      </c>
      <c r="D358" s="2" t="s">
        <v>47</v>
      </c>
      <c r="E358" s="11" t="s">
        <v>164</v>
      </c>
      <c r="F358" s="13" t="s">
        <v>15</v>
      </c>
      <c r="G358" s="2">
        <v>10</v>
      </c>
      <c r="H358" s="24">
        <v>0</v>
      </c>
      <c r="I358" s="3" t="str">
        <f t="shared" ref="I358:I359" si="371">TESTdivide(E358,F358,G358,H358)</f>
        <v>099</v>
      </c>
      <c r="J358" s="2" t="str">
        <f t="shared" ref="J358:J359" si="372">TESTdivideByRef1(E358,F358,G358,H358)</f>
        <v>9</v>
      </c>
      <c r="K358" s="2">
        <f t="shared" ref="K358:K359" si="373">TESTdivideByRef2(E358,F358,G358,H358)</f>
        <v>0</v>
      </c>
      <c r="L358" s="2"/>
      <c r="M358" s="20" t="s">
        <v>154</v>
      </c>
      <c r="N358" s="25" t="s">
        <v>101</v>
      </c>
      <c r="O358" s="2">
        <v>0</v>
      </c>
      <c r="P358" s="2"/>
      <c r="Q358" s="3" t="b">
        <f t="shared" ref="Q358:Q359" si="374">getText(I358)=getText(M358)</f>
        <v>1</v>
      </c>
      <c r="R358" s="2" t="b">
        <f t="shared" ref="R358:R359" si="375">getText(J358)=getText(N358)</f>
        <v>1</v>
      </c>
      <c r="S358" s="2" t="b">
        <f t="shared" ref="S358:S359" si="376">getText(K358)=getText(O358)</f>
        <v>1</v>
      </c>
    </row>
    <row r="359" spans="2:19" x14ac:dyDescent="0.15">
      <c r="D359" t="s">
        <v>49</v>
      </c>
      <c r="E359" s="9" t="s">
        <v>165</v>
      </c>
      <c r="F359" s="14" t="s">
        <v>15</v>
      </c>
      <c r="G359">
        <v>16</v>
      </c>
      <c r="H359" s="7">
        <v>0</v>
      </c>
      <c r="I359" s="1" t="str">
        <f t="shared" si="371"/>
        <v>0FF</v>
      </c>
      <c r="J359" t="str">
        <f t="shared" si="372"/>
        <v>F</v>
      </c>
      <c r="K359">
        <f t="shared" si="373"/>
        <v>0</v>
      </c>
      <c r="M359" s="21" t="s">
        <v>157</v>
      </c>
      <c r="N359" s="26" t="s">
        <v>99</v>
      </c>
      <c r="O359">
        <v>0</v>
      </c>
      <c r="Q359" s="1" t="b">
        <f t="shared" si="374"/>
        <v>1</v>
      </c>
      <c r="R359" t="b">
        <f t="shared" si="375"/>
        <v>1</v>
      </c>
      <c r="S359" t="b">
        <f t="shared" si="376"/>
        <v>1</v>
      </c>
    </row>
    <row r="360" spans="2:19" x14ac:dyDescent="0.15">
      <c r="B360" s="22" t="s">
        <v>92</v>
      </c>
      <c r="C360" s="2" t="s">
        <v>86</v>
      </c>
      <c r="D360" s="2" t="s">
        <v>46</v>
      </c>
      <c r="E360" s="11" t="s">
        <v>166</v>
      </c>
      <c r="F360" s="13" t="s">
        <v>15</v>
      </c>
      <c r="G360" s="2">
        <v>2</v>
      </c>
      <c r="H360" s="2">
        <v>0</v>
      </c>
      <c r="I360" s="3" t="str">
        <f t="shared" ref="I360:I362" si="377">TESTdivide(E360,F360,G360,H360)</f>
        <v>0100</v>
      </c>
      <c r="J360" s="2" t="str">
        <f t="shared" ref="J360:J362" si="378">TESTdivideByRef1(E360,F360,G360,H360)</f>
        <v>0</v>
      </c>
      <c r="K360" s="2">
        <f t="shared" ref="K360:K362" si="379">TESTdivideByRef2(E360,F360,G360,H360)</f>
        <v>0</v>
      </c>
      <c r="L360" s="2"/>
      <c r="M360" s="20" t="s">
        <v>167</v>
      </c>
      <c r="N360" s="25" t="s">
        <v>14</v>
      </c>
      <c r="O360" s="2">
        <v>0</v>
      </c>
      <c r="P360" s="2"/>
      <c r="Q360" s="3" t="b">
        <f t="shared" ref="Q360:Q362" si="380">getText(I360)=getText(M360)</f>
        <v>1</v>
      </c>
      <c r="R360" s="2" t="b">
        <f t="shared" ref="R360:R362" si="381">getText(J360)=getText(N360)</f>
        <v>1</v>
      </c>
      <c r="S360" s="2" t="b">
        <f t="shared" ref="S360:S362" si="382">getText(K360)=getText(O360)</f>
        <v>1</v>
      </c>
    </row>
    <row r="361" spans="2:19" x14ac:dyDescent="0.15">
      <c r="B361" s="23"/>
      <c r="D361" t="s">
        <v>47</v>
      </c>
      <c r="E361" s="9" t="s">
        <v>166</v>
      </c>
      <c r="F361" s="14" t="s">
        <v>15</v>
      </c>
      <c r="G361">
        <v>10</v>
      </c>
      <c r="H361" s="7">
        <v>0</v>
      </c>
      <c r="I361" s="1" t="str">
        <f t="shared" si="377"/>
        <v>0100</v>
      </c>
      <c r="J361" t="str">
        <f t="shared" si="378"/>
        <v>0</v>
      </c>
      <c r="K361">
        <f t="shared" si="379"/>
        <v>0</v>
      </c>
      <c r="M361" s="21" t="s">
        <v>167</v>
      </c>
      <c r="N361" s="26" t="s">
        <v>14</v>
      </c>
      <c r="O361">
        <v>0</v>
      </c>
      <c r="Q361" s="1" t="b">
        <f t="shared" si="380"/>
        <v>1</v>
      </c>
      <c r="R361" t="b">
        <f t="shared" si="381"/>
        <v>1</v>
      </c>
      <c r="S361" t="b">
        <f t="shared" si="382"/>
        <v>1</v>
      </c>
    </row>
    <row r="362" spans="2:19" x14ac:dyDescent="0.15">
      <c r="B362" s="23"/>
      <c r="D362" t="s">
        <v>49</v>
      </c>
      <c r="E362" s="9" t="s">
        <v>166</v>
      </c>
      <c r="F362" s="14" t="s">
        <v>15</v>
      </c>
      <c r="G362">
        <v>16</v>
      </c>
      <c r="H362" s="7">
        <v>0</v>
      </c>
      <c r="I362" s="1" t="str">
        <f t="shared" si="377"/>
        <v>0100</v>
      </c>
      <c r="J362" t="str">
        <f t="shared" si="378"/>
        <v>0</v>
      </c>
      <c r="K362">
        <f t="shared" si="379"/>
        <v>0</v>
      </c>
      <c r="M362" s="21" t="s">
        <v>167</v>
      </c>
      <c r="N362" s="26" t="s">
        <v>14</v>
      </c>
      <c r="O362">
        <v>0</v>
      </c>
      <c r="Q362" s="1" t="b">
        <f t="shared" si="380"/>
        <v>1</v>
      </c>
      <c r="R362" t="b">
        <f t="shared" si="381"/>
        <v>1</v>
      </c>
      <c r="S362" t="b">
        <f t="shared" si="382"/>
        <v>1</v>
      </c>
    </row>
    <row r="363" spans="2:19" x14ac:dyDescent="0.15">
      <c r="B363" s="23"/>
      <c r="C363" s="2" t="s">
        <v>87</v>
      </c>
      <c r="D363" s="2" t="s">
        <v>46</v>
      </c>
      <c r="E363" s="11" t="s">
        <v>168</v>
      </c>
      <c r="F363" s="13" t="s">
        <v>15</v>
      </c>
      <c r="G363" s="2">
        <v>2</v>
      </c>
      <c r="H363" s="2">
        <v>0</v>
      </c>
      <c r="I363" s="3" t="str">
        <f t="shared" ref="I363:I365" si="383">TESTdivide(E363,F363,G363,H363)</f>
        <v>0100</v>
      </c>
      <c r="J363" s="2" t="str">
        <f t="shared" ref="J363:J365" si="384">TESTdivideByRef1(E363,F363,G363,H363)</f>
        <v>1</v>
      </c>
      <c r="K363" s="2">
        <f t="shared" ref="K363:K365" si="385">TESTdivideByRef2(E363,F363,G363,H363)</f>
        <v>0</v>
      </c>
      <c r="L363" s="2"/>
      <c r="M363" s="20" t="s">
        <v>167</v>
      </c>
      <c r="N363" s="25" t="s">
        <v>44</v>
      </c>
      <c r="O363" s="2">
        <v>0</v>
      </c>
      <c r="P363" s="2"/>
      <c r="Q363" s="3" t="b">
        <f t="shared" ref="Q363:Q365" si="386">getText(I363)=getText(M363)</f>
        <v>1</v>
      </c>
      <c r="R363" s="2" t="b">
        <f t="shared" ref="R363:R365" si="387">getText(J363)=getText(N363)</f>
        <v>1</v>
      </c>
      <c r="S363" s="2" t="b">
        <f t="shared" ref="S363:S365" si="388">getText(K363)=getText(O363)</f>
        <v>1</v>
      </c>
    </row>
    <row r="364" spans="2:19" x14ac:dyDescent="0.15">
      <c r="B364" s="23"/>
      <c r="D364" t="s">
        <v>47</v>
      </c>
      <c r="E364" s="9" t="s">
        <v>168</v>
      </c>
      <c r="F364" s="14" t="s">
        <v>15</v>
      </c>
      <c r="G364">
        <v>10</v>
      </c>
      <c r="H364" s="7">
        <v>0</v>
      </c>
      <c r="I364" s="1" t="str">
        <f t="shared" si="383"/>
        <v>0100</v>
      </c>
      <c r="J364" t="str">
        <f t="shared" si="384"/>
        <v>1</v>
      </c>
      <c r="K364">
        <f t="shared" si="385"/>
        <v>0</v>
      </c>
      <c r="M364" s="21" t="s">
        <v>167</v>
      </c>
      <c r="N364" s="26" t="s">
        <v>44</v>
      </c>
      <c r="O364">
        <v>0</v>
      </c>
      <c r="Q364" s="1" t="b">
        <f t="shared" si="386"/>
        <v>1</v>
      </c>
      <c r="R364" t="b">
        <f t="shared" si="387"/>
        <v>1</v>
      </c>
      <c r="S364" t="b">
        <f t="shared" si="388"/>
        <v>1</v>
      </c>
    </row>
    <row r="365" spans="2:19" x14ac:dyDescent="0.15">
      <c r="D365" t="s">
        <v>49</v>
      </c>
      <c r="E365" s="9" t="s">
        <v>168</v>
      </c>
      <c r="F365" s="14" t="s">
        <v>15</v>
      </c>
      <c r="G365">
        <v>16</v>
      </c>
      <c r="H365" s="7">
        <v>0</v>
      </c>
      <c r="I365" s="1" t="str">
        <f t="shared" si="383"/>
        <v>0100</v>
      </c>
      <c r="J365" t="str">
        <f t="shared" si="384"/>
        <v>1</v>
      </c>
      <c r="K365">
        <f t="shared" si="385"/>
        <v>0</v>
      </c>
      <c r="M365" s="21" t="s">
        <v>167</v>
      </c>
      <c r="N365" s="26" t="s">
        <v>44</v>
      </c>
      <c r="O365">
        <v>0</v>
      </c>
      <c r="Q365" s="1" t="b">
        <f t="shared" si="386"/>
        <v>1</v>
      </c>
      <c r="R365" t="b">
        <f t="shared" si="387"/>
        <v>1</v>
      </c>
      <c r="S365" t="b">
        <f t="shared" si="388"/>
        <v>1</v>
      </c>
    </row>
    <row r="366" spans="2:19" x14ac:dyDescent="0.15">
      <c r="C366" s="2" t="s">
        <v>97</v>
      </c>
      <c r="D366" s="2" t="s">
        <v>47</v>
      </c>
      <c r="E366" s="11" t="s">
        <v>169</v>
      </c>
      <c r="F366" s="13" t="s">
        <v>15</v>
      </c>
      <c r="G366" s="2">
        <v>10</v>
      </c>
      <c r="H366" s="24">
        <v>0</v>
      </c>
      <c r="I366" s="3" t="str">
        <f t="shared" ref="I366:I367" si="389">TESTdivide(E366,F366,G366,H366)</f>
        <v>0100</v>
      </c>
      <c r="J366" s="2" t="str">
        <f t="shared" ref="J366:J367" si="390">TESTdivideByRef1(E366,F366,G366,H366)</f>
        <v>9</v>
      </c>
      <c r="K366" s="2">
        <f t="shared" ref="K366:K367" si="391">TESTdivideByRef2(E366,F366,G366,H366)</f>
        <v>0</v>
      </c>
      <c r="L366" s="2"/>
      <c r="M366" s="20" t="s">
        <v>167</v>
      </c>
      <c r="N366" s="25" t="s">
        <v>101</v>
      </c>
      <c r="O366" s="2">
        <v>0</v>
      </c>
      <c r="P366" s="2"/>
      <c r="Q366" s="3" t="b">
        <f t="shared" ref="Q366:Q367" si="392">getText(I366)=getText(M366)</f>
        <v>1</v>
      </c>
      <c r="R366" s="2" t="b">
        <f t="shared" ref="R366:R367" si="393">getText(J366)=getText(N366)</f>
        <v>1</v>
      </c>
      <c r="S366" s="2" t="b">
        <f t="shared" ref="S366:S367" si="394">getText(K366)=getText(O366)</f>
        <v>1</v>
      </c>
    </row>
    <row r="367" spans="2:19" x14ac:dyDescent="0.15">
      <c r="D367" t="s">
        <v>49</v>
      </c>
      <c r="E367" s="9" t="s">
        <v>170</v>
      </c>
      <c r="F367" s="14" t="s">
        <v>15</v>
      </c>
      <c r="G367">
        <v>16</v>
      </c>
      <c r="H367" s="7">
        <v>0</v>
      </c>
      <c r="I367" s="1" t="str">
        <f t="shared" si="389"/>
        <v>0100</v>
      </c>
      <c r="J367" t="str">
        <f t="shared" si="390"/>
        <v>F</v>
      </c>
      <c r="K367">
        <f t="shared" si="391"/>
        <v>0</v>
      </c>
      <c r="M367" s="21" t="s">
        <v>167</v>
      </c>
      <c r="N367" s="26" t="s">
        <v>99</v>
      </c>
      <c r="O367">
        <v>0</v>
      </c>
      <c r="Q367" s="1" t="b">
        <f t="shared" si="392"/>
        <v>1</v>
      </c>
      <c r="R367" t="b">
        <f t="shared" si="393"/>
        <v>1</v>
      </c>
      <c r="S367" t="b">
        <f t="shared" si="394"/>
        <v>1</v>
      </c>
    </row>
    <row r="368" spans="2:19" x14ac:dyDescent="0.15">
      <c r="B368" s="22" t="s">
        <v>93</v>
      </c>
      <c r="C368" s="2" t="s">
        <v>86</v>
      </c>
      <c r="D368" s="2" t="s">
        <v>46</v>
      </c>
      <c r="E368" s="11" t="s">
        <v>171</v>
      </c>
      <c r="F368" s="13" t="s">
        <v>15</v>
      </c>
      <c r="G368" s="2">
        <v>2</v>
      </c>
      <c r="H368" s="2">
        <v>0</v>
      </c>
      <c r="I368" s="3" t="str">
        <f t="shared" ref="I368:I370" si="395">TESTdivide(E368,F368,G368,H368)</f>
        <v>0101</v>
      </c>
      <c r="J368" s="2" t="str">
        <f t="shared" ref="J368:J370" si="396">TESTdivideByRef1(E368,F368,G368,H368)</f>
        <v>0</v>
      </c>
      <c r="K368" s="2">
        <f t="shared" ref="K368:K370" si="397">TESTdivideByRef2(E368,F368,G368,H368)</f>
        <v>0</v>
      </c>
      <c r="L368" s="2"/>
      <c r="M368" s="20" t="s">
        <v>172</v>
      </c>
      <c r="N368" s="25" t="s">
        <v>14</v>
      </c>
      <c r="O368" s="2">
        <v>0</v>
      </c>
      <c r="P368" s="2"/>
      <c r="Q368" s="3" t="b">
        <f t="shared" ref="Q368:Q370" si="398">getText(I368)=getText(M368)</f>
        <v>1</v>
      </c>
      <c r="R368" s="2" t="b">
        <f t="shared" ref="R368:R370" si="399">getText(J368)=getText(N368)</f>
        <v>1</v>
      </c>
      <c r="S368" s="2" t="b">
        <f t="shared" ref="S368:S370" si="400">getText(K368)=getText(O368)</f>
        <v>1</v>
      </c>
    </row>
    <row r="369" spans="2:19" x14ac:dyDescent="0.15">
      <c r="B369" s="23"/>
      <c r="D369" t="s">
        <v>47</v>
      </c>
      <c r="E369" s="9" t="s">
        <v>171</v>
      </c>
      <c r="F369" s="14" t="s">
        <v>15</v>
      </c>
      <c r="G369">
        <v>10</v>
      </c>
      <c r="H369" s="7">
        <v>0</v>
      </c>
      <c r="I369" s="1" t="str">
        <f t="shared" si="395"/>
        <v>0101</v>
      </c>
      <c r="J369" t="str">
        <f t="shared" si="396"/>
        <v>0</v>
      </c>
      <c r="K369">
        <f t="shared" si="397"/>
        <v>0</v>
      </c>
      <c r="M369" s="21" t="s">
        <v>172</v>
      </c>
      <c r="N369" s="26" t="s">
        <v>14</v>
      </c>
      <c r="O369">
        <v>0</v>
      </c>
      <c r="Q369" s="1" t="b">
        <f t="shared" si="398"/>
        <v>1</v>
      </c>
      <c r="R369" t="b">
        <f t="shared" si="399"/>
        <v>1</v>
      </c>
      <c r="S369" t="b">
        <f t="shared" si="400"/>
        <v>1</v>
      </c>
    </row>
    <row r="370" spans="2:19" x14ac:dyDescent="0.15">
      <c r="B370" s="23"/>
      <c r="D370" t="s">
        <v>49</v>
      </c>
      <c r="E370" s="9" t="s">
        <v>171</v>
      </c>
      <c r="F370" s="14" t="s">
        <v>15</v>
      </c>
      <c r="G370">
        <v>16</v>
      </c>
      <c r="H370" s="7">
        <v>0</v>
      </c>
      <c r="I370" s="1" t="str">
        <f t="shared" si="395"/>
        <v>0101</v>
      </c>
      <c r="J370" t="str">
        <f t="shared" si="396"/>
        <v>0</v>
      </c>
      <c r="K370">
        <f t="shared" si="397"/>
        <v>0</v>
      </c>
      <c r="M370" s="21" t="s">
        <v>172</v>
      </c>
      <c r="N370" s="26" t="s">
        <v>14</v>
      </c>
      <c r="O370">
        <v>0</v>
      </c>
      <c r="Q370" s="1" t="b">
        <f t="shared" si="398"/>
        <v>1</v>
      </c>
      <c r="R370" t="b">
        <f t="shared" si="399"/>
        <v>1</v>
      </c>
      <c r="S370" t="b">
        <f t="shared" si="400"/>
        <v>1</v>
      </c>
    </row>
    <row r="371" spans="2:19" x14ac:dyDescent="0.15">
      <c r="B371" s="23"/>
      <c r="C371" s="2" t="s">
        <v>87</v>
      </c>
      <c r="D371" s="2" t="s">
        <v>46</v>
      </c>
      <c r="E371" s="11" t="s">
        <v>174</v>
      </c>
      <c r="F371" s="13" t="s">
        <v>15</v>
      </c>
      <c r="G371" s="2">
        <v>2</v>
      </c>
      <c r="H371" s="2">
        <v>0</v>
      </c>
      <c r="I371" s="3" t="str">
        <f t="shared" ref="I371:I373" si="401">TESTdivide(E371,F371,G371,H371)</f>
        <v>0101</v>
      </c>
      <c r="J371" s="2" t="str">
        <f t="shared" ref="J371:J373" si="402">TESTdivideByRef1(E371,F371,G371,H371)</f>
        <v>1</v>
      </c>
      <c r="K371" s="2">
        <f t="shared" ref="K371:K373" si="403">TESTdivideByRef2(E371,F371,G371,H371)</f>
        <v>0</v>
      </c>
      <c r="L371" s="2"/>
      <c r="M371" s="20" t="s">
        <v>172</v>
      </c>
      <c r="N371" s="25" t="s">
        <v>44</v>
      </c>
      <c r="O371" s="2">
        <v>0</v>
      </c>
      <c r="P371" s="2"/>
      <c r="Q371" s="3" t="b">
        <f t="shared" ref="Q371:Q373" si="404">getText(I371)=getText(M371)</f>
        <v>1</v>
      </c>
      <c r="R371" s="2" t="b">
        <f t="shared" ref="R371:R373" si="405">getText(J371)=getText(N371)</f>
        <v>1</v>
      </c>
      <c r="S371" s="2" t="b">
        <f t="shared" ref="S371:S373" si="406">getText(K371)=getText(O371)</f>
        <v>1</v>
      </c>
    </row>
    <row r="372" spans="2:19" x14ac:dyDescent="0.15">
      <c r="B372" s="23"/>
      <c r="D372" t="s">
        <v>47</v>
      </c>
      <c r="E372" s="9" t="s">
        <v>173</v>
      </c>
      <c r="F372" s="14" t="s">
        <v>15</v>
      </c>
      <c r="G372">
        <v>10</v>
      </c>
      <c r="H372" s="7">
        <v>0</v>
      </c>
      <c r="I372" s="1" t="str">
        <f t="shared" si="401"/>
        <v>0101</v>
      </c>
      <c r="J372" t="str">
        <f t="shared" si="402"/>
        <v>1</v>
      </c>
      <c r="K372">
        <f t="shared" si="403"/>
        <v>0</v>
      </c>
      <c r="M372" s="21" t="s">
        <v>172</v>
      </c>
      <c r="N372" s="26" t="s">
        <v>44</v>
      </c>
      <c r="O372">
        <v>0</v>
      </c>
      <c r="Q372" s="1" t="b">
        <f t="shared" si="404"/>
        <v>1</v>
      </c>
      <c r="R372" t="b">
        <f t="shared" si="405"/>
        <v>1</v>
      </c>
      <c r="S372" t="b">
        <f t="shared" si="406"/>
        <v>1</v>
      </c>
    </row>
    <row r="373" spans="2:19" x14ac:dyDescent="0.15">
      <c r="D373" t="s">
        <v>49</v>
      </c>
      <c r="E373" s="9" t="s">
        <v>173</v>
      </c>
      <c r="F373" s="14" t="s">
        <v>15</v>
      </c>
      <c r="G373">
        <v>16</v>
      </c>
      <c r="H373" s="7">
        <v>0</v>
      </c>
      <c r="I373" s="1" t="str">
        <f t="shared" si="401"/>
        <v>0101</v>
      </c>
      <c r="J373" t="str">
        <f t="shared" si="402"/>
        <v>1</v>
      </c>
      <c r="K373">
        <f t="shared" si="403"/>
        <v>0</v>
      </c>
      <c r="M373" s="21" t="s">
        <v>172</v>
      </c>
      <c r="N373" s="26" t="s">
        <v>44</v>
      </c>
      <c r="O373">
        <v>0</v>
      </c>
      <c r="Q373" s="1" t="b">
        <f t="shared" si="404"/>
        <v>1</v>
      </c>
      <c r="R373" t="b">
        <f t="shared" si="405"/>
        <v>1</v>
      </c>
      <c r="S373" t="b">
        <f t="shared" si="406"/>
        <v>1</v>
      </c>
    </row>
    <row r="374" spans="2:19" x14ac:dyDescent="0.15">
      <c r="C374" s="2" t="s">
        <v>97</v>
      </c>
      <c r="D374" s="2" t="s">
        <v>47</v>
      </c>
      <c r="E374" s="11" t="s">
        <v>175</v>
      </c>
      <c r="F374" s="13" t="s">
        <v>15</v>
      </c>
      <c r="G374" s="2">
        <v>10</v>
      </c>
      <c r="H374" s="24">
        <v>0</v>
      </c>
      <c r="I374" s="3" t="str">
        <f t="shared" ref="I374:I375" si="407">TESTdivide(E374,F374,G374,H374)</f>
        <v>0101</v>
      </c>
      <c r="J374" s="2" t="str">
        <f t="shared" ref="J374:J375" si="408">TESTdivideByRef1(E374,F374,G374,H374)</f>
        <v>9</v>
      </c>
      <c r="K374" s="2">
        <f t="shared" ref="K374:K375" si="409">TESTdivideByRef2(E374,F374,G374,H374)</f>
        <v>0</v>
      </c>
      <c r="L374" s="2"/>
      <c r="M374" s="20" t="s">
        <v>172</v>
      </c>
      <c r="N374" s="25" t="s">
        <v>101</v>
      </c>
      <c r="O374" s="2">
        <v>0</v>
      </c>
      <c r="P374" s="2"/>
      <c r="Q374" s="3" t="b">
        <f t="shared" ref="Q374:Q375" si="410">getText(I374)=getText(M374)</f>
        <v>1</v>
      </c>
      <c r="R374" s="2" t="b">
        <f t="shared" ref="R374:R375" si="411">getText(J374)=getText(N374)</f>
        <v>1</v>
      </c>
      <c r="S374" s="2" t="b">
        <f t="shared" ref="S374:S375" si="412">getText(K374)=getText(O374)</f>
        <v>1</v>
      </c>
    </row>
    <row r="375" spans="2:19" x14ac:dyDescent="0.15">
      <c r="D375" t="s">
        <v>49</v>
      </c>
      <c r="E375" s="9" t="s">
        <v>176</v>
      </c>
      <c r="F375" s="14" t="s">
        <v>15</v>
      </c>
      <c r="G375">
        <v>16</v>
      </c>
      <c r="H375" s="7">
        <v>0</v>
      </c>
      <c r="I375" s="1" t="str">
        <f t="shared" si="407"/>
        <v>0101</v>
      </c>
      <c r="J375" t="str">
        <f t="shared" si="408"/>
        <v>F</v>
      </c>
      <c r="K375">
        <f t="shared" si="409"/>
        <v>0</v>
      </c>
      <c r="M375" s="21" t="s">
        <v>172</v>
      </c>
      <c r="N375" s="26" t="s">
        <v>99</v>
      </c>
      <c r="O375">
        <v>0</v>
      </c>
      <c r="Q375" s="1" t="b">
        <f t="shared" si="410"/>
        <v>1</v>
      </c>
      <c r="R375" t="b">
        <f t="shared" si="411"/>
        <v>1</v>
      </c>
      <c r="S375" t="b">
        <f t="shared" si="412"/>
        <v>1</v>
      </c>
    </row>
    <row r="376" spans="2:19" x14ac:dyDescent="0.15">
      <c r="B376" s="22" t="s">
        <v>94</v>
      </c>
      <c r="C376" s="2" t="s">
        <v>86</v>
      </c>
      <c r="D376" s="2" t="s">
        <v>46</v>
      </c>
      <c r="E376" s="11" t="s">
        <v>183</v>
      </c>
      <c r="F376" s="13" t="s">
        <v>15</v>
      </c>
      <c r="G376" s="2">
        <v>2</v>
      </c>
      <c r="H376" s="2">
        <v>0</v>
      </c>
      <c r="I376" s="3" t="str">
        <f t="shared" ref="I376:I378" si="413">TESTdivide(E376,F376,G376,H376)</f>
        <v>0111</v>
      </c>
      <c r="J376" s="2" t="str">
        <f t="shared" ref="J376:J378" si="414">TESTdivideByRef1(E376,F376,G376,H376)</f>
        <v>0</v>
      </c>
      <c r="K376" s="2">
        <f t="shared" ref="K376:K378" si="415">TESTdivideByRef2(E376,F376,G376,H376)</f>
        <v>0</v>
      </c>
      <c r="L376" s="2"/>
      <c r="M376" s="20" t="s">
        <v>188</v>
      </c>
      <c r="N376" s="25" t="s">
        <v>14</v>
      </c>
      <c r="O376" s="2">
        <v>0</v>
      </c>
      <c r="P376" s="2"/>
      <c r="Q376" s="3" t="b">
        <f t="shared" ref="Q376:Q378" si="416">getText(I376)=getText(M376)</f>
        <v>1</v>
      </c>
      <c r="R376" s="2" t="b">
        <f t="shared" ref="R376:R378" si="417">getText(J376)=getText(N376)</f>
        <v>1</v>
      </c>
      <c r="S376" s="2" t="b">
        <f t="shared" ref="S376:S378" si="418">getText(K376)=getText(O376)</f>
        <v>1</v>
      </c>
    </row>
    <row r="377" spans="2:19" x14ac:dyDescent="0.15">
      <c r="B377" s="23"/>
      <c r="D377" t="s">
        <v>47</v>
      </c>
      <c r="E377" s="9" t="s">
        <v>183</v>
      </c>
      <c r="F377" s="14" t="s">
        <v>15</v>
      </c>
      <c r="G377">
        <v>10</v>
      </c>
      <c r="H377" s="7">
        <v>0</v>
      </c>
      <c r="I377" s="1" t="str">
        <f t="shared" si="413"/>
        <v>0111</v>
      </c>
      <c r="J377" t="str">
        <f t="shared" si="414"/>
        <v>0</v>
      </c>
      <c r="K377">
        <f t="shared" si="415"/>
        <v>0</v>
      </c>
      <c r="M377" s="21" t="s">
        <v>188</v>
      </c>
      <c r="N377" s="26" t="s">
        <v>14</v>
      </c>
      <c r="O377">
        <v>0</v>
      </c>
      <c r="Q377" s="1" t="b">
        <f t="shared" si="416"/>
        <v>1</v>
      </c>
      <c r="R377" t="b">
        <f t="shared" si="417"/>
        <v>1</v>
      </c>
      <c r="S377" t="b">
        <f t="shared" si="418"/>
        <v>1</v>
      </c>
    </row>
    <row r="378" spans="2:19" x14ac:dyDescent="0.15">
      <c r="B378" s="23"/>
      <c r="D378" t="s">
        <v>49</v>
      </c>
      <c r="E378" s="9" t="s">
        <v>184</v>
      </c>
      <c r="F378" s="14" t="s">
        <v>15</v>
      </c>
      <c r="G378">
        <v>16</v>
      </c>
      <c r="H378" s="7">
        <v>0</v>
      </c>
      <c r="I378" s="1" t="str">
        <f t="shared" si="413"/>
        <v>0111</v>
      </c>
      <c r="J378" t="str">
        <f t="shared" si="414"/>
        <v>0</v>
      </c>
      <c r="K378">
        <f t="shared" si="415"/>
        <v>0</v>
      </c>
      <c r="M378" s="21" t="s">
        <v>188</v>
      </c>
      <c r="N378" s="26" t="s">
        <v>14</v>
      </c>
      <c r="O378">
        <v>0</v>
      </c>
      <c r="Q378" s="1" t="b">
        <f t="shared" si="416"/>
        <v>1</v>
      </c>
      <c r="R378" t="b">
        <f t="shared" si="417"/>
        <v>1</v>
      </c>
      <c r="S378" t="b">
        <f t="shared" si="418"/>
        <v>1</v>
      </c>
    </row>
    <row r="379" spans="2:19" x14ac:dyDescent="0.15">
      <c r="B379" s="23"/>
      <c r="C379" s="2" t="s">
        <v>87</v>
      </c>
      <c r="D379" s="2" t="s">
        <v>46</v>
      </c>
      <c r="E379" s="11" t="s">
        <v>182</v>
      </c>
      <c r="F379" s="13" t="s">
        <v>15</v>
      </c>
      <c r="G379" s="2">
        <v>2</v>
      </c>
      <c r="H379" s="2">
        <v>0</v>
      </c>
      <c r="I379" s="3" t="str">
        <f t="shared" ref="I379:I386" si="419">TESTdivide(E379,F379,G379,H379)</f>
        <v>0111</v>
      </c>
      <c r="J379" s="2" t="str">
        <f t="shared" ref="J379:J386" si="420">TESTdivideByRef1(E379,F379,G379,H379)</f>
        <v>1</v>
      </c>
      <c r="K379" s="2">
        <f t="shared" ref="K379:K386" si="421">TESTdivideByRef2(E379,F379,G379,H379)</f>
        <v>0</v>
      </c>
      <c r="L379" s="2"/>
      <c r="M379" s="20" t="s">
        <v>188</v>
      </c>
      <c r="N379" s="25" t="s">
        <v>44</v>
      </c>
      <c r="O379" s="2">
        <v>0</v>
      </c>
      <c r="P379" s="2"/>
      <c r="Q379" s="3" t="b">
        <f t="shared" ref="Q379:Q386" si="422">getText(I379)=getText(M379)</f>
        <v>1</v>
      </c>
      <c r="R379" s="2" t="b">
        <f t="shared" ref="R379:R386" si="423">getText(J379)=getText(N379)</f>
        <v>1</v>
      </c>
      <c r="S379" s="2" t="b">
        <f t="shared" ref="S379:S386" si="424">getText(K379)=getText(O379)</f>
        <v>1</v>
      </c>
    </row>
    <row r="380" spans="2:19" x14ac:dyDescent="0.15">
      <c r="B380" s="23"/>
      <c r="D380" t="s">
        <v>47</v>
      </c>
      <c r="E380" s="9" t="s">
        <v>182</v>
      </c>
      <c r="F380" s="14" t="s">
        <v>15</v>
      </c>
      <c r="G380">
        <v>10</v>
      </c>
      <c r="H380" s="7">
        <v>0</v>
      </c>
      <c r="I380" s="1" t="str">
        <f t="shared" si="419"/>
        <v>0111</v>
      </c>
      <c r="J380" t="str">
        <f t="shared" si="420"/>
        <v>1</v>
      </c>
      <c r="K380">
        <f t="shared" si="421"/>
        <v>0</v>
      </c>
      <c r="M380" s="21" t="s">
        <v>188</v>
      </c>
      <c r="N380" s="26" t="s">
        <v>44</v>
      </c>
      <c r="O380">
        <v>0</v>
      </c>
      <c r="Q380" s="1" t="b">
        <f t="shared" si="422"/>
        <v>1</v>
      </c>
      <c r="R380" t="b">
        <f t="shared" si="423"/>
        <v>1</v>
      </c>
      <c r="S380" t="b">
        <f t="shared" si="424"/>
        <v>1</v>
      </c>
    </row>
    <row r="381" spans="2:19" x14ac:dyDescent="0.15">
      <c r="D381" t="s">
        <v>49</v>
      </c>
      <c r="E381" s="9" t="s">
        <v>186</v>
      </c>
      <c r="F381" s="14" t="s">
        <v>15</v>
      </c>
      <c r="G381">
        <v>16</v>
      </c>
      <c r="H381" s="7">
        <v>0</v>
      </c>
      <c r="I381" s="1" t="str">
        <f t="shared" si="419"/>
        <v>0111</v>
      </c>
      <c r="J381" t="str">
        <f t="shared" si="420"/>
        <v>1</v>
      </c>
      <c r="K381">
        <f t="shared" si="421"/>
        <v>0</v>
      </c>
      <c r="M381" s="21" t="s">
        <v>188</v>
      </c>
      <c r="N381" s="26" t="s">
        <v>44</v>
      </c>
      <c r="O381">
        <v>0</v>
      </c>
      <c r="Q381" s="1" t="b">
        <f t="shared" si="422"/>
        <v>1</v>
      </c>
      <c r="R381" t="b">
        <f t="shared" si="423"/>
        <v>1</v>
      </c>
      <c r="S381" t="b">
        <f t="shared" si="424"/>
        <v>1</v>
      </c>
    </row>
    <row r="382" spans="2:19" x14ac:dyDescent="0.15">
      <c r="C382" s="2" t="s">
        <v>97</v>
      </c>
      <c r="D382" s="2" t="s">
        <v>47</v>
      </c>
      <c r="E382" s="11" t="s">
        <v>185</v>
      </c>
      <c r="F382" s="13" t="s">
        <v>15</v>
      </c>
      <c r="G382" s="2">
        <v>10</v>
      </c>
      <c r="H382" s="24">
        <v>0</v>
      </c>
      <c r="I382" s="3" t="str">
        <f t="shared" si="419"/>
        <v>0111</v>
      </c>
      <c r="J382" s="2" t="str">
        <f t="shared" si="420"/>
        <v>9</v>
      </c>
      <c r="K382" s="2">
        <f t="shared" si="421"/>
        <v>0</v>
      </c>
      <c r="L382" s="2"/>
      <c r="M382" s="20" t="s">
        <v>188</v>
      </c>
      <c r="N382" s="25" t="s">
        <v>101</v>
      </c>
      <c r="O382" s="2">
        <v>0</v>
      </c>
      <c r="P382" s="2"/>
      <c r="Q382" s="3" t="b">
        <f t="shared" si="422"/>
        <v>1</v>
      </c>
      <c r="R382" s="2" t="b">
        <f t="shared" si="423"/>
        <v>1</v>
      </c>
      <c r="S382" s="2" t="b">
        <f t="shared" si="424"/>
        <v>1</v>
      </c>
    </row>
    <row r="383" spans="2:19" x14ac:dyDescent="0.15">
      <c r="D383" t="s">
        <v>49</v>
      </c>
      <c r="E383" s="9" t="s">
        <v>187</v>
      </c>
      <c r="F383" s="14" t="s">
        <v>15</v>
      </c>
      <c r="G383">
        <v>16</v>
      </c>
      <c r="H383" s="7">
        <v>0</v>
      </c>
      <c r="I383" s="1" t="str">
        <f t="shared" si="419"/>
        <v>0111</v>
      </c>
      <c r="J383" t="str">
        <f t="shared" si="420"/>
        <v>F</v>
      </c>
      <c r="K383">
        <f t="shared" si="421"/>
        <v>0</v>
      </c>
      <c r="M383" s="21" t="s">
        <v>188</v>
      </c>
      <c r="N383" s="26" t="s">
        <v>99</v>
      </c>
      <c r="O383">
        <v>0</v>
      </c>
      <c r="Q383" s="1" t="b">
        <f t="shared" si="422"/>
        <v>1</v>
      </c>
      <c r="R383" t="b">
        <f t="shared" si="423"/>
        <v>1</v>
      </c>
      <c r="S383" t="b">
        <f t="shared" si="424"/>
        <v>1</v>
      </c>
    </row>
    <row r="384" spans="2:19" x14ac:dyDescent="0.15">
      <c r="B384" s="22" t="s">
        <v>95</v>
      </c>
      <c r="C384" s="2" t="s">
        <v>86</v>
      </c>
      <c r="D384" s="2" t="s">
        <v>46</v>
      </c>
      <c r="E384" s="11" t="s">
        <v>177</v>
      </c>
      <c r="F384" s="13" t="s">
        <v>15</v>
      </c>
      <c r="G384" s="2">
        <v>2</v>
      </c>
      <c r="H384" s="2">
        <v>0</v>
      </c>
      <c r="I384" s="3" t="str">
        <f t="shared" si="419"/>
        <v>01000</v>
      </c>
      <c r="J384" s="2" t="str">
        <f t="shared" si="420"/>
        <v>0</v>
      </c>
      <c r="K384" s="2">
        <f t="shared" si="421"/>
        <v>0</v>
      </c>
      <c r="L384" s="2"/>
      <c r="M384" s="20" t="s">
        <v>178</v>
      </c>
      <c r="N384" s="25" t="s">
        <v>14</v>
      </c>
      <c r="O384" s="2">
        <v>0</v>
      </c>
      <c r="P384" s="2"/>
      <c r="Q384" s="3" t="b">
        <f t="shared" si="422"/>
        <v>1</v>
      </c>
      <c r="R384" s="2" t="b">
        <f t="shared" si="423"/>
        <v>1</v>
      </c>
      <c r="S384" s="2" t="b">
        <f t="shared" si="424"/>
        <v>1</v>
      </c>
    </row>
    <row r="385" spans="2:19" x14ac:dyDescent="0.15">
      <c r="B385" s="23"/>
      <c r="D385" t="s">
        <v>47</v>
      </c>
      <c r="E385" s="9" t="s">
        <v>177</v>
      </c>
      <c r="F385" s="14" t="s">
        <v>15</v>
      </c>
      <c r="G385">
        <v>10</v>
      </c>
      <c r="H385" s="7">
        <v>0</v>
      </c>
      <c r="I385" s="1" t="str">
        <f t="shared" si="419"/>
        <v>01000</v>
      </c>
      <c r="J385" t="str">
        <f t="shared" si="420"/>
        <v>0</v>
      </c>
      <c r="K385">
        <f t="shared" si="421"/>
        <v>0</v>
      </c>
      <c r="M385" s="21" t="s">
        <v>178</v>
      </c>
      <c r="N385" s="26" t="s">
        <v>14</v>
      </c>
      <c r="O385">
        <v>0</v>
      </c>
      <c r="Q385" s="1" t="b">
        <f t="shared" si="422"/>
        <v>1</v>
      </c>
      <c r="R385" t="b">
        <f t="shared" si="423"/>
        <v>1</v>
      </c>
      <c r="S385" t="b">
        <f t="shared" si="424"/>
        <v>1</v>
      </c>
    </row>
    <row r="386" spans="2:19" x14ac:dyDescent="0.15">
      <c r="B386" s="23"/>
      <c r="D386" t="s">
        <v>49</v>
      </c>
      <c r="E386" s="9" t="s">
        <v>177</v>
      </c>
      <c r="F386" s="14" t="s">
        <v>15</v>
      </c>
      <c r="G386">
        <v>16</v>
      </c>
      <c r="H386" s="7">
        <v>0</v>
      </c>
      <c r="I386" s="1" t="str">
        <f t="shared" si="419"/>
        <v>01000</v>
      </c>
      <c r="J386" t="str">
        <f t="shared" si="420"/>
        <v>0</v>
      </c>
      <c r="K386">
        <f t="shared" si="421"/>
        <v>0</v>
      </c>
      <c r="M386" s="21" t="s">
        <v>178</v>
      </c>
      <c r="N386" s="26" t="s">
        <v>14</v>
      </c>
      <c r="O386">
        <v>0</v>
      </c>
      <c r="Q386" s="1" t="b">
        <f t="shared" si="422"/>
        <v>1</v>
      </c>
      <c r="R386" t="b">
        <f t="shared" si="423"/>
        <v>1</v>
      </c>
      <c r="S386" t="b">
        <f t="shared" si="424"/>
        <v>1</v>
      </c>
    </row>
    <row r="387" spans="2:19" x14ac:dyDescent="0.15">
      <c r="B387" s="23"/>
      <c r="C387" s="2" t="s">
        <v>87</v>
      </c>
      <c r="D387" s="2" t="s">
        <v>46</v>
      </c>
      <c r="E387" s="11" t="s">
        <v>179</v>
      </c>
      <c r="F387" s="13" t="s">
        <v>15</v>
      </c>
      <c r="G387" s="2">
        <v>2</v>
      </c>
      <c r="H387" s="2">
        <v>0</v>
      </c>
      <c r="I387" s="3" t="str">
        <f t="shared" ref="I387:I391" si="425">TESTdivide(E387,F387,G387,H387)</f>
        <v>01000</v>
      </c>
      <c r="J387" s="2" t="str">
        <f t="shared" ref="J387:J391" si="426">TESTdivideByRef1(E387,F387,G387,H387)</f>
        <v>1</v>
      </c>
      <c r="K387" s="2">
        <f t="shared" ref="K387:K391" si="427">TESTdivideByRef2(E387,F387,G387,H387)</f>
        <v>0</v>
      </c>
      <c r="L387" s="2"/>
      <c r="M387" s="20" t="s">
        <v>178</v>
      </c>
      <c r="N387" s="25" t="s">
        <v>44</v>
      </c>
      <c r="O387" s="2">
        <v>0</v>
      </c>
      <c r="P387" s="2"/>
      <c r="Q387" s="3" t="b">
        <f t="shared" ref="Q387:Q391" si="428">getText(I387)=getText(M387)</f>
        <v>1</v>
      </c>
      <c r="R387" s="2" t="b">
        <f t="shared" ref="R387:R391" si="429">getText(J387)=getText(N387)</f>
        <v>1</v>
      </c>
      <c r="S387" s="2" t="b">
        <f t="shared" ref="S387:S391" si="430">getText(K387)=getText(O387)</f>
        <v>1</v>
      </c>
    </row>
    <row r="388" spans="2:19" x14ac:dyDescent="0.15">
      <c r="B388" s="23"/>
      <c r="D388" t="s">
        <v>47</v>
      </c>
      <c r="E388" s="9" t="s">
        <v>16</v>
      </c>
      <c r="F388" s="14" t="s">
        <v>15</v>
      </c>
      <c r="G388">
        <v>10</v>
      </c>
      <c r="H388" s="7">
        <v>0</v>
      </c>
      <c r="I388" s="1" t="str">
        <f t="shared" si="425"/>
        <v>01000</v>
      </c>
      <c r="J388" t="str">
        <f t="shared" si="426"/>
        <v>1</v>
      </c>
      <c r="K388">
        <f t="shared" si="427"/>
        <v>0</v>
      </c>
      <c r="M388" s="21" t="s">
        <v>178</v>
      </c>
      <c r="N388" s="26" t="s">
        <v>44</v>
      </c>
      <c r="O388">
        <v>0</v>
      </c>
      <c r="Q388" s="1" t="b">
        <f t="shared" si="428"/>
        <v>1</v>
      </c>
      <c r="R388" t="b">
        <f t="shared" si="429"/>
        <v>1</v>
      </c>
      <c r="S388" t="b">
        <f t="shared" si="430"/>
        <v>1</v>
      </c>
    </row>
    <row r="389" spans="2:19" x14ac:dyDescent="0.15">
      <c r="D389" t="s">
        <v>49</v>
      </c>
      <c r="E389" s="9" t="s">
        <v>16</v>
      </c>
      <c r="F389" s="14" t="s">
        <v>15</v>
      </c>
      <c r="G389">
        <v>16</v>
      </c>
      <c r="H389" s="7">
        <v>0</v>
      </c>
      <c r="I389" s="1" t="str">
        <f t="shared" si="425"/>
        <v>01000</v>
      </c>
      <c r="J389" t="str">
        <f t="shared" si="426"/>
        <v>1</v>
      </c>
      <c r="K389">
        <f t="shared" si="427"/>
        <v>0</v>
      </c>
      <c r="M389" s="21" t="s">
        <v>178</v>
      </c>
      <c r="N389" s="26" t="s">
        <v>44</v>
      </c>
      <c r="O389">
        <v>0</v>
      </c>
      <c r="Q389" s="1" t="b">
        <f t="shared" si="428"/>
        <v>1</v>
      </c>
      <c r="R389" t="b">
        <f t="shared" si="429"/>
        <v>1</v>
      </c>
      <c r="S389" t="b">
        <f t="shared" si="430"/>
        <v>1</v>
      </c>
    </row>
    <row r="390" spans="2:19" x14ac:dyDescent="0.15">
      <c r="C390" s="2" t="s">
        <v>97</v>
      </c>
      <c r="D390" s="2" t="s">
        <v>47</v>
      </c>
      <c r="E390" s="11" t="s">
        <v>180</v>
      </c>
      <c r="F390" s="13" t="s">
        <v>15</v>
      </c>
      <c r="G390" s="2">
        <v>10</v>
      </c>
      <c r="H390" s="24">
        <v>0</v>
      </c>
      <c r="I390" s="3" t="str">
        <f t="shared" si="425"/>
        <v>01000</v>
      </c>
      <c r="J390" s="2" t="str">
        <f t="shared" si="426"/>
        <v>9</v>
      </c>
      <c r="K390" s="2">
        <f t="shared" si="427"/>
        <v>0</v>
      </c>
      <c r="L390" s="2"/>
      <c r="M390" s="20" t="s">
        <v>178</v>
      </c>
      <c r="N390" s="25" t="s">
        <v>101</v>
      </c>
      <c r="O390" s="2">
        <v>0</v>
      </c>
      <c r="P390" s="2"/>
      <c r="Q390" s="3" t="b">
        <f t="shared" si="428"/>
        <v>1</v>
      </c>
      <c r="R390" s="2" t="b">
        <f t="shared" si="429"/>
        <v>1</v>
      </c>
      <c r="S390" s="2" t="b">
        <f t="shared" si="430"/>
        <v>1</v>
      </c>
    </row>
    <row r="391" spans="2:19" x14ac:dyDescent="0.15">
      <c r="D391" t="s">
        <v>49</v>
      </c>
      <c r="E391" s="9" t="s">
        <v>181</v>
      </c>
      <c r="F391" s="14" t="s">
        <v>15</v>
      </c>
      <c r="G391">
        <v>16</v>
      </c>
      <c r="H391" s="7">
        <v>0</v>
      </c>
      <c r="I391" s="1" t="str">
        <f t="shared" si="425"/>
        <v>01000</v>
      </c>
      <c r="J391" t="str">
        <f t="shared" si="426"/>
        <v>F</v>
      </c>
      <c r="K391">
        <f t="shared" si="427"/>
        <v>0</v>
      </c>
      <c r="M391" s="21" t="s">
        <v>178</v>
      </c>
      <c r="N391" s="26" t="s">
        <v>99</v>
      </c>
      <c r="O391">
        <v>0</v>
      </c>
      <c r="Q391" s="1" t="b">
        <f t="shared" si="428"/>
        <v>1</v>
      </c>
      <c r="R391" t="b">
        <f t="shared" si="429"/>
        <v>1</v>
      </c>
      <c r="S391" t="b">
        <f t="shared" si="430"/>
        <v>1</v>
      </c>
    </row>
    <row r="392" spans="2:19" x14ac:dyDescent="0.15">
      <c r="B392" s="22" t="s">
        <v>96</v>
      </c>
      <c r="C392" s="2" t="s">
        <v>86</v>
      </c>
      <c r="D392" s="2" t="s">
        <v>46</v>
      </c>
      <c r="E392" s="11" t="s">
        <v>189</v>
      </c>
      <c r="F392" s="13" t="s">
        <v>15</v>
      </c>
      <c r="G392" s="2">
        <v>2</v>
      </c>
      <c r="H392" s="2">
        <v>0</v>
      </c>
      <c r="I392" s="3" t="str">
        <f t="shared" ref="I392:I399" si="431">TESTdivide(E392,F392,G392,H392)</f>
        <v>01001</v>
      </c>
      <c r="J392" s="2" t="str">
        <f t="shared" ref="J392:J399" si="432">TESTdivideByRef1(E392,F392,G392,H392)</f>
        <v>0</v>
      </c>
      <c r="K392" s="2">
        <f t="shared" ref="K392:K399" si="433">TESTdivideByRef2(E392,F392,G392,H392)</f>
        <v>0</v>
      </c>
      <c r="L392" s="2"/>
      <c r="M392" s="20" t="s">
        <v>190</v>
      </c>
      <c r="N392" s="25" t="s">
        <v>14</v>
      </c>
      <c r="O392" s="2">
        <v>0</v>
      </c>
      <c r="P392" s="2"/>
      <c r="Q392" s="3" t="b">
        <f t="shared" ref="Q392:Q399" si="434">getText(I392)=getText(M392)</f>
        <v>1</v>
      </c>
      <c r="R392" s="2" t="b">
        <f t="shared" ref="R392:R399" si="435">getText(J392)=getText(N392)</f>
        <v>1</v>
      </c>
      <c r="S392" s="2" t="b">
        <f t="shared" ref="S392:S399" si="436">getText(K392)=getText(O392)</f>
        <v>1</v>
      </c>
    </row>
    <row r="393" spans="2:19" x14ac:dyDescent="0.15">
      <c r="B393" s="23"/>
      <c r="D393" t="s">
        <v>47</v>
      </c>
      <c r="E393" s="9" t="s">
        <v>189</v>
      </c>
      <c r="F393" s="14" t="s">
        <v>15</v>
      </c>
      <c r="G393">
        <v>10</v>
      </c>
      <c r="H393" s="7">
        <v>0</v>
      </c>
      <c r="I393" s="1" t="str">
        <f t="shared" si="431"/>
        <v>01001</v>
      </c>
      <c r="J393" t="str">
        <f t="shared" si="432"/>
        <v>0</v>
      </c>
      <c r="K393">
        <f t="shared" si="433"/>
        <v>0</v>
      </c>
      <c r="M393" s="21" t="s">
        <v>190</v>
      </c>
      <c r="N393" s="26" t="s">
        <v>14</v>
      </c>
      <c r="O393">
        <v>0</v>
      </c>
      <c r="Q393" s="1" t="b">
        <f t="shared" si="434"/>
        <v>1</v>
      </c>
      <c r="R393" t="b">
        <f t="shared" si="435"/>
        <v>1</v>
      </c>
      <c r="S393" t="b">
        <f t="shared" si="436"/>
        <v>1</v>
      </c>
    </row>
    <row r="394" spans="2:19" x14ac:dyDescent="0.15">
      <c r="B394" s="23"/>
      <c r="D394" t="s">
        <v>49</v>
      </c>
      <c r="E394" s="9" t="s">
        <v>189</v>
      </c>
      <c r="F394" s="14" t="s">
        <v>15</v>
      </c>
      <c r="G394">
        <v>16</v>
      </c>
      <c r="H394" s="7">
        <v>0</v>
      </c>
      <c r="I394" s="1" t="str">
        <f t="shared" si="431"/>
        <v>01001</v>
      </c>
      <c r="J394" t="str">
        <f t="shared" si="432"/>
        <v>0</v>
      </c>
      <c r="K394">
        <f t="shared" si="433"/>
        <v>0</v>
      </c>
      <c r="M394" s="21" t="s">
        <v>190</v>
      </c>
      <c r="N394" s="26" t="s">
        <v>14</v>
      </c>
      <c r="O394">
        <v>0</v>
      </c>
      <c r="Q394" s="1" t="b">
        <f t="shared" si="434"/>
        <v>1</v>
      </c>
      <c r="R394" t="b">
        <f t="shared" si="435"/>
        <v>1</v>
      </c>
      <c r="S394" t="b">
        <f t="shared" si="436"/>
        <v>1</v>
      </c>
    </row>
    <row r="395" spans="2:19" x14ac:dyDescent="0.15">
      <c r="B395" s="23"/>
      <c r="C395" s="2" t="s">
        <v>87</v>
      </c>
      <c r="D395" s="2" t="s">
        <v>46</v>
      </c>
      <c r="E395" s="11" t="s">
        <v>191</v>
      </c>
      <c r="F395" s="13" t="s">
        <v>15</v>
      </c>
      <c r="G395" s="2">
        <v>2</v>
      </c>
      <c r="H395" s="2">
        <v>0</v>
      </c>
      <c r="I395" s="3" t="str">
        <f t="shared" si="431"/>
        <v>01001</v>
      </c>
      <c r="J395" s="2" t="str">
        <f t="shared" si="432"/>
        <v>1</v>
      </c>
      <c r="K395" s="2">
        <f t="shared" si="433"/>
        <v>0</v>
      </c>
      <c r="L395" s="2"/>
      <c r="M395" s="20" t="s">
        <v>190</v>
      </c>
      <c r="N395" s="25" t="s">
        <v>44</v>
      </c>
      <c r="O395" s="2">
        <v>0</v>
      </c>
      <c r="P395" s="2"/>
      <c r="Q395" s="3" t="b">
        <f t="shared" si="434"/>
        <v>1</v>
      </c>
      <c r="R395" s="2" t="b">
        <f t="shared" si="435"/>
        <v>1</v>
      </c>
      <c r="S395" s="2" t="b">
        <f t="shared" si="436"/>
        <v>1</v>
      </c>
    </row>
    <row r="396" spans="2:19" x14ac:dyDescent="0.15">
      <c r="B396" s="23"/>
      <c r="D396" t="s">
        <v>47</v>
      </c>
      <c r="E396" s="9" t="s">
        <v>191</v>
      </c>
      <c r="F396" s="14" t="s">
        <v>15</v>
      </c>
      <c r="G396">
        <v>10</v>
      </c>
      <c r="H396" s="7">
        <v>0</v>
      </c>
      <c r="I396" s="1" t="str">
        <f t="shared" si="431"/>
        <v>01001</v>
      </c>
      <c r="J396" t="str">
        <f t="shared" si="432"/>
        <v>1</v>
      </c>
      <c r="K396">
        <f t="shared" si="433"/>
        <v>0</v>
      </c>
      <c r="M396" s="21" t="s">
        <v>190</v>
      </c>
      <c r="N396" s="26" t="s">
        <v>44</v>
      </c>
      <c r="O396">
        <v>0</v>
      </c>
      <c r="Q396" s="1" t="b">
        <f t="shared" si="434"/>
        <v>1</v>
      </c>
      <c r="R396" t="b">
        <f t="shared" si="435"/>
        <v>1</v>
      </c>
      <c r="S396" t="b">
        <f t="shared" si="436"/>
        <v>1</v>
      </c>
    </row>
    <row r="397" spans="2:19" x14ac:dyDescent="0.15">
      <c r="D397" t="s">
        <v>49</v>
      </c>
      <c r="E397" s="9" t="s">
        <v>191</v>
      </c>
      <c r="F397" s="14" t="s">
        <v>15</v>
      </c>
      <c r="G397">
        <v>16</v>
      </c>
      <c r="H397" s="7">
        <v>0</v>
      </c>
      <c r="I397" s="1" t="str">
        <f t="shared" si="431"/>
        <v>01001</v>
      </c>
      <c r="J397" t="str">
        <f t="shared" si="432"/>
        <v>1</v>
      </c>
      <c r="K397">
        <f t="shared" si="433"/>
        <v>0</v>
      </c>
      <c r="M397" s="21" t="s">
        <v>190</v>
      </c>
      <c r="N397" s="26" t="s">
        <v>44</v>
      </c>
      <c r="O397">
        <v>0</v>
      </c>
      <c r="Q397" s="1" t="b">
        <f t="shared" si="434"/>
        <v>1</v>
      </c>
      <c r="R397" t="b">
        <f t="shared" si="435"/>
        <v>1</v>
      </c>
      <c r="S397" t="b">
        <f t="shared" si="436"/>
        <v>1</v>
      </c>
    </row>
    <row r="398" spans="2:19" x14ac:dyDescent="0.15">
      <c r="C398" s="2" t="s">
        <v>97</v>
      </c>
      <c r="D398" s="2" t="s">
        <v>47</v>
      </c>
      <c r="E398" s="11" t="s">
        <v>192</v>
      </c>
      <c r="F398" s="13" t="s">
        <v>15</v>
      </c>
      <c r="G398" s="2">
        <v>10</v>
      </c>
      <c r="H398" s="24">
        <v>0</v>
      </c>
      <c r="I398" s="3" t="str">
        <f t="shared" si="431"/>
        <v>01001</v>
      </c>
      <c r="J398" s="2" t="str">
        <f t="shared" si="432"/>
        <v>9</v>
      </c>
      <c r="K398" s="2">
        <f t="shared" si="433"/>
        <v>0</v>
      </c>
      <c r="L398" s="2"/>
      <c r="M398" s="20" t="s">
        <v>190</v>
      </c>
      <c r="N398" s="25" t="s">
        <v>101</v>
      </c>
      <c r="O398" s="2">
        <v>0</v>
      </c>
      <c r="P398" s="2"/>
      <c r="Q398" s="3" t="b">
        <f t="shared" si="434"/>
        <v>1</v>
      </c>
      <c r="R398" s="2" t="b">
        <f t="shared" si="435"/>
        <v>1</v>
      </c>
      <c r="S398" s="2" t="b">
        <f t="shared" si="436"/>
        <v>1</v>
      </c>
    </row>
    <row r="399" spans="2:19" x14ac:dyDescent="0.15">
      <c r="D399" t="s">
        <v>49</v>
      </c>
      <c r="E399" s="9" t="s">
        <v>193</v>
      </c>
      <c r="F399" s="14" t="s">
        <v>15</v>
      </c>
      <c r="G399">
        <v>16</v>
      </c>
      <c r="H399" s="7">
        <v>0</v>
      </c>
      <c r="I399" s="1" t="str">
        <f t="shared" si="431"/>
        <v>01001</v>
      </c>
      <c r="J399" t="str">
        <f t="shared" si="432"/>
        <v>F</v>
      </c>
      <c r="K399">
        <f t="shared" si="433"/>
        <v>0</v>
      </c>
      <c r="M399" s="21" t="s">
        <v>190</v>
      </c>
      <c r="N399" s="26" t="s">
        <v>99</v>
      </c>
      <c r="O399">
        <v>0</v>
      </c>
      <c r="Q399" s="1" t="b">
        <f t="shared" si="434"/>
        <v>1</v>
      </c>
      <c r="R399" t="b">
        <f t="shared" si="435"/>
        <v>1</v>
      </c>
      <c r="S399" t="b">
        <f t="shared" si="436"/>
        <v>1</v>
      </c>
    </row>
    <row r="400" spans="2:19" x14ac:dyDescent="0.15">
      <c r="B400" s="2" t="s">
        <v>76</v>
      </c>
      <c r="C400" s="2" t="s">
        <v>210</v>
      </c>
      <c r="D400" s="2" t="s">
        <v>46</v>
      </c>
      <c r="E400" s="11" t="s">
        <v>114</v>
      </c>
      <c r="F400" s="13" t="s">
        <v>115</v>
      </c>
      <c r="G400" s="2">
        <v>2</v>
      </c>
      <c r="H400" s="2">
        <v>-1</v>
      </c>
      <c r="I400" s="3" t="str">
        <f>TESTdivide(E400,F400,G400,H400)</f>
        <v>00</v>
      </c>
      <c r="J400" s="2" t="str">
        <f>TESTdivideByRef1(E400,F400,G400,H400)</f>
        <v>10</v>
      </c>
      <c r="K400" s="2">
        <f>TESTdivideByRef2(E400,F400,G400,H400)</f>
        <v>0</v>
      </c>
      <c r="L400" s="2"/>
      <c r="M400" s="3" t="s">
        <v>98</v>
      </c>
      <c r="N400" s="2" t="s">
        <v>15</v>
      </c>
      <c r="O400" s="2">
        <v>0</v>
      </c>
      <c r="P400" s="2"/>
      <c r="Q400" s="3" t="b">
        <f t="shared" ref="Q400:Q402" si="437">getText(I400)=getText(M400)</f>
        <v>1</v>
      </c>
      <c r="R400" s="2" t="b">
        <f t="shared" ref="R400:R402" si="438">getText(J400)=getText(N400)</f>
        <v>1</v>
      </c>
      <c r="S400" s="2" t="b">
        <f t="shared" ref="S400:S402" si="439">getText(K400)=getText(O400)</f>
        <v>1</v>
      </c>
    </row>
    <row r="401" spans="1:19" x14ac:dyDescent="0.15">
      <c r="D401" t="s">
        <v>47</v>
      </c>
      <c r="E401" s="9" t="s">
        <v>112</v>
      </c>
      <c r="F401" s="17" t="s">
        <v>196</v>
      </c>
      <c r="G401">
        <v>10</v>
      </c>
      <c r="H401" s="7">
        <v>-1</v>
      </c>
      <c r="I401" s="1" t="str">
        <f>TESTdivide(E401,F401,G401,H401)</f>
        <v>0</v>
      </c>
      <c r="J401" t="str">
        <f>TESTdivideByRef1(E401,F401,G401,H401)</f>
        <v>1</v>
      </c>
      <c r="K401">
        <f>TESTdivideByRef2(E401,F401,G401,H401)</f>
        <v>0</v>
      </c>
      <c r="M401" s="1" t="s">
        <v>14</v>
      </c>
      <c r="N401" t="s">
        <v>44</v>
      </c>
      <c r="O401">
        <v>0</v>
      </c>
      <c r="Q401" s="1" t="b">
        <f t="shared" si="437"/>
        <v>1</v>
      </c>
      <c r="R401" t="b">
        <f t="shared" si="438"/>
        <v>1</v>
      </c>
      <c r="S401" t="b">
        <f t="shared" si="439"/>
        <v>1</v>
      </c>
    </row>
    <row r="402" spans="1:19" x14ac:dyDescent="0.15">
      <c r="D402" t="s">
        <v>48</v>
      </c>
      <c r="E402" s="9" t="s">
        <v>83</v>
      </c>
      <c r="F402" s="17" t="s">
        <v>99</v>
      </c>
      <c r="G402">
        <v>16</v>
      </c>
      <c r="H402" s="7">
        <v>-1</v>
      </c>
      <c r="I402" s="1" t="str">
        <f t="shared" ref="I402" si="440">TESTdivide(E402,F402,G402,H402)</f>
        <v>0</v>
      </c>
      <c r="J402" t="str">
        <f t="shared" ref="J402" si="441">TESTdivideByRef1(E402,F402,G402,H402)</f>
        <v>5</v>
      </c>
      <c r="K402">
        <f t="shared" ref="K402" si="442">TESTdivideByRef2(E402,F402,G402,H402)</f>
        <v>0</v>
      </c>
      <c r="M402" s="1" t="s">
        <v>14</v>
      </c>
      <c r="N402" t="s">
        <v>83</v>
      </c>
      <c r="O402">
        <v>0</v>
      </c>
      <c r="Q402" s="1" t="b">
        <f t="shared" si="437"/>
        <v>1</v>
      </c>
      <c r="R402" t="b">
        <f t="shared" si="438"/>
        <v>1</v>
      </c>
      <c r="S402" t="b">
        <f t="shared" si="439"/>
        <v>1</v>
      </c>
    </row>
    <row r="403" spans="1:19" x14ac:dyDescent="0.15">
      <c r="C403" s="2" t="s">
        <v>77</v>
      </c>
      <c r="D403" s="2" t="s">
        <v>46</v>
      </c>
      <c r="E403" s="11" t="s">
        <v>114</v>
      </c>
      <c r="F403" s="13" t="s">
        <v>115</v>
      </c>
      <c r="G403" s="2">
        <v>2</v>
      </c>
      <c r="H403" s="2">
        <v>0</v>
      </c>
      <c r="I403" s="3" t="str">
        <f t="shared" ref="I403" si="443">TESTdivide(E403,F403,G403,H403)</f>
        <v>00</v>
      </c>
      <c r="J403" s="2" t="str">
        <f t="shared" ref="J403" si="444">TESTdivideByRef1(E403,F403,G403,H403)</f>
        <v>10</v>
      </c>
      <c r="K403" s="2">
        <f t="shared" ref="K403" si="445">TESTdivideByRef2(E403,F403,G403,H403)</f>
        <v>0</v>
      </c>
      <c r="L403" s="2"/>
      <c r="M403" s="3" t="s">
        <v>98</v>
      </c>
      <c r="N403" s="2" t="s">
        <v>15</v>
      </c>
      <c r="O403" s="2">
        <v>0</v>
      </c>
      <c r="P403" s="2"/>
      <c r="Q403" s="3" t="b">
        <f t="shared" ref="Q403:Q404" si="446">getText(I403)=getText(M403)</f>
        <v>1</v>
      </c>
      <c r="R403" s="2" t="b">
        <f t="shared" ref="R403:R404" si="447">getText(J403)=getText(N403)</f>
        <v>1</v>
      </c>
      <c r="S403" s="2" t="b">
        <f t="shared" ref="S403:S404" si="448">getText(K403)=getText(O403)</f>
        <v>1</v>
      </c>
    </row>
    <row r="404" spans="1:19" x14ac:dyDescent="0.15">
      <c r="D404" t="s">
        <v>47</v>
      </c>
      <c r="E404" s="9" t="s">
        <v>112</v>
      </c>
      <c r="F404" s="17" t="s">
        <v>196</v>
      </c>
      <c r="G404">
        <v>10</v>
      </c>
      <c r="H404" s="7">
        <v>0</v>
      </c>
      <c r="I404" s="1" t="str">
        <f t="shared" ref="I404" si="449">TESTdivide(E404,F404,G404,H404)</f>
        <v>0</v>
      </c>
      <c r="J404" t="str">
        <f t="shared" ref="J404" si="450">TESTdivideByRef1(E404,F404,G404,H404)</f>
        <v>1</v>
      </c>
      <c r="K404">
        <f t="shared" ref="K404" si="451">TESTdivideByRef2(E404,F404,G404,H404)</f>
        <v>0</v>
      </c>
      <c r="M404" s="1" t="s">
        <v>14</v>
      </c>
      <c r="N404" t="s">
        <v>44</v>
      </c>
      <c r="O404">
        <v>0</v>
      </c>
      <c r="Q404" s="1" t="b">
        <f t="shared" si="446"/>
        <v>1</v>
      </c>
      <c r="R404" t="b">
        <f t="shared" si="447"/>
        <v>1</v>
      </c>
      <c r="S404" t="b">
        <f t="shared" si="448"/>
        <v>1</v>
      </c>
    </row>
    <row r="405" spans="1:19" x14ac:dyDescent="0.15">
      <c r="D405" t="s">
        <v>49</v>
      </c>
      <c r="E405" s="9" t="s">
        <v>197</v>
      </c>
      <c r="F405" s="17" t="s">
        <v>198</v>
      </c>
      <c r="G405">
        <v>16</v>
      </c>
      <c r="H405" s="7">
        <v>0</v>
      </c>
      <c r="I405" s="1" t="str">
        <f t="shared" ref="I405" si="452">TESTdivide(E405,F405,G405,H405)</f>
        <v>0</v>
      </c>
      <c r="J405" t="str">
        <f t="shared" ref="J405" si="453">TESTdivideByRef1(E405,F405,G405,H405)</f>
        <v>5</v>
      </c>
      <c r="K405">
        <f t="shared" ref="K405" si="454">TESTdivideByRef2(E405,F405,G405,H405)</f>
        <v>0</v>
      </c>
      <c r="M405" s="1" t="s">
        <v>14</v>
      </c>
      <c r="N405" t="s">
        <v>83</v>
      </c>
      <c r="O405">
        <v>0</v>
      </c>
      <c r="Q405" s="1" t="b">
        <f t="shared" ref="Q405:Q406" si="455">getText(I405)=getText(M405)</f>
        <v>1</v>
      </c>
      <c r="R405" t="b">
        <f t="shared" ref="R405:R406" si="456">getText(J405)=getText(N405)</f>
        <v>1</v>
      </c>
      <c r="S405" t="b">
        <f t="shared" ref="S405:S406" si="457">getText(K405)=getText(O405)</f>
        <v>1</v>
      </c>
    </row>
    <row r="406" spans="1:19" x14ac:dyDescent="0.15">
      <c r="C406" s="2" t="s">
        <v>195</v>
      </c>
      <c r="D406" s="2" t="s">
        <v>208</v>
      </c>
      <c r="E406" s="11" t="s">
        <v>15</v>
      </c>
      <c r="F406" s="13" t="s">
        <v>18</v>
      </c>
      <c r="G406" s="2">
        <v>2</v>
      </c>
      <c r="H406" s="2">
        <v>1</v>
      </c>
      <c r="I406" s="3" t="str">
        <f t="shared" ref="I406:I409" si="458">TESTdivide(E406,F406,G406,H406)</f>
        <v>001</v>
      </c>
      <c r="J406" s="2" t="str">
        <f t="shared" ref="J406:J409" si="459">TESTdivideByRef1(E406,F406,G406,H406)</f>
        <v>1</v>
      </c>
      <c r="K406" s="2">
        <f t="shared" ref="K406:K409" si="460">TESTdivideByRef2(E406,F406,G406,H406)</f>
        <v>0</v>
      </c>
      <c r="L406" s="2"/>
      <c r="M406" s="3" t="s">
        <v>82</v>
      </c>
      <c r="N406" s="22" t="s">
        <v>44</v>
      </c>
      <c r="O406" s="2">
        <v>0</v>
      </c>
      <c r="P406" s="2"/>
      <c r="Q406" s="3" t="b">
        <f t="shared" si="455"/>
        <v>1</v>
      </c>
      <c r="R406" s="2" t="b">
        <f t="shared" si="456"/>
        <v>1</v>
      </c>
      <c r="S406" s="2" t="b">
        <f t="shared" si="457"/>
        <v>1</v>
      </c>
    </row>
    <row r="407" spans="1:19" x14ac:dyDescent="0.15">
      <c r="C407" s="6"/>
      <c r="D407" s="7" t="s">
        <v>209</v>
      </c>
      <c r="E407" s="9" t="s">
        <v>15</v>
      </c>
      <c r="F407" s="14" t="s">
        <v>18</v>
      </c>
      <c r="G407" s="6">
        <v>2</v>
      </c>
      <c r="H407" s="6">
        <v>2</v>
      </c>
      <c r="I407" s="1" t="str">
        <f t="shared" ref="I407" si="461">TESTdivide(E407,F407,G407,H407)</f>
        <v>0010</v>
      </c>
      <c r="J407" s="6" t="str">
        <f t="shared" ref="J407" si="462">TESTdivideByRef1(E407,F407,G407,H407)</f>
        <v>10</v>
      </c>
      <c r="K407" s="6">
        <f t="shared" ref="K407" si="463">TESTdivideByRef2(E407,F407,G407,H407)</f>
        <v>0</v>
      </c>
      <c r="L407" s="6"/>
      <c r="M407" s="1" t="s">
        <v>80</v>
      </c>
      <c r="N407" s="27" t="s">
        <v>15</v>
      </c>
      <c r="O407" s="6">
        <v>0</v>
      </c>
      <c r="P407" s="6"/>
      <c r="Q407" s="1" t="b">
        <f t="shared" ref="Q407:Q408" si="464">getText(I407)=getText(M407)</f>
        <v>1</v>
      </c>
      <c r="R407" s="6" t="b">
        <f t="shared" ref="R407:R408" si="465">getText(J407)=getText(N407)</f>
        <v>1</v>
      </c>
      <c r="S407" s="6" t="b">
        <f t="shared" ref="S407:S408" si="466">getText(K407)=getText(O407)</f>
        <v>1</v>
      </c>
    </row>
    <row r="408" spans="1:19" x14ac:dyDescent="0.15">
      <c r="D408" t="s">
        <v>47</v>
      </c>
      <c r="E408" s="9" t="s">
        <v>44</v>
      </c>
      <c r="F408" s="17" t="s">
        <v>81</v>
      </c>
      <c r="G408">
        <v>10</v>
      </c>
      <c r="H408" s="7">
        <v>1</v>
      </c>
      <c r="I408" s="1" t="str">
        <f t="shared" si="458"/>
        <v>03</v>
      </c>
      <c r="J408" t="str">
        <f t="shared" si="459"/>
        <v>1</v>
      </c>
      <c r="K408">
        <f t="shared" si="460"/>
        <v>0</v>
      </c>
      <c r="M408" s="1" t="s">
        <v>206</v>
      </c>
      <c r="N408" s="23" t="s">
        <v>44</v>
      </c>
      <c r="O408">
        <v>0</v>
      </c>
      <c r="Q408" s="1" t="b">
        <f t="shared" si="464"/>
        <v>1</v>
      </c>
      <c r="R408" t="b">
        <f t="shared" si="465"/>
        <v>1</v>
      </c>
      <c r="S408" t="b">
        <f t="shared" si="466"/>
        <v>1</v>
      </c>
    </row>
    <row r="409" spans="1:19" x14ac:dyDescent="0.15">
      <c r="D409" t="s">
        <v>49</v>
      </c>
      <c r="E409" s="9" t="s">
        <v>83</v>
      </c>
      <c r="F409" s="17" t="s">
        <v>99</v>
      </c>
      <c r="G409">
        <v>16</v>
      </c>
      <c r="H409" s="7">
        <v>1</v>
      </c>
      <c r="I409" s="1" t="str">
        <f t="shared" si="458"/>
        <v>05</v>
      </c>
      <c r="J409" t="str">
        <f t="shared" si="459"/>
        <v>5</v>
      </c>
      <c r="K409">
        <f t="shared" si="460"/>
        <v>0</v>
      </c>
      <c r="M409" s="1" t="s">
        <v>207</v>
      </c>
      <c r="N409" s="23" t="s">
        <v>83</v>
      </c>
      <c r="O409">
        <v>0</v>
      </c>
      <c r="Q409" s="1" t="b">
        <f t="shared" ref="Q409" si="467">getText(I409)=getText(M409)</f>
        <v>1</v>
      </c>
      <c r="R409" t="b">
        <f t="shared" ref="R409" si="468">getText(J409)=getText(N409)</f>
        <v>1</v>
      </c>
      <c r="S409" t="b">
        <f t="shared" ref="S409" si="469">getText(K409)=getText(O409)</f>
        <v>1</v>
      </c>
    </row>
    <row r="410" spans="1:19" x14ac:dyDescent="0.15">
      <c r="C410" s="2" t="s">
        <v>194</v>
      </c>
      <c r="D410" s="2" t="s">
        <v>204</v>
      </c>
      <c r="E410" s="11" t="s">
        <v>114</v>
      </c>
      <c r="F410" s="13" t="s">
        <v>115</v>
      </c>
      <c r="G410" s="2">
        <v>2</v>
      </c>
      <c r="H410" s="2">
        <v>255</v>
      </c>
      <c r="I410" s="3" t="str">
        <f>TESTdivide(E410,F410,G410,H410)</f>
        <v>00101010101010101010101010101010101010101010101010101010101010101010101010101010101010101010101010101010101010101010101010101010101010101010101010101010101010101010101010101010101010101010101010101010101010101010101010101010101010101010101010101010101010101</v>
      </c>
      <c r="J410" s="2" t="str">
        <f>TESTdivideByRef1(E410,F410,G410,H410)</f>
        <v>1</v>
      </c>
      <c r="K410" s="2">
        <f>TESTdivideByRef2(E410,F410,G410,H410)</f>
        <v>0</v>
      </c>
      <c r="L410" s="2"/>
      <c r="M410" s="3" t="s">
        <v>199</v>
      </c>
      <c r="N410" s="2" t="s">
        <v>44</v>
      </c>
      <c r="O410" s="2">
        <v>0</v>
      </c>
      <c r="P410" s="2"/>
      <c r="Q410" s="3" t="b">
        <f t="shared" ref="Q410:Q413" si="470">getText(I410)=getText(M410)</f>
        <v>1</v>
      </c>
      <c r="R410" s="2" t="b">
        <f t="shared" ref="R410:R413" si="471">getText(J410)=getText(N410)</f>
        <v>1</v>
      </c>
      <c r="S410" s="2" t="b">
        <f t="shared" ref="S410:S413" si="472">getText(K410)=getText(O410)</f>
        <v>1</v>
      </c>
    </row>
    <row r="411" spans="1:19" x14ac:dyDescent="0.15">
      <c r="C411" s="6"/>
      <c r="D411" s="7" t="s">
        <v>203</v>
      </c>
      <c r="E411" s="9" t="s">
        <v>15</v>
      </c>
      <c r="F411" s="14" t="s">
        <v>18</v>
      </c>
      <c r="G411" s="6">
        <v>2</v>
      </c>
      <c r="H411" s="6">
        <v>256</v>
      </c>
      <c r="I411" s="1" t="str">
        <f t="shared" ref="I411" si="473">TESTdivide(E411,F411,G411,H411)</f>
        <v>001010101010101010101010101010101010101010101010101010101010101010101010101010101010101010101010101010101010101010101010101010101010101010101010101010101010101010101010101010101010101010101010101010101010101010101010101010101010101010101010101010101010101010</v>
      </c>
      <c r="J411" s="6" t="str">
        <f t="shared" ref="J411" si="474">TESTdivideByRef1(E411,F411,G411,H411)</f>
        <v>10</v>
      </c>
      <c r="K411" s="6">
        <f t="shared" ref="K411" si="475">TESTdivideByRef2(E411,F411,G411,H411)</f>
        <v>0</v>
      </c>
      <c r="L411" s="6"/>
      <c r="M411" s="1" t="s">
        <v>202</v>
      </c>
      <c r="N411" s="6" t="s">
        <v>15</v>
      </c>
      <c r="O411" s="6">
        <v>0</v>
      </c>
      <c r="P411" s="6"/>
      <c r="Q411" s="1" t="b">
        <f t="shared" ref="Q411" si="476">getText(I411)=getText(M411)</f>
        <v>1</v>
      </c>
      <c r="R411" s="6" t="b">
        <f t="shared" ref="R411" si="477">getText(J411)=getText(N411)</f>
        <v>1</v>
      </c>
      <c r="S411" s="6" t="b">
        <f t="shared" ref="S411" si="478">getText(K411)=getText(O411)</f>
        <v>1</v>
      </c>
    </row>
    <row r="412" spans="1:19" x14ac:dyDescent="0.15">
      <c r="D412" t="s">
        <v>47</v>
      </c>
      <c r="E412" s="9" t="s">
        <v>200</v>
      </c>
      <c r="F412" s="17" t="s">
        <v>196</v>
      </c>
      <c r="G412">
        <v>10</v>
      </c>
      <c r="H412" s="7">
        <v>255</v>
      </c>
      <c r="I412" s="1" t="str">
        <f>TESTdivide(E412,F412,G412,H412)</f>
        <v>0333333333333333333333333333333333333333333333333333333333333333333333333333333333333333333333333333333333333333333333333333333333333333333333333333333333333333333333333333333333333333333333333333333333333333333333333333333333333333333333333333333333333333</v>
      </c>
      <c r="J412" t="str">
        <f>TESTdivideByRef1(E412,F412,G412,H412)</f>
        <v>1</v>
      </c>
      <c r="K412">
        <f>TESTdivideByRef2(E412,F412,G412,H412)</f>
        <v>0</v>
      </c>
      <c r="M412" s="1" t="s">
        <v>201</v>
      </c>
      <c r="N412" t="s">
        <v>44</v>
      </c>
      <c r="O412">
        <v>0</v>
      </c>
      <c r="Q412" s="1" t="b">
        <f t="shared" si="470"/>
        <v>1</v>
      </c>
      <c r="R412" t="b">
        <f t="shared" si="471"/>
        <v>1</v>
      </c>
      <c r="S412" t="b">
        <f t="shared" si="472"/>
        <v>1</v>
      </c>
    </row>
    <row r="413" spans="1:19" x14ac:dyDescent="0.15">
      <c r="D413" t="s">
        <v>49</v>
      </c>
      <c r="E413" s="9" t="s">
        <v>197</v>
      </c>
      <c r="F413" s="17" t="s">
        <v>198</v>
      </c>
      <c r="G413">
        <v>16</v>
      </c>
      <c r="H413" s="7">
        <v>255</v>
      </c>
      <c r="I413" s="1" t="str">
        <f>TESTdivide(E413,F413,G413,H413)</f>
        <v>0555555555555555555555555555555555555555555555555555555555555555555555555555555555555555555555555555555555555555555555555555555555555555555555555555555555555555555555555555555555555555555555555555555555555555555555555555555555555555555555555555555555555555</v>
      </c>
      <c r="J413" t="str">
        <f>TESTdivideByRef1(E413,F413,G413,H413)</f>
        <v>5</v>
      </c>
      <c r="K413">
        <f>TESTdivideByRef2(E413,F413,G413,H413)</f>
        <v>0</v>
      </c>
      <c r="M413" s="1" t="s">
        <v>205</v>
      </c>
      <c r="N413" t="s">
        <v>83</v>
      </c>
      <c r="O413">
        <v>0</v>
      </c>
      <c r="Q413" s="1" t="b">
        <f t="shared" si="470"/>
        <v>1</v>
      </c>
      <c r="R413" t="b">
        <f t="shared" si="471"/>
        <v>1</v>
      </c>
      <c r="S413" t="b">
        <f t="shared" si="472"/>
        <v>1</v>
      </c>
    </row>
    <row r="414" spans="1:19" s="2" customFormat="1" x14ac:dyDescent="0.15">
      <c r="A414" s="2" t="s">
        <v>60</v>
      </c>
      <c r="B414" s="2" t="s">
        <v>587</v>
      </c>
      <c r="C414" s="2" t="s">
        <v>3</v>
      </c>
      <c r="D414" s="2" t="s">
        <v>598</v>
      </c>
      <c r="E414" s="3">
        <v>0</v>
      </c>
      <c r="F414" s="2">
        <v>2</v>
      </c>
      <c r="G414" s="2">
        <v>2</v>
      </c>
      <c r="I414" s="3" t="str">
        <f t="shared" ref="I414:I453" si="479">TESTconvIntPrtOfNPntToIntPrtOfNPnt(E414,F414,G414)</f>
        <v>0</v>
      </c>
      <c r="M414" s="3" t="s">
        <v>14</v>
      </c>
      <c r="Q414" s="3" t="b">
        <f t="shared" ref="Q414:Q422" si="480">getText(I414)=getText(M414)</f>
        <v>1</v>
      </c>
    </row>
    <row r="415" spans="1:19" x14ac:dyDescent="0.15">
      <c r="B415" t="s">
        <v>589</v>
      </c>
      <c r="C415" t="s">
        <v>4</v>
      </c>
      <c r="D415" t="s">
        <v>599</v>
      </c>
      <c r="E415" s="1">
        <v>111</v>
      </c>
      <c r="F415">
        <v>2</v>
      </c>
      <c r="G415">
        <v>7</v>
      </c>
      <c r="I415" s="1" t="str">
        <f t="shared" si="479"/>
        <v>10</v>
      </c>
      <c r="M415" s="1" t="s">
        <v>15</v>
      </c>
      <c r="Q415" s="1" t="b">
        <f t="shared" si="480"/>
        <v>1</v>
      </c>
      <c r="R415" s="6"/>
    </row>
    <row r="416" spans="1:19" x14ac:dyDescent="0.15">
      <c r="C416" t="s">
        <v>5</v>
      </c>
      <c r="D416" t="s">
        <v>600</v>
      </c>
      <c r="E416" s="1">
        <v>10000</v>
      </c>
      <c r="F416">
        <v>2</v>
      </c>
      <c r="G416">
        <v>16</v>
      </c>
      <c r="I416" s="1" t="str">
        <f t="shared" si="479"/>
        <v>10</v>
      </c>
      <c r="M416" s="1" t="s">
        <v>15</v>
      </c>
      <c r="Q416" s="1" t="b">
        <f t="shared" si="480"/>
        <v>1</v>
      </c>
      <c r="R416" s="6"/>
    </row>
    <row r="417" spans="2:18" x14ac:dyDescent="0.15">
      <c r="C417" t="s">
        <v>6</v>
      </c>
      <c r="D417" t="s">
        <v>598</v>
      </c>
      <c r="E417" s="1">
        <v>0</v>
      </c>
      <c r="F417">
        <v>7</v>
      </c>
      <c r="G417">
        <v>2</v>
      </c>
      <c r="I417" s="1" t="str">
        <f t="shared" si="479"/>
        <v>0</v>
      </c>
      <c r="M417" s="1" t="s">
        <v>14</v>
      </c>
      <c r="Q417" s="1" t="b">
        <f t="shared" si="480"/>
        <v>1</v>
      </c>
      <c r="R417" s="6"/>
    </row>
    <row r="418" spans="2:18" x14ac:dyDescent="0.15">
      <c r="C418" t="s">
        <v>7</v>
      </c>
      <c r="D418" t="s">
        <v>599</v>
      </c>
      <c r="E418" s="1">
        <v>10</v>
      </c>
      <c r="F418">
        <v>7</v>
      </c>
      <c r="G418">
        <v>7</v>
      </c>
      <c r="I418" s="1" t="str">
        <f t="shared" si="479"/>
        <v>10</v>
      </c>
      <c r="M418" s="1" t="s">
        <v>15</v>
      </c>
      <c r="Q418" s="1" t="b">
        <f t="shared" si="480"/>
        <v>1</v>
      </c>
      <c r="R418" s="6"/>
    </row>
    <row r="419" spans="2:18" x14ac:dyDescent="0.15">
      <c r="C419" t="s">
        <v>8</v>
      </c>
      <c r="D419" t="s">
        <v>600</v>
      </c>
      <c r="E419" s="1">
        <v>22</v>
      </c>
      <c r="F419">
        <v>7</v>
      </c>
      <c r="G419">
        <v>16</v>
      </c>
      <c r="I419" s="1" t="str">
        <f t="shared" si="479"/>
        <v>10</v>
      </c>
      <c r="M419" s="1" t="s">
        <v>15</v>
      </c>
      <c r="Q419" s="1" t="b">
        <f t="shared" si="480"/>
        <v>1</v>
      </c>
      <c r="R419" s="6"/>
    </row>
    <row r="420" spans="2:18" x14ac:dyDescent="0.15">
      <c r="C420" t="s">
        <v>9</v>
      </c>
      <c r="D420" t="s">
        <v>598</v>
      </c>
      <c r="E420" s="1">
        <v>0</v>
      </c>
      <c r="F420">
        <v>16</v>
      </c>
      <c r="G420">
        <v>2</v>
      </c>
      <c r="I420" s="1" t="str">
        <f t="shared" si="479"/>
        <v>0</v>
      </c>
      <c r="M420" s="1" t="s">
        <v>14</v>
      </c>
      <c r="Q420" s="1" t="b">
        <f t="shared" si="480"/>
        <v>1</v>
      </c>
      <c r="R420" s="6"/>
    </row>
    <row r="421" spans="2:18" x14ac:dyDescent="0.15">
      <c r="C421" t="s">
        <v>10</v>
      </c>
      <c r="D421" t="s">
        <v>599</v>
      </c>
      <c r="E421" s="1">
        <v>7</v>
      </c>
      <c r="F421">
        <v>16</v>
      </c>
      <c r="G421">
        <v>7</v>
      </c>
      <c r="I421" s="1" t="str">
        <f t="shared" si="479"/>
        <v>10</v>
      </c>
      <c r="M421" s="1" t="s">
        <v>15</v>
      </c>
      <c r="Q421" s="1" t="b">
        <f t="shared" si="480"/>
        <v>1</v>
      </c>
      <c r="R421" s="6"/>
    </row>
    <row r="422" spans="2:18" s="6" customFormat="1" x14ac:dyDescent="0.15">
      <c r="C422" s="6" t="s">
        <v>11</v>
      </c>
      <c r="D422" s="6" t="s">
        <v>600</v>
      </c>
      <c r="E422" s="1">
        <v>10</v>
      </c>
      <c r="F422" s="6">
        <v>16</v>
      </c>
      <c r="G422" s="6">
        <v>16</v>
      </c>
      <c r="I422" s="1" t="str">
        <f t="shared" si="479"/>
        <v>10</v>
      </c>
      <c r="M422" s="1" t="s">
        <v>15</v>
      </c>
      <c r="Q422" s="1" t="b">
        <f t="shared" si="480"/>
        <v>1</v>
      </c>
    </row>
    <row r="423" spans="2:18" s="6" customFormat="1" x14ac:dyDescent="0.15">
      <c r="B423" s="2" t="s">
        <v>587</v>
      </c>
      <c r="C423" s="2" t="s">
        <v>25</v>
      </c>
      <c r="D423" s="2" t="s">
        <v>3</v>
      </c>
      <c r="E423" s="3">
        <v>10001</v>
      </c>
      <c r="F423" s="2">
        <v>2</v>
      </c>
      <c r="G423" s="2">
        <v>2</v>
      </c>
      <c r="H423" s="2"/>
      <c r="I423" s="3" t="str">
        <f t="shared" si="479"/>
        <v>10001</v>
      </c>
      <c r="J423" s="2"/>
      <c r="K423" s="2"/>
      <c r="L423" s="2"/>
      <c r="M423" s="3" t="s">
        <v>16</v>
      </c>
      <c r="N423" s="2"/>
      <c r="O423" s="2"/>
      <c r="P423" s="2"/>
      <c r="Q423" s="3" t="b">
        <f t="shared" ref="Q423:Q425" si="481">getText(I423)=getText(M423)</f>
        <v>1</v>
      </c>
    </row>
    <row r="424" spans="2:18" s="6" customFormat="1" x14ac:dyDescent="0.15">
      <c r="B424" s="6" t="s">
        <v>588</v>
      </c>
      <c r="C424" s="6" t="s">
        <v>53</v>
      </c>
      <c r="D424" s="6" t="s">
        <v>4</v>
      </c>
      <c r="E424" s="1">
        <v>10001</v>
      </c>
      <c r="F424" s="6">
        <v>2</v>
      </c>
      <c r="G424" s="6">
        <v>7</v>
      </c>
      <c r="I424" s="1" t="str">
        <f t="shared" si="479"/>
        <v>23</v>
      </c>
      <c r="M424" s="1" t="s">
        <v>17</v>
      </c>
      <c r="Q424" s="1" t="b">
        <f t="shared" si="481"/>
        <v>1</v>
      </c>
    </row>
    <row r="425" spans="2:18" s="6" customFormat="1" x14ac:dyDescent="0.15">
      <c r="C425" s="7" t="s">
        <v>54</v>
      </c>
      <c r="D425" s="6" t="s">
        <v>5</v>
      </c>
      <c r="E425" s="1">
        <v>10001</v>
      </c>
      <c r="F425" s="6">
        <v>2</v>
      </c>
      <c r="G425" s="6">
        <v>16</v>
      </c>
      <c r="I425" s="1" t="str">
        <f t="shared" si="479"/>
        <v>11</v>
      </c>
      <c r="M425" s="1" t="s">
        <v>18</v>
      </c>
      <c r="Q425" s="1" t="b">
        <f t="shared" si="481"/>
        <v>1</v>
      </c>
    </row>
    <row r="426" spans="2:18" s="6" customFormat="1" x14ac:dyDescent="0.15">
      <c r="D426" s="6" t="s">
        <v>6</v>
      </c>
      <c r="E426" s="1">
        <v>23</v>
      </c>
      <c r="F426" s="6">
        <v>7</v>
      </c>
      <c r="G426" s="6">
        <v>2</v>
      </c>
      <c r="I426" s="1" t="str">
        <f t="shared" si="479"/>
        <v>10001</v>
      </c>
      <c r="M426" s="1" t="s">
        <v>16</v>
      </c>
      <c r="Q426" s="1" t="b">
        <f t="shared" ref="Q426:Q428" si="482">getText(I426)=getText(M426)</f>
        <v>1</v>
      </c>
    </row>
    <row r="427" spans="2:18" s="6" customFormat="1" x14ac:dyDescent="0.15">
      <c r="D427" s="6" t="s">
        <v>7</v>
      </c>
      <c r="E427" s="1">
        <v>23</v>
      </c>
      <c r="F427" s="6">
        <v>7</v>
      </c>
      <c r="G427" s="6">
        <v>7</v>
      </c>
      <c r="I427" s="1" t="str">
        <f t="shared" si="479"/>
        <v>23</v>
      </c>
      <c r="M427" s="1" t="s">
        <v>17</v>
      </c>
      <c r="Q427" s="1" t="b">
        <f t="shared" si="482"/>
        <v>1</v>
      </c>
    </row>
    <row r="428" spans="2:18" s="6" customFormat="1" x14ac:dyDescent="0.15">
      <c r="D428" s="6" t="s">
        <v>8</v>
      </c>
      <c r="E428" s="1">
        <v>23</v>
      </c>
      <c r="F428" s="6">
        <v>7</v>
      </c>
      <c r="G428" s="6">
        <v>16</v>
      </c>
      <c r="I428" s="1" t="str">
        <f t="shared" si="479"/>
        <v>11</v>
      </c>
      <c r="M428" s="1" t="s">
        <v>18</v>
      </c>
      <c r="Q428" s="1" t="b">
        <f t="shared" si="482"/>
        <v>1</v>
      </c>
    </row>
    <row r="429" spans="2:18" s="6" customFormat="1" x14ac:dyDescent="0.15">
      <c r="D429" s="6" t="s">
        <v>9</v>
      </c>
      <c r="E429" s="1">
        <v>11</v>
      </c>
      <c r="F429" s="6">
        <v>16</v>
      </c>
      <c r="G429" s="6">
        <v>2</v>
      </c>
      <c r="I429" s="1" t="str">
        <f t="shared" si="479"/>
        <v>10001</v>
      </c>
      <c r="M429" s="1" t="s">
        <v>16</v>
      </c>
      <c r="Q429" s="1" t="b">
        <f t="shared" ref="Q429:Q431" si="483">getText(I429)=getText(M429)</f>
        <v>1</v>
      </c>
    </row>
    <row r="430" spans="2:18" s="6" customFormat="1" x14ac:dyDescent="0.15">
      <c r="D430" s="6" t="s">
        <v>10</v>
      </c>
      <c r="E430" s="1">
        <v>11</v>
      </c>
      <c r="F430" s="6">
        <v>16</v>
      </c>
      <c r="G430" s="6">
        <v>7</v>
      </c>
      <c r="I430" s="1" t="str">
        <f t="shared" si="479"/>
        <v>23</v>
      </c>
      <c r="M430" s="1" t="s">
        <v>17</v>
      </c>
      <c r="Q430" s="1" t="b">
        <f t="shared" si="483"/>
        <v>1</v>
      </c>
    </row>
    <row r="431" spans="2:18" s="6" customFormat="1" x14ac:dyDescent="0.15">
      <c r="D431" s="6" t="s">
        <v>11</v>
      </c>
      <c r="E431" s="1">
        <v>11</v>
      </c>
      <c r="F431" s="6">
        <v>16</v>
      </c>
      <c r="G431" s="6">
        <v>16</v>
      </c>
      <c r="I431" s="1" t="str">
        <f t="shared" si="479"/>
        <v>11</v>
      </c>
      <c r="M431" s="1" t="s">
        <v>18</v>
      </c>
      <c r="Q431" s="1" t="b">
        <f t="shared" si="483"/>
        <v>1</v>
      </c>
    </row>
    <row r="432" spans="2:18" s="6" customFormat="1" x14ac:dyDescent="0.15">
      <c r="C432" s="2" t="s">
        <v>23</v>
      </c>
      <c r="D432" s="2" t="s">
        <v>3</v>
      </c>
      <c r="E432" s="3">
        <v>11</v>
      </c>
      <c r="F432" s="2">
        <v>2</v>
      </c>
      <c r="G432" s="2">
        <v>2</v>
      </c>
      <c r="H432" s="2"/>
      <c r="I432" s="3" t="str">
        <f t="shared" si="479"/>
        <v>11</v>
      </c>
      <c r="J432" s="2"/>
      <c r="K432" s="2"/>
      <c r="L432" s="2"/>
      <c r="M432" s="3" t="s">
        <v>18</v>
      </c>
      <c r="N432" s="2"/>
      <c r="O432" s="2"/>
      <c r="P432" s="2"/>
      <c r="Q432" s="3" t="b">
        <f t="shared" ref="Q432" si="484">getText(I432)=getText(M432)</f>
        <v>1</v>
      </c>
    </row>
    <row r="433" spans="3:17" s="6" customFormat="1" x14ac:dyDescent="0.15">
      <c r="C433" s="6" t="s">
        <v>53</v>
      </c>
      <c r="D433" s="6" t="s">
        <v>4</v>
      </c>
      <c r="E433" s="1">
        <v>110000</v>
      </c>
      <c r="F433" s="6">
        <v>2</v>
      </c>
      <c r="G433" s="6">
        <v>7</v>
      </c>
      <c r="I433" s="1" t="str">
        <f t="shared" si="479"/>
        <v>66</v>
      </c>
      <c r="M433" s="1" t="s">
        <v>20</v>
      </c>
      <c r="Q433" s="1" t="b">
        <f t="shared" ref="Q433" si="485">getText(I433)=getText(M433)</f>
        <v>1</v>
      </c>
    </row>
    <row r="434" spans="3:17" s="6" customFormat="1" x14ac:dyDescent="0.15">
      <c r="C434" s="6" t="s">
        <v>55</v>
      </c>
      <c r="D434" s="6" t="s">
        <v>5</v>
      </c>
      <c r="E434" s="1">
        <v>11111111</v>
      </c>
      <c r="F434" s="7">
        <v>2</v>
      </c>
      <c r="G434" s="7">
        <v>16</v>
      </c>
      <c r="I434" s="1" t="str">
        <f t="shared" si="479"/>
        <v>FF</v>
      </c>
      <c r="M434" s="1" t="s">
        <v>22</v>
      </c>
      <c r="Q434" s="1" t="b">
        <f t="shared" ref="Q434" si="486">getText(I434)=getText(M434)</f>
        <v>1</v>
      </c>
    </row>
    <row r="435" spans="3:17" s="6" customFormat="1" x14ac:dyDescent="0.15">
      <c r="D435" s="6" t="s">
        <v>6</v>
      </c>
      <c r="E435" s="1">
        <v>3</v>
      </c>
      <c r="F435" s="7">
        <v>7</v>
      </c>
      <c r="G435" s="7">
        <v>2</v>
      </c>
      <c r="I435" s="1" t="str">
        <f t="shared" si="479"/>
        <v>11</v>
      </c>
      <c r="M435" s="1" t="s">
        <v>18</v>
      </c>
      <c r="Q435" s="1" t="b">
        <f t="shared" ref="Q435:Q440" si="487">getText(I435)=getText(M435)</f>
        <v>1</v>
      </c>
    </row>
    <row r="436" spans="3:17" s="6" customFormat="1" x14ac:dyDescent="0.15">
      <c r="D436" s="6" t="s">
        <v>7</v>
      </c>
      <c r="E436" s="1">
        <v>66</v>
      </c>
      <c r="F436" s="7">
        <v>7</v>
      </c>
      <c r="G436" s="7">
        <v>7</v>
      </c>
      <c r="I436" s="1" t="str">
        <f t="shared" si="479"/>
        <v>66</v>
      </c>
      <c r="M436" s="1" t="s">
        <v>20</v>
      </c>
      <c r="Q436" s="1" t="b">
        <f t="shared" si="487"/>
        <v>1</v>
      </c>
    </row>
    <row r="437" spans="3:17" s="6" customFormat="1" x14ac:dyDescent="0.15">
      <c r="D437" s="6" t="s">
        <v>8</v>
      </c>
      <c r="E437" s="1">
        <v>513</v>
      </c>
      <c r="F437" s="7">
        <v>7</v>
      </c>
      <c r="G437" s="7">
        <v>16</v>
      </c>
      <c r="I437" s="1" t="str">
        <f t="shared" si="479"/>
        <v>FF</v>
      </c>
      <c r="M437" s="1" t="s">
        <v>22</v>
      </c>
      <c r="Q437" s="1" t="b">
        <f t="shared" si="487"/>
        <v>1</v>
      </c>
    </row>
    <row r="438" spans="3:17" s="6" customFormat="1" x14ac:dyDescent="0.15">
      <c r="D438" s="6" t="s">
        <v>9</v>
      </c>
      <c r="E438" s="8">
        <v>3</v>
      </c>
      <c r="F438" s="7">
        <v>16</v>
      </c>
      <c r="G438" s="7">
        <v>2</v>
      </c>
      <c r="I438" s="1" t="str">
        <f t="shared" si="479"/>
        <v>11</v>
      </c>
      <c r="M438" s="1" t="s">
        <v>18</v>
      </c>
      <c r="Q438" s="1" t="b">
        <f t="shared" si="487"/>
        <v>1</v>
      </c>
    </row>
    <row r="439" spans="3:17" s="6" customFormat="1" x14ac:dyDescent="0.15">
      <c r="D439" s="6" t="s">
        <v>10</v>
      </c>
      <c r="E439" s="1">
        <v>30</v>
      </c>
      <c r="F439" s="7">
        <v>16</v>
      </c>
      <c r="G439" s="7">
        <v>7</v>
      </c>
      <c r="I439" s="1" t="str">
        <f t="shared" si="479"/>
        <v>66</v>
      </c>
      <c r="M439" s="1" t="s">
        <v>20</v>
      </c>
      <c r="Q439" s="1" t="b">
        <f t="shared" si="487"/>
        <v>1</v>
      </c>
    </row>
    <row r="440" spans="3:17" s="6" customFormat="1" x14ac:dyDescent="0.15">
      <c r="D440" s="6" t="s">
        <v>11</v>
      </c>
      <c r="E440" s="8" t="s">
        <v>26</v>
      </c>
      <c r="F440" s="7">
        <v>16</v>
      </c>
      <c r="G440" s="7">
        <v>16</v>
      </c>
      <c r="I440" s="1" t="str">
        <f t="shared" si="479"/>
        <v>FF</v>
      </c>
      <c r="M440" s="1" t="s">
        <v>22</v>
      </c>
      <c r="Q440" s="1" t="b">
        <f t="shared" si="487"/>
        <v>1</v>
      </c>
    </row>
    <row r="441" spans="3:17" s="6" customFormat="1" x14ac:dyDescent="0.15">
      <c r="C441" s="2" t="s">
        <v>24</v>
      </c>
      <c r="D441" s="2" t="s">
        <v>3</v>
      </c>
      <c r="E441" s="3">
        <v>100</v>
      </c>
      <c r="F441" s="2">
        <v>2</v>
      </c>
      <c r="G441" s="2">
        <v>2</v>
      </c>
      <c r="H441" s="2"/>
      <c r="I441" s="3" t="str">
        <f t="shared" si="479"/>
        <v>100</v>
      </c>
      <c r="J441" s="2"/>
      <c r="K441" s="2"/>
      <c r="L441" s="2"/>
      <c r="M441" s="3" t="s">
        <v>21</v>
      </c>
      <c r="N441" s="2"/>
      <c r="O441" s="2"/>
      <c r="P441" s="2"/>
      <c r="Q441" s="3" t="b">
        <f t="shared" ref="Q441" si="488">getText(I441)=getText(M441)</f>
        <v>1</v>
      </c>
    </row>
    <row r="442" spans="3:17" s="6" customFormat="1" x14ac:dyDescent="0.15">
      <c r="C442" s="6" t="s">
        <v>53</v>
      </c>
      <c r="D442" s="6" t="s">
        <v>4</v>
      </c>
      <c r="E442" s="1">
        <v>110001</v>
      </c>
      <c r="F442" s="6">
        <v>2</v>
      </c>
      <c r="G442" s="6">
        <v>7</v>
      </c>
      <c r="I442" s="1" t="str">
        <f t="shared" si="479"/>
        <v>100</v>
      </c>
      <c r="M442" s="1" t="s">
        <v>21</v>
      </c>
      <c r="Q442" s="1" t="b">
        <f t="shared" ref="Q442" si="489">getText(I442)=getText(M442)</f>
        <v>1</v>
      </c>
    </row>
    <row r="443" spans="3:17" s="6" customFormat="1" x14ac:dyDescent="0.15">
      <c r="C443" s="6" t="s">
        <v>56</v>
      </c>
      <c r="D443" s="6" t="s">
        <v>5</v>
      </c>
      <c r="E443" s="1">
        <v>100000000</v>
      </c>
      <c r="F443" s="6">
        <v>2</v>
      </c>
      <c r="G443" s="6">
        <v>16</v>
      </c>
      <c r="I443" s="1" t="str">
        <f t="shared" si="479"/>
        <v>100</v>
      </c>
      <c r="M443" s="1" t="s">
        <v>21</v>
      </c>
      <c r="Q443" s="1" t="b">
        <f t="shared" ref="Q443" si="490">getText(I443)=getText(M443)</f>
        <v>1</v>
      </c>
    </row>
    <row r="444" spans="3:17" s="6" customFormat="1" x14ac:dyDescent="0.15">
      <c r="D444" s="6" t="s">
        <v>6</v>
      </c>
      <c r="E444" s="1">
        <v>4</v>
      </c>
      <c r="F444" s="7">
        <v>7</v>
      </c>
      <c r="G444" s="7">
        <v>2</v>
      </c>
      <c r="I444" s="1" t="str">
        <f t="shared" si="479"/>
        <v>100</v>
      </c>
      <c r="M444" s="1" t="s">
        <v>21</v>
      </c>
      <c r="Q444" s="1" t="b">
        <f t="shared" ref="Q444:Q446" si="491">getText(I444)=getText(M444)</f>
        <v>1</v>
      </c>
    </row>
    <row r="445" spans="3:17" s="6" customFormat="1" x14ac:dyDescent="0.15">
      <c r="D445" s="6" t="s">
        <v>7</v>
      </c>
      <c r="E445" s="1">
        <v>100</v>
      </c>
      <c r="F445" s="7">
        <v>7</v>
      </c>
      <c r="G445" s="7">
        <v>7</v>
      </c>
      <c r="I445" s="1" t="str">
        <f t="shared" si="479"/>
        <v>100</v>
      </c>
      <c r="M445" s="1" t="s">
        <v>21</v>
      </c>
      <c r="Q445" s="1" t="b">
        <f t="shared" si="491"/>
        <v>1</v>
      </c>
    </row>
    <row r="446" spans="3:17" s="6" customFormat="1" x14ac:dyDescent="0.15">
      <c r="D446" s="6" t="s">
        <v>8</v>
      </c>
      <c r="E446" s="1">
        <v>514</v>
      </c>
      <c r="F446" s="7">
        <v>7</v>
      </c>
      <c r="G446" s="7">
        <v>16</v>
      </c>
      <c r="I446" s="1" t="str">
        <f t="shared" si="479"/>
        <v>100</v>
      </c>
      <c r="M446" s="1" t="s">
        <v>21</v>
      </c>
      <c r="Q446" s="1" t="b">
        <f t="shared" si="491"/>
        <v>1</v>
      </c>
    </row>
    <row r="447" spans="3:17" s="6" customFormat="1" x14ac:dyDescent="0.15">
      <c r="D447" s="6" t="s">
        <v>9</v>
      </c>
      <c r="E447" s="1">
        <v>4</v>
      </c>
      <c r="F447" s="7">
        <v>16</v>
      </c>
      <c r="G447" s="7">
        <v>2</v>
      </c>
      <c r="I447" s="1" t="str">
        <f t="shared" si="479"/>
        <v>100</v>
      </c>
      <c r="M447" s="1" t="s">
        <v>21</v>
      </c>
      <c r="Q447" s="1" t="b">
        <f t="shared" ref="Q447:Q449" si="492">getText(I447)=getText(M447)</f>
        <v>1</v>
      </c>
    </row>
    <row r="448" spans="3:17" s="6" customFormat="1" x14ac:dyDescent="0.15">
      <c r="D448" s="6" t="s">
        <v>10</v>
      </c>
      <c r="E448" s="1">
        <v>31</v>
      </c>
      <c r="F448" s="7">
        <v>16</v>
      </c>
      <c r="G448" s="7">
        <v>7</v>
      </c>
      <c r="I448" s="1" t="str">
        <f t="shared" si="479"/>
        <v>100</v>
      </c>
      <c r="M448" s="1" t="s">
        <v>21</v>
      </c>
      <c r="Q448" s="1" t="b">
        <f t="shared" si="492"/>
        <v>1</v>
      </c>
    </row>
    <row r="449" spans="3:18" s="6" customFormat="1" x14ac:dyDescent="0.15">
      <c r="D449" s="6" t="s">
        <v>11</v>
      </c>
      <c r="E449" s="8">
        <v>100</v>
      </c>
      <c r="F449" s="7">
        <v>16</v>
      </c>
      <c r="G449" s="7">
        <v>16</v>
      </c>
      <c r="I449" s="1" t="str">
        <f t="shared" si="479"/>
        <v>100</v>
      </c>
      <c r="M449" s="1" t="s">
        <v>21</v>
      </c>
      <c r="Q449" s="1" t="b">
        <f t="shared" si="492"/>
        <v>1</v>
      </c>
    </row>
    <row r="450" spans="3:18" s="6" customFormat="1" x14ac:dyDescent="0.15">
      <c r="C450" s="2" t="s">
        <v>27</v>
      </c>
      <c r="D450" s="2" t="s">
        <v>3</v>
      </c>
      <c r="E450" s="3">
        <v>111</v>
      </c>
      <c r="F450" s="2">
        <v>2</v>
      </c>
      <c r="G450" s="2">
        <v>2</v>
      </c>
      <c r="H450" s="2"/>
      <c r="I450" s="3" t="str">
        <f t="shared" si="479"/>
        <v>111</v>
      </c>
      <c r="J450" s="2"/>
      <c r="K450" s="2"/>
      <c r="L450" s="2"/>
      <c r="M450" s="3" t="s">
        <v>31</v>
      </c>
      <c r="N450" s="2"/>
      <c r="O450" s="2"/>
      <c r="P450" s="2"/>
      <c r="Q450" s="3" t="b">
        <f t="shared" ref="Q450:Q452" si="493">getText(I450)=getText(M450)</f>
        <v>1</v>
      </c>
    </row>
    <row r="451" spans="3:18" x14ac:dyDescent="0.15">
      <c r="C451" s="6" t="s">
        <v>53</v>
      </c>
      <c r="D451" s="6" t="s">
        <v>4</v>
      </c>
      <c r="E451" s="1">
        <v>101010110</v>
      </c>
      <c r="F451" s="6">
        <v>2</v>
      </c>
      <c r="G451" s="6">
        <v>7</v>
      </c>
      <c r="I451" s="1" t="str">
        <f t="shared" si="479"/>
        <v>666</v>
      </c>
      <c r="M451" s="1" t="s">
        <v>32</v>
      </c>
      <c r="Q451" s="1" t="b">
        <f t="shared" si="493"/>
        <v>1</v>
      </c>
      <c r="R451" s="6"/>
    </row>
    <row r="452" spans="3:18" x14ac:dyDescent="0.15">
      <c r="C452" s="6" t="s">
        <v>57</v>
      </c>
      <c r="D452" s="6" t="s">
        <v>5</v>
      </c>
      <c r="E452" s="9" t="s">
        <v>30</v>
      </c>
      <c r="F452" s="6">
        <v>2</v>
      </c>
      <c r="G452" s="6">
        <v>16</v>
      </c>
      <c r="I452" s="1" t="str">
        <f t="shared" si="479"/>
        <v>FFF</v>
      </c>
      <c r="M452" s="1" t="s">
        <v>33</v>
      </c>
      <c r="Q452" s="1" t="b">
        <f t="shared" si="493"/>
        <v>1</v>
      </c>
      <c r="R452" s="6"/>
    </row>
    <row r="453" spans="3:18" x14ac:dyDescent="0.15">
      <c r="C453" s="6"/>
      <c r="D453" s="6" t="s">
        <v>6</v>
      </c>
      <c r="E453" s="1">
        <v>10</v>
      </c>
      <c r="F453" s="7">
        <v>7</v>
      </c>
      <c r="G453" s="7">
        <v>2</v>
      </c>
      <c r="I453" s="1" t="str">
        <f t="shared" si="479"/>
        <v>111</v>
      </c>
      <c r="M453" s="1" t="s">
        <v>31</v>
      </c>
      <c r="Q453" s="1" t="b">
        <f t="shared" ref="Q453:Q467" si="494">getText(I453)=getText(M453)</f>
        <v>1</v>
      </c>
      <c r="R453" s="6"/>
    </row>
    <row r="454" spans="3:18" x14ac:dyDescent="0.15">
      <c r="C454" s="6"/>
      <c r="D454" s="6" t="s">
        <v>7</v>
      </c>
      <c r="E454" s="1">
        <v>666</v>
      </c>
      <c r="F454" s="7">
        <v>7</v>
      </c>
      <c r="G454" s="7">
        <v>7</v>
      </c>
      <c r="I454" s="1" t="str">
        <f t="shared" ref="I454" si="495">TESTconvIntPrtOfNPntToIntPrtOfNPnt(E454,F454,G454)</f>
        <v>666</v>
      </c>
      <c r="M454" s="1" t="s">
        <v>32</v>
      </c>
      <c r="Q454" s="1" t="b">
        <f t="shared" si="494"/>
        <v>1</v>
      </c>
      <c r="R454" s="6"/>
    </row>
    <row r="455" spans="3:18" x14ac:dyDescent="0.15">
      <c r="C455" s="6"/>
      <c r="D455" s="6" t="s">
        <v>8</v>
      </c>
      <c r="E455" s="1">
        <v>14640</v>
      </c>
      <c r="F455" s="7">
        <v>7</v>
      </c>
      <c r="G455" s="7">
        <v>16</v>
      </c>
      <c r="I455" s="1" t="str">
        <f t="shared" ref="I455" si="496">TESTconvIntPrtOfNPntToIntPrtOfNPnt(E455,F455,G455)</f>
        <v>FFF</v>
      </c>
      <c r="M455" s="1" t="s">
        <v>33</v>
      </c>
      <c r="Q455" s="1" t="b">
        <f t="shared" si="494"/>
        <v>1</v>
      </c>
      <c r="R455" s="6"/>
    </row>
    <row r="456" spans="3:18" x14ac:dyDescent="0.15">
      <c r="C456" s="6"/>
      <c r="D456" s="6" t="s">
        <v>9</v>
      </c>
      <c r="E456" s="1">
        <v>7</v>
      </c>
      <c r="F456" s="7">
        <v>16</v>
      </c>
      <c r="G456" s="7">
        <v>2</v>
      </c>
      <c r="I456" s="1" t="str">
        <f t="shared" ref="I456:I467" si="497">TESTconvIntPrtOfNPntToIntPrtOfNPnt(E456,F456,G456)</f>
        <v>111</v>
      </c>
      <c r="M456" s="1" t="s">
        <v>31</v>
      </c>
      <c r="Q456" s="1" t="b">
        <f t="shared" si="494"/>
        <v>1</v>
      </c>
      <c r="R456" s="6"/>
    </row>
    <row r="457" spans="3:18" x14ac:dyDescent="0.15">
      <c r="C457" s="6"/>
      <c r="D457" s="6" t="s">
        <v>10</v>
      </c>
      <c r="E457" s="1">
        <v>156</v>
      </c>
      <c r="F457" s="7">
        <v>16</v>
      </c>
      <c r="G457" s="7">
        <v>7</v>
      </c>
      <c r="I457" s="1" t="str">
        <f t="shared" si="497"/>
        <v>666</v>
      </c>
      <c r="M457" s="1" t="s">
        <v>32</v>
      </c>
      <c r="Q457" s="1" t="b">
        <f t="shared" si="494"/>
        <v>1</v>
      </c>
      <c r="R457" s="6"/>
    </row>
    <row r="458" spans="3:18" x14ac:dyDescent="0.15">
      <c r="C458" s="6"/>
      <c r="D458" s="6" t="s">
        <v>11</v>
      </c>
      <c r="E458" s="8" t="s">
        <v>35</v>
      </c>
      <c r="F458" s="7">
        <v>16</v>
      </c>
      <c r="G458" s="7">
        <v>16</v>
      </c>
      <c r="I458" s="1" t="str">
        <f t="shared" si="497"/>
        <v>FFF</v>
      </c>
      <c r="M458" s="1" t="s">
        <v>33</v>
      </c>
      <c r="Q458" s="1" t="b">
        <f t="shared" si="494"/>
        <v>1</v>
      </c>
      <c r="R458" s="6"/>
    </row>
    <row r="459" spans="3:18" x14ac:dyDescent="0.15">
      <c r="C459" s="2" t="s">
        <v>28</v>
      </c>
      <c r="D459" s="2" t="s">
        <v>3</v>
      </c>
      <c r="E459" s="3">
        <v>1000</v>
      </c>
      <c r="F459" s="2">
        <v>2</v>
      </c>
      <c r="G459" s="2">
        <v>2</v>
      </c>
      <c r="H459" s="2"/>
      <c r="I459" s="3" t="str">
        <f t="shared" si="497"/>
        <v>1000</v>
      </c>
      <c r="J459" s="2"/>
      <c r="K459" s="2"/>
      <c r="L459" s="2"/>
      <c r="M459" s="3" t="s">
        <v>34</v>
      </c>
      <c r="N459" s="2"/>
      <c r="O459" s="2"/>
      <c r="P459" s="2"/>
      <c r="Q459" s="3" t="b">
        <f t="shared" si="494"/>
        <v>1</v>
      </c>
      <c r="R459" s="6"/>
    </row>
    <row r="460" spans="3:18" x14ac:dyDescent="0.15">
      <c r="C460" s="6" t="s">
        <v>53</v>
      </c>
      <c r="D460" s="6" t="s">
        <v>4</v>
      </c>
      <c r="E460" s="1">
        <v>101010111</v>
      </c>
      <c r="F460" s="6">
        <v>2</v>
      </c>
      <c r="G460" s="6">
        <v>7</v>
      </c>
      <c r="I460" s="1" t="str">
        <f t="shared" si="497"/>
        <v>1000</v>
      </c>
      <c r="M460" s="1" t="s">
        <v>34</v>
      </c>
      <c r="Q460" s="1" t="b">
        <f t="shared" si="494"/>
        <v>1</v>
      </c>
      <c r="R460" s="6"/>
    </row>
    <row r="461" spans="3:18" x14ac:dyDescent="0.15">
      <c r="C461" s="6" t="s">
        <v>58</v>
      </c>
      <c r="D461" s="6" t="s">
        <v>5</v>
      </c>
      <c r="E461" s="9" t="s">
        <v>29</v>
      </c>
      <c r="F461" s="6">
        <v>2</v>
      </c>
      <c r="G461" s="6">
        <v>16</v>
      </c>
      <c r="I461" s="1" t="str">
        <f t="shared" si="497"/>
        <v>1000</v>
      </c>
      <c r="M461" s="1" t="s">
        <v>34</v>
      </c>
      <c r="Q461" s="1" t="b">
        <f t="shared" si="494"/>
        <v>1</v>
      </c>
      <c r="R461" s="6"/>
    </row>
    <row r="462" spans="3:18" x14ac:dyDescent="0.15">
      <c r="C462" s="6"/>
      <c r="D462" s="6" t="s">
        <v>6</v>
      </c>
      <c r="E462" s="1">
        <v>11</v>
      </c>
      <c r="F462" s="7">
        <v>7</v>
      </c>
      <c r="G462" s="7">
        <v>2</v>
      </c>
      <c r="I462" s="1" t="str">
        <f t="shared" si="497"/>
        <v>1000</v>
      </c>
      <c r="M462" s="1" t="s">
        <v>34</v>
      </c>
      <c r="Q462" s="1" t="b">
        <f t="shared" si="494"/>
        <v>1</v>
      </c>
      <c r="R462" s="6"/>
    </row>
    <row r="463" spans="3:18" x14ac:dyDescent="0.15">
      <c r="C463" s="6"/>
      <c r="D463" s="6" t="s">
        <v>7</v>
      </c>
      <c r="E463" s="1">
        <v>1000</v>
      </c>
      <c r="F463" s="7">
        <v>7</v>
      </c>
      <c r="G463" s="7">
        <v>7</v>
      </c>
      <c r="I463" s="1" t="str">
        <f t="shared" si="497"/>
        <v>1000</v>
      </c>
      <c r="M463" s="1" t="s">
        <v>34</v>
      </c>
      <c r="Q463" s="1" t="b">
        <f t="shared" si="494"/>
        <v>1</v>
      </c>
      <c r="R463" s="6"/>
    </row>
    <row r="464" spans="3:18" x14ac:dyDescent="0.15">
      <c r="C464" s="6"/>
      <c r="D464" s="6" t="s">
        <v>8</v>
      </c>
      <c r="E464" s="1">
        <v>14641</v>
      </c>
      <c r="F464" s="7">
        <v>7</v>
      </c>
      <c r="G464" s="7">
        <v>16</v>
      </c>
      <c r="I464" s="1" t="str">
        <f t="shared" si="497"/>
        <v>1000</v>
      </c>
      <c r="M464" s="1" t="s">
        <v>34</v>
      </c>
      <c r="Q464" s="1" t="b">
        <f t="shared" si="494"/>
        <v>1</v>
      </c>
      <c r="R464" s="6"/>
    </row>
    <row r="465" spans="1:18" x14ac:dyDescent="0.15">
      <c r="C465" s="6"/>
      <c r="D465" s="6" t="s">
        <v>9</v>
      </c>
      <c r="E465" s="1">
        <v>8</v>
      </c>
      <c r="F465" s="7">
        <v>16</v>
      </c>
      <c r="G465" s="7">
        <v>2</v>
      </c>
      <c r="I465" s="1" t="str">
        <f t="shared" si="497"/>
        <v>1000</v>
      </c>
      <c r="M465" s="1" t="s">
        <v>34</v>
      </c>
      <c r="Q465" s="1" t="b">
        <f t="shared" si="494"/>
        <v>1</v>
      </c>
      <c r="R465" s="6"/>
    </row>
    <row r="466" spans="1:18" x14ac:dyDescent="0.15">
      <c r="C466" s="6"/>
      <c r="D466" s="6" t="s">
        <v>10</v>
      </c>
      <c r="E466" s="1">
        <v>157</v>
      </c>
      <c r="F466" s="7">
        <v>16</v>
      </c>
      <c r="G466" s="7">
        <v>7</v>
      </c>
      <c r="I466" s="1" t="str">
        <f t="shared" si="497"/>
        <v>1000</v>
      </c>
      <c r="M466" s="1" t="s">
        <v>34</v>
      </c>
      <c r="Q466" s="1" t="b">
        <f t="shared" si="494"/>
        <v>1</v>
      </c>
      <c r="R466" s="6"/>
    </row>
    <row r="467" spans="1:18" x14ac:dyDescent="0.15">
      <c r="C467" s="6"/>
      <c r="D467" s="6" t="s">
        <v>11</v>
      </c>
      <c r="E467" s="1">
        <v>1000</v>
      </c>
      <c r="F467" s="7">
        <v>16</v>
      </c>
      <c r="G467" s="7">
        <v>16</v>
      </c>
      <c r="I467" s="1" t="str">
        <f t="shared" si="497"/>
        <v>1000</v>
      </c>
      <c r="M467" s="1" t="s">
        <v>34</v>
      </c>
      <c r="Q467" s="1" t="b">
        <f t="shared" si="494"/>
        <v>1</v>
      </c>
      <c r="R467" s="6"/>
    </row>
    <row r="468" spans="1:18" x14ac:dyDescent="0.15">
      <c r="A468" s="2" t="s">
        <v>441</v>
      </c>
      <c r="B468" s="2" t="s">
        <v>471</v>
      </c>
      <c r="C468" s="25" t="s">
        <v>456</v>
      </c>
      <c r="D468" s="2" t="s">
        <v>3</v>
      </c>
      <c r="E468" s="3">
        <v>0</v>
      </c>
      <c r="F468" s="2">
        <v>2</v>
      </c>
      <c r="G468" s="2">
        <v>2</v>
      </c>
      <c r="H468" s="2">
        <v>10</v>
      </c>
      <c r="I468" s="3" t="str">
        <f>TESTconvFrcPrtOfNPntToFrcPrtOfNPnt(E468,F468,G468,H468)</f>
        <v>0</v>
      </c>
      <c r="J468" s="2"/>
      <c r="K468" s="2"/>
      <c r="L468" s="2"/>
      <c r="M468" s="3" t="s">
        <v>14</v>
      </c>
      <c r="N468" s="2"/>
      <c r="O468" s="2"/>
      <c r="P468" s="2"/>
      <c r="Q468" s="3" t="b">
        <f t="shared" ref="Q468:Q478" si="498">getText(I468)=getText(M468)</f>
        <v>1</v>
      </c>
      <c r="R468" s="6"/>
    </row>
    <row r="469" spans="1:18" x14ac:dyDescent="0.15">
      <c r="A469" s="6"/>
      <c r="B469" s="6"/>
      <c r="C469" s="6"/>
      <c r="D469" s="6" t="s">
        <v>4</v>
      </c>
      <c r="E469" s="1">
        <v>0</v>
      </c>
      <c r="F469" s="7">
        <v>2</v>
      </c>
      <c r="G469" s="7">
        <v>7</v>
      </c>
      <c r="H469" s="6">
        <v>10</v>
      </c>
      <c r="I469" s="1" t="str">
        <f t="shared" ref="I469:I470" si="499">TESTconvFrcPrtOfNPntToFrcPrtOfNPnt(E469,F469,G469,H469)</f>
        <v>0</v>
      </c>
      <c r="J469" s="6"/>
      <c r="K469" s="6"/>
      <c r="L469" s="6"/>
      <c r="M469" s="1" t="s">
        <v>14</v>
      </c>
      <c r="N469" s="6"/>
      <c r="O469" s="6"/>
      <c r="P469" s="6"/>
      <c r="Q469" s="1" t="b">
        <f t="shared" si="498"/>
        <v>1</v>
      </c>
      <c r="R469" s="6"/>
    </row>
    <row r="470" spans="1:18" x14ac:dyDescent="0.15">
      <c r="D470" s="6" t="s">
        <v>5</v>
      </c>
      <c r="E470" s="1">
        <v>0</v>
      </c>
      <c r="F470" s="7">
        <v>2</v>
      </c>
      <c r="G470" s="7">
        <v>16</v>
      </c>
      <c r="H470" s="7">
        <v>10</v>
      </c>
      <c r="I470" s="1" t="str">
        <f t="shared" si="499"/>
        <v>0</v>
      </c>
      <c r="M470" s="1" t="s">
        <v>14</v>
      </c>
      <c r="Q470" s="1" t="b">
        <f t="shared" si="498"/>
        <v>1</v>
      </c>
      <c r="R470" s="6"/>
    </row>
    <row r="471" spans="1:18" x14ac:dyDescent="0.15">
      <c r="D471" s="6" t="s">
        <v>6</v>
      </c>
      <c r="E471" s="1">
        <v>0</v>
      </c>
      <c r="F471" s="7">
        <v>7</v>
      </c>
      <c r="G471" s="6">
        <v>2</v>
      </c>
      <c r="H471" s="7">
        <v>10</v>
      </c>
      <c r="I471" s="1" t="str">
        <f t="shared" ref="I471:I478" si="500">TESTconvFrcPrtOfNPntToFrcPrtOfNPnt(E471,F471,G471,H471)</f>
        <v>0</v>
      </c>
      <c r="M471" s="1" t="s">
        <v>14</v>
      </c>
      <c r="Q471" s="1" t="b">
        <f t="shared" si="498"/>
        <v>1</v>
      </c>
      <c r="R471" s="6"/>
    </row>
    <row r="472" spans="1:18" x14ac:dyDescent="0.15">
      <c r="D472" s="6" t="s">
        <v>7</v>
      </c>
      <c r="E472" s="1">
        <v>0</v>
      </c>
      <c r="F472" s="7">
        <v>7</v>
      </c>
      <c r="G472" s="7">
        <v>7</v>
      </c>
      <c r="H472">
        <v>10</v>
      </c>
      <c r="I472" s="1" t="str">
        <f t="shared" si="500"/>
        <v>0</v>
      </c>
      <c r="M472" s="1" t="s">
        <v>14</v>
      </c>
      <c r="Q472" s="1" t="b">
        <f t="shared" si="498"/>
        <v>1</v>
      </c>
      <c r="R472" s="6"/>
    </row>
    <row r="473" spans="1:18" x14ac:dyDescent="0.15">
      <c r="D473" s="6" t="s">
        <v>570</v>
      </c>
      <c r="E473" s="1">
        <v>0</v>
      </c>
      <c r="F473" s="7">
        <v>7</v>
      </c>
      <c r="G473" s="7">
        <v>16</v>
      </c>
      <c r="H473" s="7">
        <v>0</v>
      </c>
      <c r="I473" s="1" t="str">
        <f>TESTconvFrcPrtOfNPntToFrcPrtOfNPnt(E473,F473,G473,H473)</f>
        <v/>
      </c>
      <c r="Q473" s="1" t="b">
        <f t="shared" si="498"/>
        <v>1</v>
      </c>
      <c r="R473" s="6"/>
    </row>
    <row r="474" spans="1:18" x14ac:dyDescent="0.15">
      <c r="D474" s="6" t="s">
        <v>8</v>
      </c>
      <c r="E474" s="1">
        <v>0</v>
      </c>
      <c r="F474" s="7">
        <v>7</v>
      </c>
      <c r="G474" s="7">
        <v>16</v>
      </c>
      <c r="H474">
        <v>10</v>
      </c>
      <c r="I474" s="1" t="str">
        <f t="shared" si="500"/>
        <v>0</v>
      </c>
      <c r="M474" s="1" t="s">
        <v>14</v>
      </c>
      <c r="Q474" s="1" t="b">
        <f t="shared" si="498"/>
        <v>1</v>
      </c>
      <c r="R474" s="6"/>
    </row>
    <row r="475" spans="1:18" x14ac:dyDescent="0.15">
      <c r="D475" s="6" t="s">
        <v>571</v>
      </c>
      <c r="E475" s="1">
        <v>0</v>
      </c>
      <c r="F475" s="7">
        <v>7</v>
      </c>
      <c r="G475" s="7">
        <v>16</v>
      </c>
      <c r="H475">
        <v>0</v>
      </c>
      <c r="I475" s="1" t="str">
        <f t="shared" ref="I475" si="501">TESTconvFrcPrtOfNPntToFrcPrtOfNPnt(E475,F475,G475,H475)</f>
        <v/>
      </c>
      <c r="Q475" s="1" t="b">
        <f t="shared" ref="Q475" si="502">getText(I475)=getText(M475)</f>
        <v>1</v>
      </c>
      <c r="R475" s="6"/>
    </row>
    <row r="476" spans="1:18" x14ac:dyDescent="0.15">
      <c r="D476" s="6" t="s">
        <v>9</v>
      </c>
      <c r="E476" s="1">
        <v>0</v>
      </c>
      <c r="F476" s="7">
        <v>16</v>
      </c>
      <c r="G476" s="6">
        <v>2</v>
      </c>
      <c r="H476">
        <v>10</v>
      </c>
      <c r="I476" s="1" t="str">
        <f t="shared" si="500"/>
        <v>0</v>
      </c>
      <c r="M476" s="1" t="s">
        <v>14</v>
      </c>
      <c r="Q476" s="1" t="b">
        <f t="shared" si="498"/>
        <v>1</v>
      </c>
      <c r="R476" s="6"/>
    </row>
    <row r="477" spans="1:18" x14ac:dyDescent="0.15">
      <c r="D477" s="6" t="s">
        <v>10</v>
      </c>
      <c r="E477" s="1">
        <v>0</v>
      </c>
      <c r="F477" s="7">
        <v>16</v>
      </c>
      <c r="G477" s="7">
        <v>7</v>
      </c>
      <c r="H477">
        <v>10</v>
      </c>
      <c r="I477" s="1" t="str">
        <f t="shared" si="500"/>
        <v>0</v>
      </c>
      <c r="M477" s="1" t="s">
        <v>14</v>
      </c>
      <c r="Q477" s="1" t="b">
        <f t="shared" si="498"/>
        <v>1</v>
      </c>
      <c r="R477" s="6"/>
    </row>
    <row r="478" spans="1:18" x14ac:dyDescent="0.15">
      <c r="D478" s="6" t="s">
        <v>11</v>
      </c>
      <c r="E478" s="1">
        <v>0</v>
      </c>
      <c r="F478" s="7">
        <v>16</v>
      </c>
      <c r="G478" s="7">
        <v>16</v>
      </c>
      <c r="H478">
        <v>10</v>
      </c>
      <c r="I478" s="1" t="str">
        <f t="shared" si="500"/>
        <v>0</v>
      </c>
      <c r="M478" s="1" t="s">
        <v>14</v>
      </c>
      <c r="Q478" s="1" t="b">
        <f t="shared" si="498"/>
        <v>1</v>
      </c>
      <c r="R478" s="6"/>
    </row>
    <row r="479" spans="1:18" x14ac:dyDescent="0.15">
      <c r="B479" s="2" t="s">
        <v>472</v>
      </c>
      <c r="C479" s="22">
        <v>0.1</v>
      </c>
      <c r="D479" s="2" t="s">
        <v>3</v>
      </c>
      <c r="E479" s="3">
        <v>1</v>
      </c>
      <c r="F479" s="2">
        <v>2</v>
      </c>
      <c r="G479" s="2">
        <v>2</v>
      </c>
      <c r="H479" s="2">
        <v>10</v>
      </c>
      <c r="I479" s="3" t="str">
        <f t="shared" ref="I479:I487" si="503">TESTconvFrcPrtOfNPntToFrcPrtOfNPnt(E479,F479,G479,H479)</f>
        <v>1</v>
      </c>
      <c r="J479" s="2"/>
      <c r="K479" s="2"/>
      <c r="L479" s="2"/>
      <c r="M479" s="3" t="s">
        <v>44</v>
      </c>
      <c r="N479" s="2"/>
      <c r="O479" s="2"/>
      <c r="P479" s="2"/>
      <c r="Q479" s="3" t="b">
        <f t="shared" ref="Q479" si="504">getText(I479)=getText(M479)</f>
        <v>1</v>
      </c>
      <c r="R479" s="6"/>
    </row>
    <row r="480" spans="1:18" x14ac:dyDescent="0.15">
      <c r="D480" s="6" t="s">
        <v>4</v>
      </c>
      <c r="E480" s="1">
        <v>1</v>
      </c>
      <c r="F480">
        <v>2</v>
      </c>
      <c r="G480">
        <v>7</v>
      </c>
      <c r="H480">
        <v>10</v>
      </c>
      <c r="I480" s="1" t="str">
        <f t="shared" si="503"/>
        <v>3333333333</v>
      </c>
      <c r="M480" s="1" t="s">
        <v>443</v>
      </c>
      <c r="Q480" s="1" t="b">
        <f t="shared" ref="Q480" si="505">getText(I480)=getText(M480)</f>
        <v>1</v>
      </c>
      <c r="R480" s="6"/>
    </row>
    <row r="481" spans="2:18" x14ac:dyDescent="0.15">
      <c r="D481" s="6" t="s">
        <v>5</v>
      </c>
      <c r="E481" s="1">
        <v>1</v>
      </c>
      <c r="F481">
        <v>2</v>
      </c>
      <c r="G481">
        <v>16</v>
      </c>
      <c r="H481">
        <v>10</v>
      </c>
      <c r="I481" s="1" t="str">
        <f t="shared" si="503"/>
        <v>8</v>
      </c>
      <c r="M481" s="1" t="s">
        <v>444</v>
      </c>
      <c r="Q481" s="1" t="b">
        <f t="shared" ref="Q481" si="506">getText(I481)=getText(M481)</f>
        <v>1</v>
      </c>
      <c r="R481" s="6"/>
    </row>
    <row r="482" spans="2:18" x14ac:dyDescent="0.15">
      <c r="D482" s="6" t="s">
        <v>6</v>
      </c>
      <c r="E482" s="1">
        <v>1</v>
      </c>
      <c r="F482">
        <v>7</v>
      </c>
      <c r="G482">
        <v>2</v>
      </c>
      <c r="H482">
        <v>10</v>
      </c>
      <c r="I482" s="1" t="str">
        <f t="shared" si="503"/>
        <v>0010010010</v>
      </c>
      <c r="M482" s="1" t="s">
        <v>445</v>
      </c>
      <c r="Q482" s="1" t="b">
        <f t="shared" ref="Q482" si="507">getText(I482)=getText(M482)</f>
        <v>1</v>
      </c>
      <c r="R482" s="6"/>
    </row>
    <row r="483" spans="2:18" x14ac:dyDescent="0.15">
      <c r="D483" s="6" t="s">
        <v>7</v>
      </c>
      <c r="E483" s="1">
        <v>1</v>
      </c>
      <c r="F483">
        <v>7</v>
      </c>
      <c r="G483">
        <v>7</v>
      </c>
      <c r="H483">
        <v>10</v>
      </c>
      <c r="I483" s="1" t="str">
        <f t="shared" si="503"/>
        <v>1</v>
      </c>
      <c r="M483" s="1" t="s">
        <v>44</v>
      </c>
      <c r="Q483" s="1" t="b">
        <f t="shared" ref="Q483" si="508">getText(I483)=getText(M483)</f>
        <v>1</v>
      </c>
      <c r="R483" s="6"/>
    </row>
    <row r="484" spans="2:18" x14ac:dyDescent="0.15">
      <c r="D484" s="6" t="s">
        <v>8</v>
      </c>
      <c r="E484" s="1">
        <v>1</v>
      </c>
      <c r="F484">
        <v>7</v>
      </c>
      <c r="G484">
        <v>16</v>
      </c>
      <c r="H484">
        <v>10</v>
      </c>
      <c r="I484" s="1" t="str">
        <f t="shared" si="503"/>
        <v>2492492492</v>
      </c>
      <c r="M484" s="1" t="s">
        <v>446</v>
      </c>
      <c r="Q484" s="1" t="b">
        <f t="shared" ref="Q484" si="509">getText(I484)=getText(M484)</f>
        <v>1</v>
      </c>
      <c r="R484" s="6"/>
    </row>
    <row r="485" spans="2:18" x14ac:dyDescent="0.15">
      <c r="D485" s="6" t="s">
        <v>9</v>
      </c>
      <c r="E485" s="1">
        <v>1</v>
      </c>
      <c r="F485">
        <v>16</v>
      </c>
      <c r="G485">
        <v>2</v>
      </c>
      <c r="H485">
        <v>10</v>
      </c>
      <c r="I485" s="1" t="str">
        <f t="shared" si="503"/>
        <v>0001</v>
      </c>
      <c r="M485" s="1" t="s">
        <v>447</v>
      </c>
      <c r="Q485" s="1" t="b">
        <f t="shared" ref="Q485" si="510">getText(I485)=getText(M485)</f>
        <v>1</v>
      </c>
      <c r="R485" s="6"/>
    </row>
    <row r="486" spans="2:18" x14ac:dyDescent="0.15">
      <c r="D486" s="6" t="s">
        <v>10</v>
      </c>
      <c r="E486" s="1">
        <v>1</v>
      </c>
      <c r="F486">
        <v>16</v>
      </c>
      <c r="G486">
        <v>7</v>
      </c>
      <c r="H486">
        <v>10</v>
      </c>
      <c r="I486" s="1" t="str">
        <f t="shared" si="503"/>
        <v>0303030303</v>
      </c>
      <c r="M486" s="1" t="s">
        <v>448</v>
      </c>
      <c r="Q486" s="1" t="b">
        <f t="shared" ref="Q486:Q487" si="511">getText(I486)=getText(M486)</f>
        <v>1</v>
      </c>
      <c r="R486" s="6"/>
    </row>
    <row r="487" spans="2:18" x14ac:dyDescent="0.15">
      <c r="D487" s="6" t="s">
        <v>11</v>
      </c>
      <c r="E487" s="1">
        <v>1</v>
      </c>
      <c r="F487">
        <v>16</v>
      </c>
      <c r="G487">
        <v>16</v>
      </c>
      <c r="H487">
        <v>10</v>
      </c>
      <c r="I487" s="1" t="str">
        <f t="shared" si="503"/>
        <v>1</v>
      </c>
      <c r="M487" s="1" t="s">
        <v>44</v>
      </c>
      <c r="Q487" s="1" t="b">
        <f t="shared" si="511"/>
        <v>1</v>
      </c>
      <c r="R487" s="6"/>
    </row>
    <row r="488" spans="2:18" x14ac:dyDescent="0.15">
      <c r="B488" s="2" t="s">
        <v>473</v>
      </c>
      <c r="C488" s="25" t="s">
        <v>457</v>
      </c>
      <c r="D488" s="2" t="s">
        <v>3</v>
      </c>
      <c r="E488" s="3">
        <v>10</v>
      </c>
      <c r="F488" s="2">
        <v>2</v>
      </c>
      <c r="G488" s="2">
        <v>2</v>
      </c>
      <c r="H488" s="2">
        <v>10</v>
      </c>
      <c r="I488" s="3" t="str">
        <f t="shared" ref="I488:I496" si="512">TESTconvFrcPrtOfNPntToFrcPrtOfNPnt(E488,F488,G488,H488)</f>
        <v>1</v>
      </c>
      <c r="J488" s="2"/>
      <c r="K488" s="2"/>
      <c r="L488" s="2"/>
      <c r="M488" s="3" t="s">
        <v>44</v>
      </c>
      <c r="N488" s="2"/>
      <c r="O488" s="2"/>
      <c r="P488" s="2"/>
      <c r="Q488" s="3" t="b">
        <f t="shared" ref="Q488:Q496" si="513">getText(I488)=getText(M488)</f>
        <v>1</v>
      </c>
      <c r="R488" s="6"/>
    </row>
    <row r="489" spans="2:18" x14ac:dyDescent="0.15">
      <c r="D489" s="6" t="s">
        <v>4</v>
      </c>
      <c r="E489" s="1">
        <v>10</v>
      </c>
      <c r="F489">
        <v>2</v>
      </c>
      <c r="G489">
        <v>7</v>
      </c>
      <c r="H489">
        <v>10</v>
      </c>
      <c r="I489" s="1" t="str">
        <f t="shared" si="512"/>
        <v>3333333333</v>
      </c>
      <c r="M489" s="1" t="s">
        <v>443</v>
      </c>
      <c r="Q489" s="1" t="b">
        <f t="shared" si="513"/>
        <v>1</v>
      </c>
      <c r="R489" s="6"/>
    </row>
    <row r="490" spans="2:18" x14ac:dyDescent="0.15">
      <c r="D490" s="6" t="s">
        <v>5</v>
      </c>
      <c r="E490" s="1">
        <v>10</v>
      </c>
      <c r="F490">
        <v>2</v>
      </c>
      <c r="G490">
        <v>16</v>
      </c>
      <c r="H490">
        <v>10</v>
      </c>
      <c r="I490" s="1" t="str">
        <f t="shared" si="512"/>
        <v>8</v>
      </c>
      <c r="M490" s="1" t="s">
        <v>444</v>
      </c>
      <c r="Q490" s="1" t="b">
        <f t="shared" si="513"/>
        <v>1</v>
      </c>
      <c r="R490" s="6"/>
    </row>
    <row r="491" spans="2:18" x14ac:dyDescent="0.15">
      <c r="D491" s="6" t="s">
        <v>6</v>
      </c>
      <c r="E491" s="1">
        <v>10</v>
      </c>
      <c r="F491">
        <v>7</v>
      </c>
      <c r="G491">
        <v>2</v>
      </c>
      <c r="H491">
        <v>10</v>
      </c>
      <c r="I491" s="1" t="str">
        <f t="shared" si="512"/>
        <v>0010010010</v>
      </c>
      <c r="M491" s="1" t="s">
        <v>445</v>
      </c>
      <c r="Q491" s="1" t="b">
        <f t="shared" si="513"/>
        <v>1</v>
      </c>
      <c r="R491" s="6"/>
    </row>
    <row r="492" spans="2:18" x14ac:dyDescent="0.15">
      <c r="D492" s="6" t="s">
        <v>7</v>
      </c>
      <c r="E492" s="1">
        <v>10</v>
      </c>
      <c r="F492">
        <v>7</v>
      </c>
      <c r="G492">
        <v>7</v>
      </c>
      <c r="H492">
        <v>10</v>
      </c>
      <c r="I492" s="1" t="str">
        <f t="shared" si="512"/>
        <v>1</v>
      </c>
      <c r="M492" s="1" t="s">
        <v>44</v>
      </c>
      <c r="Q492" s="1" t="b">
        <f t="shared" si="513"/>
        <v>1</v>
      </c>
      <c r="R492" s="6"/>
    </row>
    <row r="493" spans="2:18" x14ac:dyDescent="0.15">
      <c r="D493" s="6" t="s">
        <v>8</v>
      </c>
      <c r="E493" s="1">
        <v>10</v>
      </c>
      <c r="F493">
        <v>7</v>
      </c>
      <c r="G493">
        <v>16</v>
      </c>
      <c r="H493">
        <v>10</v>
      </c>
      <c r="I493" s="1" t="str">
        <f t="shared" si="512"/>
        <v>2492492492</v>
      </c>
      <c r="M493" s="1" t="s">
        <v>446</v>
      </c>
      <c r="Q493" s="1" t="b">
        <f t="shared" si="513"/>
        <v>1</v>
      </c>
      <c r="R493" s="6"/>
    </row>
    <row r="494" spans="2:18" x14ac:dyDescent="0.15">
      <c r="D494" s="6" t="s">
        <v>9</v>
      </c>
      <c r="E494" s="1">
        <v>10</v>
      </c>
      <c r="F494">
        <v>16</v>
      </c>
      <c r="G494">
        <v>2</v>
      </c>
      <c r="H494">
        <v>10</v>
      </c>
      <c r="I494" s="1" t="str">
        <f t="shared" si="512"/>
        <v>0001</v>
      </c>
      <c r="M494" s="1" t="s">
        <v>447</v>
      </c>
      <c r="Q494" s="1" t="b">
        <f t="shared" si="513"/>
        <v>1</v>
      </c>
      <c r="R494" s="6"/>
    </row>
    <row r="495" spans="2:18" x14ac:dyDescent="0.15">
      <c r="D495" s="6" t="s">
        <v>10</v>
      </c>
      <c r="E495" s="1">
        <v>10</v>
      </c>
      <c r="F495">
        <v>16</v>
      </c>
      <c r="G495">
        <v>7</v>
      </c>
      <c r="H495">
        <v>10</v>
      </c>
      <c r="I495" s="1" t="str">
        <f t="shared" si="512"/>
        <v>0303030303</v>
      </c>
      <c r="M495" s="1" t="s">
        <v>448</v>
      </c>
      <c r="Q495" s="1" t="b">
        <f t="shared" si="513"/>
        <v>1</v>
      </c>
      <c r="R495" s="6"/>
    </row>
    <row r="496" spans="2:18" x14ac:dyDescent="0.15">
      <c r="D496" s="6" t="s">
        <v>11</v>
      </c>
      <c r="E496" s="1">
        <v>10</v>
      </c>
      <c r="F496">
        <v>16</v>
      </c>
      <c r="G496">
        <v>16</v>
      </c>
      <c r="H496">
        <v>10</v>
      </c>
      <c r="I496" s="1" t="str">
        <f t="shared" si="512"/>
        <v>1</v>
      </c>
      <c r="M496" s="1" t="s">
        <v>44</v>
      </c>
      <c r="Q496" s="1" t="b">
        <f t="shared" si="513"/>
        <v>1</v>
      </c>
      <c r="R496" s="6"/>
    </row>
    <row r="497" spans="2:18" x14ac:dyDescent="0.15">
      <c r="B497" s="2" t="s">
        <v>474</v>
      </c>
      <c r="C497" s="2" t="s">
        <v>219</v>
      </c>
      <c r="D497" s="2" t="s">
        <v>449</v>
      </c>
      <c r="E497" s="11" t="s">
        <v>465</v>
      </c>
      <c r="F497" s="2">
        <v>2</v>
      </c>
      <c r="G497" s="2">
        <v>4</v>
      </c>
      <c r="H497" s="2">
        <v>10</v>
      </c>
      <c r="I497" s="3" t="str">
        <f t="shared" ref="I497:I499" si="514">TESTconvFrcPrtOfNPntToFrcPrtOfNPnt(E497,F497,G497,H497)</f>
        <v>1</v>
      </c>
      <c r="J497" s="2"/>
      <c r="K497" s="2"/>
      <c r="L497" s="2"/>
      <c r="M497" s="3" t="s">
        <v>44</v>
      </c>
      <c r="N497" s="2"/>
      <c r="O497" s="2"/>
      <c r="P497" s="2"/>
      <c r="Q497" s="3" t="b">
        <f t="shared" ref="Q497:Q505" si="515">getText(I497)=getText(M497)</f>
        <v>1</v>
      </c>
      <c r="R497" s="6"/>
    </row>
    <row r="498" spans="2:18" x14ac:dyDescent="0.15">
      <c r="D498" s="6" t="s">
        <v>450</v>
      </c>
      <c r="E498" s="9" t="s">
        <v>458</v>
      </c>
      <c r="F498">
        <v>2</v>
      </c>
      <c r="G498">
        <v>8</v>
      </c>
      <c r="H498">
        <v>10</v>
      </c>
      <c r="I498" s="1" t="str">
        <f t="shared" si="514"/>
        <v>1</v>
      </c>
      <c r="M498" s="1" t="s">
        <v>44</v>
      </c>
      <c r="Q498" s="1" t="b">
        <f>getText(I498)=getText(M498)</f>
        <v>1</v>
      </c>
      <c r="R498" s="6"/>
    </row>
    <row r="499" spans="2:18" x14ac:dyDescent="0.15">
      <c r="D499" s="6" t="s">
        <v>5</v>
      </c>
      <c r="E499" s="9" t="s">
        <v>459</v>
      </c>
      <c r="F499">
        <v>2</v>
      </c>
      <c r="G499">
        <v>16</v>
      </c>
      <c r="H499">
        <v>10</v>
      </c>
      <c r="I499" s="1" t="str">
        <f t="shared" si="514"/>
        <v>1</v>
      </c>
      <c r="M499" s="1" t="s">
        <v>44</v>
      </c>
      <c r="Q499" s="1" t="b">
        <f t="shared" si="515"/>
        <v>1</v>
      </c>
      <c r="R499" s="6"/>
    </row>
    <row r="500" spans="2:18" x14ac:dyDescent="0.15">
      <c r="D500" s="6" t="s">
        <v>453</v>
      </c>
      <c r="E500" s="1">
        <v>4</v>
      </c>
      <c r="F500">
        <v>8</v>
      </c>
      <c r="G500">
        <v>2</v>
      </c>
      <c r="H500">
        <v>10</v>
      </c>
      <c r="I500" s="1" t="str">
        <f t="shared" ref="I500" si="516">TESTconvFrcPrtOfNPntToFrcPrtOfNPnt(E500,F500,G500,H500)</f>
        <v>1</v>
      </c>
      <c r="M500" s="1" t="s">
        <v>44</v>
      </c>
      <c r="Q500" s="1" t="b">
        <f t="shared" si="515"/>
        <v>1</v>
      </c>
      <c r="R500" s="6"/>
    </row>
    <row r="501" spans="2:18" x14ac:dyDescent="0.15">
      <c r="D501" s="6" t="s">
        <v>454</v>
      </c>
      <c r="E501" s="1">
        <v>2</v>
      </c>
      <c r="F501">
        <v>8</v>
      </c>
      <c r="G501">
        <v>4</v>
      </c>
      <c r="H501">
        <v>10</v>
      </c>
      <c r="I501" s="1" t="str">
        <f t="shared" ref="I501:I502" si="517">TESTconvFrcPrtOfNPntToFrcPrtOfNPnt(E501,F501,G501,H501)</f>
        <v>1</v>
      </c>
      <c r="M501" s="1" t="s">
        <v>44</v>
      </c>
      <c r="Q501" s="1" t="b">
        <f t="shared" si="515"/>
        <v>1</v>
      </c>
      <c r="R501" s="6"/>
    </row>
    <row r="502" spans="2:18" x14ac:dyDescent="0.15">
      <c r="D502" s="6" t="s">
        <v>455</v>
      </c>
      <c r="E502" s="9" t="s">
        <v>469</v>
      </c>
      <c r="F502">
        <v>8</v>
      </c>
      <c r="G502">
        <v>16</v>
      </c>
      <c r="H502">
        <v>10</v>
      </c>
      <c r="I502" s="1" t="str">
        <f t="shared" si="517"/>
        <v>1</v>
      </c>
      <c r="M502" s="1" t="s">
        <v>44</v>
      </c>
      <c r="Q502" s="1" t="b">
        <f t="shared" si="515"/>
        <v>1</v>
      </c>
      <c r="R502" s="6"/>
    </row>
    <row r="503" spans="2:18" x14ac:dyDescent="0.15">
      <c r="D503" s="6" t="s">
        <v>9</v>
      </c>
      <c r="E503" s="1">
        <v>8</v>
      </c>
      <c r="F503">
        <v>16</v>
      </c>
      <c r="G503">
        <v>2</v>
      </c>
      <c r="H503">
        <v>10</v>
      </c>
      <c r="I503" s="1" t="str">
        <f t="shared" ref="I503:I505" si="518">TESTconvFrcPrtOfNPntToFrcPrtOfNPnt(E503,F503,G503,H503)</f>
        <v>1</v>
      </c>
      <c r="M503" s="1" t="s">
        <v>44</v>
      </c>
      <c r="Q503" s="1" t="b">
        <f t="shared" si="515"/>
        <v>1</v>
      </c>
      <c r="R503" s="6"/>
    </row>
    <row r="504" spans="2:18" x14ac:dyDescent="0.15">
      <c r="D504" s="6" t="s">
        <v>451</v>
      </c>
      <c r="E504" s="1">
        <v>4</v>
      </c>
      <c r="F504">
        <v>16</v>
      </c>
      <c r="G504">
        <v>4</v>
      </c>
      <c r="H504">
        <v>10</v>
      </c>
      <c r="I504" s="1" t="str">
        <f t="shared" si="518"/>
        <v>1</v>
      </c>
      <c r="M504" s="1" t="s">
        <v>44</v>
      </c>
      <c r="Q504" s="1" t="b">
        <f t="shared" si="515"/>
        <v>1</v>
      </c>
      <c r="R504" s="6"/>
    </row>
    <row r="505" spans="2:18" x14ac:dyDescent="0.15">
      <c r="D505" s="6" t="s">
        <v>452</v>
      </c>
      <c r="E505" s="1">
        <v>2</v>
      </c>
      <c r="F505">
        <v>16</v>
      </c>
      <c r="G505">
        <v>8</v>
      </c>
      <c r="H505">
        <v>10</v>
      </c>
      <c r="I505" s="1" t="str">
        <f t="shared" si="518"/>
        <v>1</v>
      </c>
      <c r="M505" s="1" t="s">
        <v>44</v>
      </c>
      <c r="Q505" s="1" t="b">
        <f t="shared" si="515"/>
        <v>1</v>
      </c>
      <c r="R505" s="6"/>
    </row>
    <row r="506" spans="2:18" x14ac:dyDescent="0.15">
      <c r="C506" s="2" t="s">
        <v>224</v>
      </c>
      <c r="D506" s="2" t="s">
        <v>449</v>
      </c>
      <c r="E506" s="11" t="s">
        <v>459</v>
      </c>
      <c r="F506" s="2">
        <v>2</v>
      </c>
      <c r="G506" s="2">
        <v>4</v>
      </c>
      <c r="H506" s="2">
        <v>10</v>
      </c>
      <c r="I506" s="3" t="str">
        <f t="shared" ref="I506:I523" si="519">TESTconvFrcPrtOfNPntToFrcPrtOfNPnt(E506,F506,G506,H506)</f>
        <v>01</v>
      </c>
      <c r="J506" s="2"/>
      <c r="K506" s="2"/>
      <c r="L506" s="2"/>
      <c r="M506" s="3" t="s">
        <v>248</v>
      </c>
      <c r="N506" s="2"/>
      <c r="O506" s="2"/>
      <c r="P506" s="2"/>
      <c r="Q506" s="3" t="b">
        <f t="shared" ref="Q506:Q514" si="520">getText(I506)=getText(M506)</f>
        <v>1</v>
      </c>
      <c r="R506" s="6"/>
    </row>
    <row r="507" spans="2:18" x14ac:dyDescent="0.15">
      <c r="C507" s="6"/>
      <c r="D507" s="6" t="s">
        <v>450</v>
      </c>
      <c r="E507" s="9" t="s">
        <v>464</v>
      </c>
      <c r="F507">
        <v>2</v>
      </c>
      <c r="G507">
        <v>8</v>
      </c>
      <c r="H507">
        <v>10</v>
      </c>
      <c r="I507" s="1" t="str">
        <f t="shared" si="519"/>
        <v>01</v>
      </c>
      <c r="J507" s="6"/>
      <c r="K507" s="6"/>
      <c r="L507" s="6"/>
      <c r="M507" s="1" t="s">
        <v>248</v>
      </c>
      <c r="N507" s="6"/>
      <c r="O507" s="6"/>
      <c r="P507" s="6"/>
      <c r="Q507" s="1" t="b">
        <f t="shared" si="520"/>
        <v>1</v>
      </c>
      <c r="R507" s="6"/>
    </row>
    <row r="508" spans="2:18" x14ac:dyDescent="0.15">
      <c r="D508" s="6" t="s">
        <v>5</v>
      </c>
      <c r="E508" s="9" t="s">
        <v>466</v>
      </c>
      <c r="F508">
        <v>2</v>
      </c>
      <c r="G508">
        <v>16</v>
      </c>
      <c r="H508">
        <v>10</v>
      </c>
      <c r="I508" s="1" t="str">
        <f t="shared" si="519"/>
        <v>01</v>
      </c>
      <c r="M508" s="1" t="s">
        <v>248</v>
      </c>
      <c r="Q508" s="1" t="b">
        <f t="shared" si="520"/>
        <v>1</v>
      </c>
      <c r="R508" s="6"/>
    </row>
    <row r="509" spans="2:18" x14ac:dyDescent="0.15">
      <c r="D509" s="6" t="s">
        <v>453</v>
      </c>
      <c r="E509" s="9" t="s">
        <v>462</v>
      </c>
      <c r="F509">
        <v>8</v>
      </c>
      <c r="G509">
        <v>2</v>
      </c>
      <c r="H509">
        <v>10</v>
      </c>
      <c r="I509" s="1" t="str">
        <f t="shared" si="519"/>
        <v>01</v>
      </c>
      <c r="M509" s="1" t="s">
        <v>248</v>
      </c>
      <c r="Q509" s="1" t="b">
        <f t="shared" si="520"/>
        <v>1</v>
      </c>
      <c r="R509" s="6"/>
    </row>
    <row r="510" spans="2:18" x14ac:dyDescent="0.15">
      <c r="D510" s="6" t="s">
        <v>454</v>
      </c>
      <c r="E510" s="9" t="s">
        <v>469</v>
      </c>
      <c r="F510">
        <v>8</v>
      </c>
      <c r="G510">
        <v>4</v>
      </c>
      <c r="H510">
        <v>10</v>
      </c>
      <c r="I510" s="1" t="str">
        <f t="shared" si="519"/>
        <v>01</v>
      </c>
      <c r="M510" s="1" t="s">
        <v>248</v>
      </c>
      <c r="Q510" s="1" t="b">
        <f t="shared" si="520"/>
        <v>1</v>
      </c>
      <c r="R510" s="6"/>
    </row>
    <row r="511" spans="2:18" x14ac:dyDescent="0.15">
      <c r="D511" s="6" t="s">
        <v>455</v>
      </c>
      <c r="E511" s="9" t="s">
        <v>463</v>
      </c>
      <c r="F511">
        <v>8</v>
      </c>
      <c r="G511">
        <v>16</v>
      </c>
      <c r="H511">
        <v>10</v>
      </c>
      <c r="I511" s="1" t="str">
        <f t="shared" si="519"/>
        <v>01</v>
      </c>
      <c r="M511" s="1" t="s">
        <v>248</v>
      </c>
      <c r="Q511" s="1" t="b">
        <f t="shared" si="520"/>
        <v>1</v>
      </c>
      <c r="R511" s="6"/>
    </row>
    <row r="512" spans="2:18" x14ac:dyDescent="0.15">
      <c r="D512" s="6" t="s">
        <v>9</v>
      </c>
      <c r="E512" s="9" t="s">
        <v>460</v>
      </c>
      <c r="F512">
        <v>16</v>
      </c>
      <c r="G512">
        <v>2</v>
      </c>
      <c r="H512">
        <v>10</v>
      </c>
      <c r="I512" s="1" t="str">
        <f t="shared" si="519"/>
        <v>01</v>
      </c>
      <c r="M512" s="1" t="s">
        <v>248</v>
      </c>
      <c r="Q512" s="1" t="b">
        <f t="shared" si="520"/>
        <v>1</v>
      </c>
      <c r="R512" s="6"/>
    </row>
    <row r="513" spans="2:18" x14ac:dyDescent="0.15">
      <c r="D513" s="6" t="s">
        <v>451</v>
      </c>
      <c r="E513" s="9" t="s">
        <v>461</v>
      </c>
      <c r="F513">
        <v>16</v>
      </c>
      <c r="G513">
        <v>4</v>
      </c>
      <c r="H513">
        <v>10</v>
      </c>
      <c r="I513" s="1" t="str">
        <f t="shared" si="519"/>
        <v>01</v>
      </c>
      <c r="M513" s="1" t="s">
        <v>248</v>
      </c>
      <c r="Q513" s="1" t="b">
        <f t="shared" si="520"/>
        <v>1</v>
      </c>
      <c r="R513" s="6"/>
    </row>
    <row r="514" spans="2:18" x14ac:dyDescent="0.15">
      <c r="D514" s="6" t="s">
        <v>452</v>
      </c>
      <c r="E514" s="9" t="s">
        <v>469</v>
      </c>
      <c r="F514">
        <v>16</v>
      </c>
      <c r="G514">
        <v>8</v>
      </c>
      <c r="H514">
        <v>10</v>
      </c>
      <c r="I514" s="1" t="str">
        <f t="shared" si="519"/>
        <v>01</v>
      </c>
      <c r="M514" s="1" t="s">
        <v>248</v>
      </c>
      <c r="Q514" s="1" t="b">
        <f t="shared" si="520"/>
        <v>1</v>
      </c>
      <c r="R514" s="6"/>
    </row>
    <row r="515" spans="2:18" x14ac:dyDescent="0.15">
      <c r="C515" s="2" t="s">
        <v>225</v>
      </c>
      <c r="D515" s="2" t="s">
        <v>449</v>
      </c>
      <c r="E515" s="11" t="s">
        <v>464</v>
      </c>
      <c r="F515" s="2">
        <v>2</v>
      </c>
      <c r="G515" s="2">
        <v>4</v>
      </c>
      <c r="H515" s="2">
        <v>10</v>
      </c>
      <c r="I515" s="3" t="str">
        <f t="shared" si="519"/>
        <v>001</v>
      </c>
      <c r="J515" s="2"/>
      <c r="K515" s="2"/>
      <c r="L515" s="2"/>
      <c r="M515" s="3" t="s">
        <v>82</v>
      </c>
      <c r="N515" s="2"/>
      <c r="O515" s="2"/>
      <c r="P515" s="2"/>
      <c r="Q515" s="3" t="b">
        <f t="shared" ref="Q515:Q516" si="521">getText(I515)=getText(M515)</f>
        <v>1</v>
      </c>
      <c r="R515" s="6"/>
    </row>
    <row r="516" spans="2:18" x14ac:dyDescent="0.15">
      <c r="D516" s="6" t="s">
        <v>450</v>
      </c>
      <c r="E516" s="9" t="s">
        <v>467</v>
      </c>
      <c r="F516">
        <v>2</v>
      </c>
      <c r="G516">
        <v>8</v>
      </c>
      <c r="H516">
        <v>10</v>
      </c>
      <c r="I516" s="1" t="str">
        <f t="shared" si="519"/>
        <v>001</v>
      </c>
      <c r="M516" s="1" t="s">
        <v>82</v>
      </c>
      <c r="Q516" s="1" t="b">
        <f t="shared" si="521"/>
        <v>1</v>
      </c>
      <c r="R516" s="6"/>
    </row>
    <row r="517" spans="2:18" x14ac:dyDescent="0.15">
      <c r="D517" s="6" t="s">
        <v>5</v>
      </c>
      <c r="E517" s="9" t="s">
        <v>468</v>
      </c>
      <c r="F517">
        <v>2</v>
      </c>
      <c r="G517">
        <v>16</v>
      </c>
      <c r="H517">
        <v>10</v>
      </c>
      <c r="I517" s="1" t="str">
        <f t="shared" si="519"/>
        <v>001</v>
      </c>
      <c r="M517" s="1" t="s">
        <v>82</v>
      </c>
      <c r="Q517" s="1" t="b">
        <f t="shared" ref="Q517:Q527" si="522">getText(I517)=getText(M517)</f>
        <v>1</v>
      </c>
      <c r="R517" s="6"/>
    </row>
    <row r="518" spans="2:18" x14ac:dyDescent="0.15">
      <c r="D518" s="6" t="s">
        <v>453</v>
      </c>
      <c r="E518" s="9" t="s">
        <v>461</v>
      </c>
      <c r="F518">
        <v>8</v>
      </c>
      <c r="G518">
        <v>2</v>
      </c>
      <c r="H518">
        <v>10</v>
      </c>
      <c r="I518" s="1" t="str">
        <f t="shared" si="519"/>
        <v>001</v>
      </c>
      <c r="M518" s="1" t="s">
        <v>82</v>
      </c>
      <c r="Q518" s="1" t="b">
        <f t="shared" si="522"/>
        <v>1</v>
      </c>
      <c r="R518" s="6"/>
    </row>
    <row r="519" spans="2:18" x14ac:dyDescent="0.15">
      <c r="D519" s="6" t="s">
        <v>454</v>
      </c>
      <c r="E519" s="9" t="s">
        <v>465</v>
      </c>
      <c r="F519">
        <v>8</v>
      </c>
      <c r="G519">
        <v>4</v>
      </c>
      <c r="H519">
        <v>10</v>
      </c>
      <c r="I519" s="1" t="str">
        <f t="shared" si="519"/>
        <v>001</v>
      </c>
      <c r="M519" s="1" t="s">
        <v>82</v>
      </c>
      <c r="Q519" s="1" t="b">
        <f t="shared" si="522"/>
        <v>1</v>
      </c>
      <c r="R519" s="6"/>
    </row>
    <row r="520" spans="2:18" x14ac:dyDescent="0.15">
      <c r="D520" s="6" t="s">
        <v>455</v>
      </c>
      <c r="E520" s="9" t="s">
        <v>459</v>
      </c>
      <c r="F520">
        <v>8</v>
      </c>
      <c r="G520">
        <v>16</v>
      </c>
      <c r="H520">
        <v>10</v>
      </c>
      <c r="I520" s="1" t="str">
        <f t="shared" si="519"/>
        <v>001</v>
      </c>
      <c r="M520" s="1" t="s">
        <v>82</v>
      </c>
      <c r="Q520" s="1" t="b">
        <f t="shared" si="522"/>
        <v>1</v>
      </c>
      <c r="R520" s="6"/>
    </row>
    <row r="521" spans="2:18" x14ac:dyDescent="0.15">
      <c r="D521" s="6" t="s">
        <v>9</v>
      </c>
      <c r="E521" s="9" t="s">
        <v>462</v>
      </c>
      <c r="F521">
        <v>16</v>
      </c>
      <c r="G521">
        <v>2</v>
      </c>
      <c r="H521">
        <v>10</v>
      </c>
      <c r="I521" s="1" t="str">
        <f t="shared" si="519"/>
        <v>001</v>
      </c>
      <c r="M521" s="1" t="s">
        <v>82</v>
      </c>
      <c r="Q521" s="1" t="b">
        <f t="shared" si="522"/>
        <v>1</v>
      </c>
      <c r="R521" s="6"/>
    </row>
    <row r="522" spans="2:18" x14ac:dyDescent="0.15">
      <c r="D522" s="6" t="s">
        <v>451</v>
      </c>
      <c r="E522" s="9" t="s">
        <v>469</v>
      </c>
      <c r="F522">
        <v>16</v>
      </c>
      <c r="G522">
        <v>4</v>
      </c>
      <c r="H522">
        <v>10</v>
      </c>
      <c r="I522" s="1" t="str">
        <f t="shared" si="519"/>
        <v>001</v>
      </c>
      <c r="M522" s="1" t="s">
        <v>82</v>
      </c>
      <c r="Q522" s="1" t="b">
        <f t="shared" si="522"/>
        <v>1</v>
      </c>
      <c r="R522" s="6"/>
    </row>
    <row r="523" spans="2:18" x14ac:dyDescent="0.15">
      <c r="D523" s="6" t="s">
        <v>452</v>
      </c>
      <c r="E523" s="9" t="s">
        <v>470</v>
      </c>
      <c r="F523">
        <v>16</v>
      </c>
      <c r="G523">
        <v>8</v>
      </c>
      <c r="H523">
        <v>10</v>
      </c>
      <c r="I523" s="1" t="str">
        <f t="shared" si="519"/>
        <v>001</v>
      </c>
      <c r="M523" s="1" t="s">
        <v>82</v>
      </c>
      <c r="Q523" s="1" t="b">
        <f t="shared" si="522"/>
        <v>1</v>
      </c>
      <c r="R523" s="6"/>
    </row>
    <row r="524" spans="2:18" x14ac:dyDescent="0.15">
      <c r="B524" s="2" t="s">
        <v>442</v>
      </c>
      <c r="C524" s="22">
        <v>0</v>
      </c>
      <c r="D524" s="2"/>
      <c r="E524" s="3">
        <v>1</v>
      </c>
      <c r="F524" s="2">
        <v>3</v>
      </c>
      <c r="G524" s="2">
        <v>10</v>
      </c>
      <c r="H524" s="2">
        <v>0</v>
      </c>
      <c r="I524" s="3" t="str">
        <f t="shared" ref="I524:I527" si="523">TESTconvFrcPrtOfNPntToFrcPrtOfNPnt(E524,F524,G524,H524)</f>
        <v/>
      </c>
      <c r="J524" s="2"/>
      <c r="K524" s="2"/>
      <c r="L524" s="2"/>
      <c r="M524" s="3" t="s">
        <v>45</v>
      </c>
      <c r="N524" s="2"/>
      <c r="O524" s="2"/>
      <c r="P524" s="2"/>
      <c r="Q524" s="3" t="b">
        <f t="shared" si="522"/>
        <v>1</v>
      </c>
      <c r="R524" s="6"/>
    </row>
    <row r="525" spans="2:18" x14ac:dyDescent="0.15">
      <c r="C525" s="27">
        <v>1</v>
      </c>
      <c r="E525" s="1">
        <v>1</v>
      </c>
      <c r="F525">
        <v>3</v>
      </c>
      <c r="G525">
        <v>10</v>
      </c>
      <c r="H525">
        <v>1</v>
      </c>
      <c r="I525" s="1" t="str">
        <f t="shared" si="523"/>
        <v>3</v>
      </c>
      <c r="M525" s="1" t="s">
        <v>81</v>
      </c>
      <c r="Q525" s="1" t="b">
        <f t="shared" si="522"/>
        <v>1</v>
      </c>
      <c r="R525" s="6"/>
    </row>
    <row r="526" spans="2:18" x14ac:dyDescent="0.15">
      <c r="C526" s="27">
        <v>2</v>
      </c>
      <c r="E526" s="1">
        <v>1</v>
      </c>
      <c r="F526">
        <v>3</v>
      </c>
      <c r="G526">
        <v>10</v>
      </c>
      <c r="H526">
        <v>2</v>
      </c>
      <c r="I526" s="1" t="str">
        <f t="shared" si="523"/>
        <v>33</v>
      </c>
      <c r="M526" s="1" t="s">
        <v>475</v>
      </c>
      <c r="Q526" s="1" t="b">
        <f t="shared" si="522"/>
        <v>1</v>
      </c>
      <c r="R526" s="6"/>
    </row>
    <row r="527" spans="2:18" x14ac:dyDescent="0.15">
      <c r="C527" s="34">
        <v>255</v>
      </c>
      <c r="E527" s="1">
        <v>1</v>
      </c>
      <c r="F527">
        <v>3</v>
      </c>
      <c r="G527">
        <v>10</v>
      </c>
      <c r="H527">
        <v>255</v>
      </c>
      <c r="I527" s="1" t="str">
        <f t="shared" si="523"/>
        <v>333333333333333333333333333333333333333333333333333333333333333333333333333333333333333333333333333333333333333333333333333333333333333333333333333333333333333333333333333333333333333333333333333333333333333333333333333333333333333333333333333333333333333</v>
      </c>
      <c r="M527" s="1" t="s">
        <v>476</v>
      </c>
      <c r="Q527" s="1" t="b">
        <f t="shared" si="522"/>
        <v>1</v>
      </c>
      <c r="R527" s="6"/>
    </row>
    <row r="528" spans="2:18" x14ac:dyDescent="0.15">
      <c r="R528" s="6"/>
    </row>
  </sheetData>
  <phoneticPr fontId="1"/>
  <conditionalFormatting sqref="B1">
    <cfRule type="cellIs" dxfId="7" priority="44" operator="equal">
      <formula>"NG"</formula>
    </cfRule>
    <cfRule type="cellIs" dxfId="6" priority="45" operator="equal">
      <formula>"OK"</formula>
    </cfRule>
  </conditionalFormatting>
  <conditionalFormatting sqref="Q1:T14 Q35:T1048576">
    <cfRule type="expression" dxfId="5" priority="11">
      <formula>AND(Q1&lt;&gt;"",Q1=FALSE)</formula>
    </cfRule>
  </conditionalFormatting>
  <conditionalFormatting sqref="Q15:T17">
    <cfRule type="expression" dxfId="4" priority="5">
      <formula>AND(Q15&lt;&gt;"",Q15=FALSE)</formula>
    </cfRule>
  </conditionalFormatting>
  <conditionalFormatting sqref="Q18:T20">
    <cfRule type="expression" dxfId="3" priority="4">
      <formula>AND(Q18&lt;&gt;"",Q18=FALSE)</formula>
    </cfRule>
  </conditionalFormatting>
  <conditionalFormatting sqref="Q21:T23">
    <cfRule type="expression" dxfId="2" priority="3">
      <formula>AND(Q21&lt;&gt;"",Q21=FALSE)</formula>
    </cfRule>
  </conditionalFormatting>
  <conditionalFormatting sqref="Q24:T26">
    <cfRule type="expression" dxfId="1" priority="2">
      <formula>AND(Q24&lt;&gt;"",Q24=FALSE)</formula>
    </cfRule>
  </conditionalFormatting>
  <conditionalFormatting sqref="Q27:T34">
    <cfRule type="expression" dxfId="0" priority="1">
      <formula>AND(Q27&lt;&gt;"",Q27=FALSE)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阿部航大</dc:creator>
  <cp:lastModifiedBy>阿部航大</cp:lastModifiedBy>
  <dcterms:created xsi:type="dcterms:W3CDTF">2018-05-15T00:36:42Z</dcterms:created>
  <dcterms:modified xsi:type="dcterms:W3CDTF">2018-05-18T13:25:38Z</dcterms:modified>
</cp:coreProperties>
</file>